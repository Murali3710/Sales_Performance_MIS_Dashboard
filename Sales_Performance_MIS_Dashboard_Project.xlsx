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URALI KRISHNA\Downloads\"/>
    </mc:Choice>
  </mc:AlternateContent>
  <xr:revisionPtr revIDLastSave="0" documentId="13_ncr:1_{F46F1D57-C739-4328-8B44-3FD30379682C}" xr6:coauthVersionLast="47" xr6:coauthVersionMax="47" xr10:uidLastSave="{00000000-0000-0000-0000-000000000000}"/>
  <bookViews>
    <workbookView xWindow="-108" yWindow="-108" windowWidth="23256" windowHeight="12456" activeTab="1" xr2:uid="{00000000-000D-0000-FFFF-FFFF00000000}"/>
  </bookViews>
  <sheets>
    <sheet name="Raw_Sales_Data" sheetId="1" r:id="rId1"/>
    <sheet name="Cleaned_Sales_Data" sheetId="5" r:id="rId2"/>
    <sheet name="Monthly Trend" sheetId="7" r:id="rId3"/>
    <sheet name="Region Analysis" sheetId="8" r:id="rId4"/>
    <sheet name="Category Analysis" sheetId="9" r:id="rId5"/>
    <sheet name="Product Analysis" sheetId="10" r:id="rId6"/>
    <sheet name="Salesperson Analysis" sheetId="11" r:id="rId7"/>
    <sheet name="Discount Analysis" sheetId="12" r:id="rId8"/>
    <sheet name="Analysis_Sheet" sheetId="6" r:id="rId9"/>
    <sheet name="Dashboard" sheetId="15" r:id="rId10"/>
  </sheets>
  <definedNames>
    <definedName name="ExternalData_1" localSheetId="1" hidden="1">'Cleaned_Sales_Data'!$A$1:$O$1181</definedName>
    <definedName name="Slicer_Category">#N/A</definedName>
    <definedName name="Slicer_Region">#N/A</definedName>
  </definedNames>
  <calcPr calcId="191029"/>
  <pivotCaches>
    <pivotCache cacheId="3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0" i="6" l="1"/>
  <c r="L9" i="6"/>
  <c r="G4" i="6"/>
  <c r="G5" i="6"/>
  <c r="G6" i="6"/>
  <c r="G7" i="6"/>
  <c r="L4" i="6" s="1"/>
  <c r="G3" i="6"/>
  <c r="E4" i="6"/>
  <c r="F4" i="6"/>
  <c r="E5" i="6"/>
  <c r="F5" i="6"/>
  <c r="H5" i="6" s="1"/>
  <c r="I5" i="6" s="1"/>
  <c r="E6" i="6"/>
  <c r="F6" i="6"/>
  <c r="E7" i="6"/>
  <c r="L2" i="6" s="1"/>
  <c r="F7" i="6"/>
  <c r="F3" i="6"/>
  <c r="E3" i="6"/>
  <c r="B7" i="6"/>
  <c r="B6" i="6"/>
  <c r="B4" i="6"/>
  <c r="B3" i="6"/>
  <c r="B5" i="6"/>
  <c r="B2" i="6"/>
  <c r="S4" i="15"/>
  <c r="M4" i="15"/>
  <c r="A4" i="15"/>
  <c r="G4" i="15"/>
  <c r="H7" i="6" l="1"/>
  <c r="L5" i="6" s="1"/>
  <c r="Y4" i="15"/>
  <c r="AE4" i="15"/>
  <c r="H4" i="6"/>
  <c r="I4" i="6" s="1"/>
  <c r="H3" i="6"/>
  <c r="I3" i="6" s="1"/>
  <c r="H6" i="6"/>
  <c r="I6" i="6" s="1"/>
  <c r="L3" i="6"/>
  <c r="I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39E23C-6CC3-4CE6-865E-4F999AF46395}" keepAlive="1" name="Query - Cleaned_Sales_Data" description="Connection to the 'Cleaned_Sales_Data' query in the workbook." type="5" refreshedVersion="8" background="1" saveData="1">
    <dbPr connection="Provider=Microsoft.Mashup.OleDb.1;Data Source=$Workbook$;Location=Cleaned_Sales_Data;Extended Properties=&quot;&quot;" command="SELECT * FROM [Cleaned_Sales_Data]"/>
  </connection>
</connections>
</file>

<file path=xl/sharedStrings.xml><?xml version="1.0" encoding="utf-8"?>
<sst xmlns="http://schemas.openxmlformats.org/spreadsheetml/2006/main" count="19224" uniqueCount="1388">
  <si>
    <t>Order_ID</t>
  </si>
  <si>
    <t>Order_Date</t>
  </si>
  <si>
    <t>Region</t>
  </si>
  <si>
    <t>State</t>
  </si>
  <si>
    <t>Salesperson</t>
  </si>
  <si>
    <t>Category</t>
  </si>
  <si>
    <t>Product</t>
  </si>
  <si>
    <t>Quantity</t>
  </si>
  <si>
    <t>Unit_Price</t>
  </si>
  <si>
    <t>Discount</t>
  </si>
  <si>
    <t>Revenue</t>
  </si>
  <si>
    <t>Cost</t>
  </si>
  <si>
    <t>Profit</t>
  </si>
  <si>
    <t>Customer_Type</t>
  </si>
  <si>
    <t>Payment_Mode</t>
  </si>
  <si>
    <t>ORD10001</t>
  </si>
  <si>
    <t>South</t>
  </si>
  <si>
    <t>Telangana</t>
  </si>
  <si>
    <t>Arjun</t>
  </si>
  <si>
    <t>Office Supplies</t>
  </si>
  <si>
    <t>Stationery Kit</t>
  </si>
  <si>
    <t>Retail</t>
  </si>
  <si>
    <t>Debit Card</t>
  </si>
  <si>
    <t>ORD10002</t>
  </si>
  <si>
    <t>NORTH</t>
  </si>
  <si>
    <t>Punjab</t>
  </si>
  <si>
    <t>Kavya</t>
  </si>
  <si>
    <t>Furniture</t>
  </si>
  <si>
    <t>Dining Table</t>
  </si>
  <si>
    <t>Corporate</t>
  </si>
  <si>
    <t>UPI</t>
  </si>
  <si>
    <t>ORD10003</t>
  </si>
  <si>
    <t>Tamil Nadu</t>
  </si>
  <si>
    <t>Priya</t>
  </si>
  <si>
    <t>Electronics</t>
  </si>
  <si>
    <t>Monitor</t>
  </si>
  <si>
    <t>ORD10004</t>
  </si>
  <si>
    <t>North</t>
  </si>
  <si>
    <t>Haryana</t>
  </si>
  <si>
    <t>Smartphone</t>
  </si>
  <si>
    <t>Net Banking</t>
  </si>
  <si>
    <t>ORD10005</t>
  </si>
  <si>
    <t>Uttar Pradesh</t>
  </si>
  <si>
    <t>Home Appliances</t>
  </si>
  <si>
    <t>Microwave</t>
  </si>
  <si>
    <t>Cash</t>
  </si>
  <si>
    <t>ORD10006</t>
  </si>
  <si>
    <t>WEST</t>
  </si>
  <si>
    <t>Gujarat</t>
  </si>
  <si>
    <t>Sneha</t>
  </si>
  <si>
    <t>Bed</t>
  </si>
  <si>
    <t>ORD10007</t>
  </si>
  <si>
    <t>Karnataka</t>
  </si>
  <si>
    <t>ORD10008</t>
  </si>
  <si>
    <t>West</t>
  </si>
  <si>
    <t>Goa</t>
  </si>
  <si>
    <t>Amit</t>
  </si>
  <si>
    <t>Tablet</t>
  </si>
  <si>
    <t>Online</t>
  </si>
  <si>
    <t>Credit Card</t>
  </si>
  <si>
    <t>ORD10009</t>
  </si>
  <si>
    <t>Office Chair</t>
  </si>
  <si>
    <t>ORD10010</t>
  </si>
  <si>
    <t>East</t>
  </si>
  <si>
    <t>Bihar</t>
  </si>
  <si>
    <t>Vikram</t>
  </si>
  <si>
    <t>Bookshelf</t>
  </si>
  <si>
    <t>ORD10011</t>
  </si>
  <si>
    <t>Delhi</t>
  </si>
  <si>
    <t>Rahul</t>
  </si>
  <si>
    <t>Laptop</t>
  </si>
  <si>
    <t>ORD10012</t>
  </si>
  <si>
    <t xml:space="preserve">Kavya  </t>
  </si>
  <si>
    <t>ORD10013</t>
  </si>
  <si>
    <t>Neha</t>
  </si>
  <si>
    <t>Washing Machine</t>
  </si>
  <si>
    <t>ORD10014</t>
  </si>
  <si>
    <t>ORD10015</t>
  </si>
  <si>
    <t>ORD10016</t>
  </si>
  <si>
    <t>ORD10017</t>
  </si>
  <si>
    <t>Headphones</t>
  </si>
  <si>
    <t>ORD10018</t>
  </si>
  <si>
    <t>Andhra Pradesh</t>
  </si>
  <si>
    <t>ORD10019</t>
  </si>
  <si>
    <t>Refrigerator</t>
  </si>
  <si>
    <t>ORD10020</t>
  </si>
  <si>
    <t>ORD10021</t>
  </si>
  <si>
    <t>ORD10022</t>
  </si>
  <si>
    <t>Jharkhand</t>
  </si>
  <si>
    <t>Sofa</t>
  </si>
  <si>
    <t>ORD10023</t>
  </si>
  <si>
    <t>Air Conditioner</t>
  </si>
  <si>
    <t>ORD10024</t>
  </si>
  <si>
    <t>ORD10025</t>
  </si>
  <si>
    <t>ORD10026</t>
  </si>
  <si>
    <t>West Bengal</t>
  </si>
  <si>
    <t>electronics</t>
  </si>
  <si>
    <t>ORD10027</t>
  </si>
  <si>
    <t>NEHA</t>
  </si>
  <si>
    <t>ORD10028</t>
  </si>
  <si>
    <t>ELECTRONICS</t>
  </si>
  <si>
    <t>ORD10029</t>
  </si>
  <si>
    <t>Notebook</t>
  </si>
  <si>
    <t>ORD10030</t>
  </si>
  <si>
    <t>ORD10031</t>
  </si>
  <si>
    <t>ORD10032</t>
  </si>
  <si>
    <t>Desk</t>
  </si>
  <si>
    <t>ORD10033</t>
  </si>
  <si>
    <t>Printer</t>
  </si>
  <si>
    <t>ORD10034</t>
  </si>
  <si>
    <t>ORD10035</t>
  </si>
  <si>
    <t>ORD10036</t>
  </si>
  <si>
    <t>ORD10037</t>
  </si>
  <si>
    <t xml:space="preserve">  North</t>
  </si>
  <si>
    <t>ORD10038</t>
  </si>
  <si>
    <t>ORD10039</t>
  </si>
  <si>
    <t>ORD10040</t>
  </si>
  <si>
    <t>Odisha</t>
  </si>
  <si>
    <t>ORD10041</t>
  </si>
  <si>
    <t>ORD10042</t>
  </si>
  <si>
    <t>ORD10043</t>
  </si>
  <si>
    <t>Mixer Grinder</t>
  </si>
  <si>
    <t>ORD10044</t>
  </si>
  <si>
    <t>ORD10045</t>
  </si>
  <si>
    <t>Maharashtra</t>
  </si>
  <si>
    <t>Coffee Table</t>
  </si>
  <si>
    <t>ORD10046</t>
  </si>
  <si>
    <t>ORD10047</t>
  </si>
  <si>
    <t>ORD10048</t>
  </si>
  <si>
    <t>ORD10049</t>
  </si>
  <si>
    <t>ORD10050</t>
  </si>
  <si>
    <t>73494.95</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</si>
  <si>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</si>
  <si>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</si>
  <si>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</si>
  <si>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</si>
  <si>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</si>
  <si>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</si>
  <si>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</si>
  <si>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</si>
  <si>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</si>
  <si>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</si>
  <si>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</si>
  <si>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</si>
  <si>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</si>
  <si>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</si>
  <si>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</si>
  <si>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</si>
  <si>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</si>
  <si>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</si>
  <si>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</si>
  <si>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</si>
  <si>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78439.92</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</si>
  <si>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</si>
  <si>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</si>
  <si>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</si>
  <si>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</si>
  <si>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</si>
  <si>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</si>
  <si>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</si>
  <si>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</si>
  <si>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</si>
  <si>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</si>
  <si>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</si>
  <si>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</si>
  <si>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</si>
  <si>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</si>
  <si>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</si>
  <si>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</si>
  <si>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</si>
  <si>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</si>
  <si>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</si>
  <si>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</si>
  <si>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</si>
  <si>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Rajasthan</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</si>
  <si>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</si>
  <si>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</si>
  <si>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</si>
  <si>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</si>
  <si>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</si>
  <si>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</si>
  <si>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</si>
  <si>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</si>
  <si>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</si>
  <si>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</si>
  <si>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</si>
  <si>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</si>
  <si>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</si>
  <si>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</si>
  <si>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</si>
  <si>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</si>
  <si>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</si>
  <si>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</si>
  <si>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</si>
  <si>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</si>
  <si>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</si>
  <si>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3</t>
  </si>
  <si>
    <t>ORD10113</t>
  </si>
  <si>
    <t>furniture</t>
  </si>
  <si>
    <t>ORD10115</t>
  </si>
  <si>
    <t>ORD10116</t>
  </si>
  <si>
    <t>ORD10117</t>
  </si>
  <si>
    <t>ORD10118</t>
  </si>
  <si>
    <t xml:space="preserve">Furniture  </t>
  </si>
  <si>
    <t>ORD10119</t>
  </si>
  <si>
    <t>ORD10120</t>
  </si>
  <si>
    <t>ORD10121</t>
  </si>
  <si>
    <t>ORD10122</t>
  </si>
  <si>
    <t>ORD10123</t>
  </si>
  <si>
    <t>ORD10124</t>
  </si>
  <si>
    <t>ORD10125</t>
  </si>
  <si>
    <t>ORD10126</t>
  </si>
  <si>
    <t>ORD10127</t>
  </si>
  <si>
    <t>ORD10128</t>
  </si>
  <si>
    <t>ORD10129</t>
  </si>
  <si>
    <t>ORD10130</t>
  </si>
  <si>
    <t>ORD10131</t>
  </si>
  <si>
    <t>64608.02</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</si>
  <si>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</si>
  <si>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</si>
  <si>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</si>
  <si>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</si>
  <si>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</si>
  <si>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</si>
  <si>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</si>
  <si>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</si>
  <si>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</si>
  <si>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</si>
  <si>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</si>
  <si>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</si>
  <si>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</si>
  <si>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</si>
  <si>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</si>
  <si>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</si>
  <si>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</si>
  <si>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</si>
  <si>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</si>
  <si>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</si>
  <si>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ORD10153</t>
  </si>
  <si>
    <t>ORD10154</t>
  </si>
  <si>
    <t>ORD10155</t>
  </si>
  <si>
    <t>ORD10156</t>
  </si>
  <si>
    <t>ORD10157</t>
  </si>
  <si>
    <t xml:space="preserve">  Electronics</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</si>
  <si>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</si>
  <si>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</si>
  <si>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</si>
  <si>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</si>
  <si>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</si>
  <si>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</si>
  <si>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</si>
  <si>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</si>
  <si>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</si>
  <si>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</si>
  <si>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</si>
  <si>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</si>
  <si>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</si>
  <si>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</si>
  <si>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</si>
  <si>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</si>
  <si>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</si>
  <si>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</si>
  <si>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</si>
  <si>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</si>
  <si>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7</t>
  </si>
  <si>
    <t>ORD10178</t>
  </si>
  <si>
    <t>ORD10179</t>
  </si>
  <si>
    <t>ORD10180</t>
  </si>
  <si>
    <t>ORD10181</t>
  </si>
  <si>
    <t>ORD10182</t>
  </si>
  <si>
    <t>ORD10183</t>
  </si>
  <si>
    <t>north</t>
  </si>
  <si>
    <t>ORD10184</t>
  </si>
  <si>
    <t>ORD10185</t>
  </si>
  <si>
    <t>ORD10186</t>
  </si>
  <si>
    <t>ORD10187</t>
  </si>
  <si>
    <t>ORD10188</t>
  </si>
  <si>
    <t>ORD10189</t>
  </si>
  <si>
    <t>ORD10190</t>
  </si>
  <si>
    <t>ORD10191</t>
  </si>
  <si>
    <t xml:space="preserve">  East</t>
  </si>
  <si>
    <t>ORD10192</t>
  </si>
  <si>
    <t>ORD10193</t>
  </si>
  <si>
    <t>ORD10194</t>
  </si>
  <si>
    <t>ORD10195</t>
  </si>
  <si>
    <t>ORD10196</t>
  </si>
  <si>
    <t>ORD10197</t>
  </si>
  <si>
    <t xml:space="preserve">  Home Appliances</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</si>
  <si>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</si>
  <si>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</si>
  <si>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</si>
  <si>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</si>
  <si>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</si>
  <si>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</si>
  <si>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</si>
  <si>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</si>
  <si>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</si>
  <si>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</si>
  <si>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</si>
  <si>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</si>
  <si>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</si>
  <si>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</si>
  <si>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</si>
  <si>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</si>
  <si>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</si>
  <si>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</si>
  <si>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 xml:space="preserve">  Rahul</t>
  </si>
  <si>
    <t>ORD10216</t>
  </si>
  <si>
    <t>ORD10217</t>
  </si>
  <si>
    <t>ORD10218</t>
  </si>
  <si>
    <t>ORD10219</t>
  </si>
  <si>
    <t>ORD10220</t>
  </si>
  <si>
    <t>ORD10221</t>
  </si>
  <si>
    <t>ORD10222</t>
  </si>
  <si>
    <t>ORD10223</t>
  </si>
  <si>
    <t>ORD10224</t>
  </si>
  <si>
    <t>ORD10225</t>
  </si>
  <si>
    <t>ORD10226</t>
  </si>
  <si>
    <t xml:space="preserve">Home Appliances  </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</si>
  <si>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</si>
  <si>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</si>
  <si>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</si>
  <si>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</si>
  <si>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</si>
  <si>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</si>
  <si>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</si>
  <si>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</si>
  <si>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</si>
  <si>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</si>
  <si>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</si>
  <si>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</si>
  <si>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</si>
  <si>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</si>
  <si>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</si>
  <si>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</si>
  <si>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</si>
  <si>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</si>
  <si>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</si>
  <si>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</si>
  <si>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</si>
  <si>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</si>
  <si>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</si>
  <si>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</si>
  <si>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</si>
  <si>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 xml:space="preserve">  Kavya</t>
  </si>
  <si>
    <t>ORD10252</t>
  </si>
  <si>
    <t>ORD10253</t>
  </si>
  <si>
    <t>ORD10254</t>
  </si>
  <si>
    <t>ORD10255</t>
  </si>
  <si>
    <t>49955.49</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</si>
  <si>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</si>
  <si>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</si>
  <si>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</si>
  <si>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</si>
  <si>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</si>
  <si>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</si>
  <si>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</si>
  <si>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</si>
  <si>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</si>
  <si>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</si>
  <si>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</si>
  <si>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</si>
  <si>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</si>
  <si>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</si>
  <si>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</si>
  <si>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</si>
  <si>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</si>
  <si>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</si>
  <si>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8</t>
  </si>
  <si>
    <t>ORD10274</t>
  </si>
  <si>
    <t>ORD10275</t>
  </si>
  <si>
    <t>ORD10276</t>
  </si>
  <si>
    <t>ORD10277</t>
  </si>
  <si>
    <t>ORD10278</t>
  </si>
  <si>
    <t>PRIYA</t>
  </si>
  <si>
    <t>ORD10279</t>
  </si>
  <si>
    <t>ORD10280</t>
  </si>
  <si>
    <t>ORD10281</t>
  </si>
  <si>
    <t>ORD10282</t>
  </si>
  <si>
    <t>ORD10283</t>
  </si>
  <si>
    <t>ORD10284</t>
  </si>
  <si>
    <t>ORD10285</t>
  </si>
  <si>
    <t>ORD10286</t>
  </si>
  <si>
    <t>ORD10287</t>
  </si>
  <si>
    <t>ORD10288</t>
  </si>
  <si>
    <t>15582.19</t>
  </si>
  <si>
    <t>ORD10289</t>
  </si>
  <si>
    <t>ORD10290</t>
  </si>
  <si>
    <t>21749.03</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</si>
  <si>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</si>
  <si>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</si>
  <si>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</si>
  <si>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</si>
  <si>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</si>
  <si>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</si>
  <si>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</si>
  <si>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</si>
  <si>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</si>
  <si>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</si>
  <si>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</si>
  <si>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</si>
  <si>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</si>
  <si>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</si>
  <si>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</si>
  <si>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</si>
  <si>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</si>
  <si>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</si>
  <si>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</si>
  <si>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</si>
  <si>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11915.11</t>
  </si>
  <si>
    <t>ORD10311</t>
  </si>
  <si>
    <t>ORD10312</t>
  </si>
  <si>
    <t>ORD10313</t>
  </si>
  <si>
    <t>ORD10314</t>
  </si>
  <si>
    <t>ORD10315</t>
  </si>
  <si>
    <t>ORD10316</t>
  </si>
  <si>
    <t>ORD10317</t>
  </si>
  <si>
    <t>ORD10318</t>
  </si>
  <si>
    <t>ORD10319</t>
  </si>
  <si>
    <t>ORD10320</t>
  </si>
  <si>
    <t>4318.24</t>
  </si>
  <si>
    <t>ORD10321</t>
  </si>
  <si>
    <t>ORD10322</t>
  </si>
  <si>
    <t>ORD10323</t>
  </si>
  <si>
    <t>2</t>
  </si>
  <si>
    <t>ORD10324</t>
  </si>
  <si>
    <t>ORD10325</t>
  </si>
  <si>
    <t>ORD10326</t>
  </si>
  <si>
    <t>ORD10327</t>
  </si>
  <si>
    <t>ORD10328</t>
  </si>
  <si>
    <t>ORD10329</t>
  </si>
  <si>
    <t>ORD10330</t>
  </si>
  <si>
    <t>ORD10331</t>
  </si>
  <si>
    <t>ORD10332</t>
  </si>
  <si>
    <t xml:space="preserve">  Sneha</t>
  </si>
  <si>
    <t>ORD10333</t>
  </si>
  <si>
    <t>ORD10334</t>
  </si>
  <si>
    <t xml:space="preserve">  Priya</t>
  </si>
  <si>
    <t>ORD10335</t>
  </si>
  <si>
    <t>ORD10336</t>
  </si>
  <si>
    <t>ORD10337</t>
  </si>
  <si>
    <t>ORD10338</t>
  </si>
  <si>
    <t>ORD10339</t>
  </si>
  <si>
    <t xml:space="preserve">East  </t>
  </si>
  <si>
    <t>ORD10340</t>
  </si>
  <si>
    <t>ORD10341</t>
  </si>
  <si>
    <t>ORD10342</t>
  </si>
  <si>
    <t>ORD10343</t>
  </si>
  <si>
    <t>ORD10344</t>
  </si>
  <si>
    <t>ORD10345</t>
  </si>
  <si>
    <t>ORD10346</t>
  </si>
  <si>
    <t>ORD10347</t>
  </si>
  <si>
    <t>ORD10348</t>
  </si>
  <si>
    <t>8819.44</t>
  </si>
  <si>
    <t>ORD10350</t>
  </si>
  <si>
    <t>ORD10351</t>
  </si>
  <si>
    <t>ORD10352</t>
  </si>
  <si>
    <t>ORD10353</t>
  </si>
  <si>
    <t>ORD10354</t>
  </si>
  <si>
    <t>ORD10355</t>
  </si>
  <si>
    <t>office supplies</t>
  </si>
  <si>
    <t>ORD10356</t>
  </si>
  <si>
    <t>ORD10357</t>
  </si>
  <si>
    <t>ORD10358</t>
  </si>
  <si>
    <t>ORD10359</t>
  </si>
  <si>
    <t>ORD10360</t>
  </si>
  <si>
    <t>ORD10361</t>
  </si>
  <si>
    <t>ORD10362</t>
  </si>
  <si>
    <t>ORD10363</t>
  </si>
  <si>
    <t>ORD10364</t>
  </si>
  <si>
    <t>ORD10365</t>
  </si>
  <si>
    <t>ORD10366</t>
  </si>
  <si>
    <t>ORD10368</t>
  </si>
  <si>
    <t>ORD10369</t>
  </si>
  <si>
    <t>ORD10370</t>
  </si>
  <si>
    <t>ORD10371</t>
  </si>
  <si>
    <t>244.61</t>
  </si>
  <si>
    <t>ORD10372</t>
  </si>
  <si>
    <t>ORD10373</t>
  </si>
  <si>
    <t>ORD10374</t>
  </si>
  <si>
    <t>ORD10375</t>
  </si>
  <si>
    <t>ORD10376</t>
  </si>
  <si>
    <t>ORD10377</t>
  </si>
  <si>
    <t>ORD10378</t>
  </si>
  <si>
    <t>ORD10379</t>
  </si>
  <si>
    <t xml:space="preserve">  Office Supplies</t>
  </si>
  <si>
    <t>ORD10380</t>
  </si>
  <si>
    <t>ORD10381</t>
  </si>
  <si>
    <t>ORD10382</t>
  </si>
  <si>
    <t>ORD10383</t>
  </si>
  <si>
    <t>ORD10384</t>
  </si>
  <si>
    <t>ORD10385</t>
  </si>
  <si>
    <t>ORD10386</t>
  </si>
  <si>
    <t>ORD10387</t>
  </si>
  <si>
    <t>ORD10388</t>
  </si>
  <si>
    <t>ORD10389</t>
  </si>
  <si>
    <t>ORD10390</t>
  </si>
  <si>
    <t>ORD10391</t>
  </si>
  <si>
    <t xml:space="preserve">Amit  </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</si>
  <si>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</si>
  <si>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</si>
  <si>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</si>
  <si>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</si>
  <si>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</si>
  <si>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</si>
  <si>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</si>
  <si>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</si>
  <si>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</si>
  <si>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</si>
  <si>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</si>
  <si>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</si>
  <si>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</si>
  <si>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</si>
  <si>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</si>
  <si>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</si>
  <si>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</si>
  <si>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</si>
  <si>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</si>
  <si>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</si>
  <si>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</si>
  <si>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</si>
  <si>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</si>
  <si>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32453.0</t>
  </si>
  <si>
    <t>ORD10415</t>
  </si>
  <si>
    <t>ORD10416</t>
  </si>
  <si>
    <t>ORD10417</t>
  </si>
  <si>
    <t>ORD10418</t>
  </si>
  <si>
    <t>EAST</t>
  </si>
  <si>
    <t>ORD10419</t>
  </si>
  <si>
    <t>ORD10420</t>
  </si>
  <si>
    <t>ORD10421</t>
  </si>
  <si>
    <t>ORD10422</t>
  </si>
  <si>
    <t>ORD10423</t>
  </si>
  <si>
    <t>ORD10424</t>
  </si>
  <si>
    <t>ORD10425</t>
  </si>
  <si>
    <t>ORD10426</t>
  </si>
  <si>
    <t>ORD10427</t>
  </si>
  <si>
    <t>ORD10428</t>
  </si>
  <si>
    <t>11217.6</t>
  </si>
  <si>
    <t>ORD10429</t>
  </si>
  <si>
    <t>ORD10430</t>
  </si>
  <si>
    <t>ORD10431</t>
  </si>
  <si>
    <t xml:space="preserve">Sneha  </t>
  </si>
  <si>
    <t>ORD10432</t>
  </si>
  <si>
    <t>ORD10433</t>
  </si>
  <si>
    <t>ORD10434</t>
  </si>
  <si>
    <t>ORD10435</t>
  </si>
  <si>
    <t>6</t>
  </si>
  <si>
    <t>ORD10436</t>
  </si>
  <si>
    <t>ORD10437</t>
  </si>
  <si>
    <t>ORD10438</t>
  </si>
  <si>
    <t>ORD10439</t>
  </si>
  <si>
    <t>ORD10440</t>
  </si>
  <si>
    <t>ORD10441</t>
  </si>
  <si>
    <t>13826.75</t>
  </si>
  <si>
    <t>ORD10442</t>
  </si>
  <si>
    <t>ORD10443</t>
  </si>
  <si>
    <t>ORD10444</t>
  </si>
  <si>
    <t>HOME APPLIANCES</t>
  </si>
  <si>
    <t>ORD10445</t>
  </si>
  <si>
    <t>ORD10446</t>
  </si>
  <si>
    <t>ORD10447</t>
  </si>
  <si>
    <t>ORD10448</t>
  </si>
  <si>
    <t>ORD10449</t>
  </si>
  <si>
    <t>ORD10450</t>
  </si>
  <si>
    <t>ORD10451</t>
  </si>
  <si>
    <t>ORD10452</t>
  </si>
  <si>
    <t>ORD10453</t>
  </si>
  <si>
    <t>ORD10454</t>
  </si>
  <si>
    <t>ORD10455</t>
  </si>
  <si>
    <t>ORD10456</t>
  </si>
  <si>
    <t>ORD10457</t>
  </si>
  <si>
    <t>RAHUL</t>
  </si>
  <si>
    <t>ORD10458</t>
  </si>
  <si>
    <t>ORD10459</t>
  </si>
  <si>
    <t>ORD10460</t>
  </si>
  <si>
    <t>ORD10461</t>
  </si>
  <si>
    <t>ORD10462</t>
  </si>
  <si>
    <t>ORD10463</t>
  </si>
  <si>
    <t>ORD10464</t>
  </si>
  <si>
    <t>ORD10465</t>
  </si>
  <si>
    <t>ORD10466</t>
  </si>
  <si>
    <t>ORD10467</t>
  </si>
  <si>
    <t>ORD10468</t>
  </si>
  <si>
    <t>ORD10469</t>
  </si>
  <si>
    <t>ORD10470</t>
  </si>
  <si>
    <t>ORD10471</t>
  </si>
  <si>
    <t>ORD10472</t>
  </si>
  <si>
    <t>5</t>
  </si>
  <si>
    <t>ORD10473</t>
  </si>
  <si>
    <t>ORD10474</t>
  </si>
  <si>
    <t xml:space="preserve">Neha  </t>
  </si>
  <si>
    <t>ORD10475</t>
  </si>
  <si>
    <t>ORD10476</t>
  </si>
  <si>
    <t>ORD10477</t>
  </si>
  <si>
    <t>ORD10478</t>
  </si>
  <si>
    <t>ORD10479</t>
  </si>
  <si>
    <t>ORD10480</t>
  </si>
  <si>
    <t>ORD10481</t>
  </si>
  <si>
    <t>ORD10482</t>
  </si>
  <si>
    <t>ORD10483</t>
  </si>
  <si>
    <t xml:space="preserve">South  </t>
  </si>
  <si>
    <t>ORD10484</t>
  </si>
  <si>
    <t xml:space="preserve">Office Supplies  </t>
  </si>
  <si>
    <t>ORD10485</t>
  </si>
  <si>
    <t>neha</t>
  </si>
  <si>
    <t>ORD10486</t>
  </si>
  <si>
    <t>ORD10487</t>
  </si>
  <si>
    <t>ORD10488</t>
  </si>
  <si>
    <t>ORD10489</t>
  </si>
  <si>
    <t>4843.8</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</si>
  <si>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</si>
  <si>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</si>
  <si>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</si>
  <si>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</si>
  <si>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</si>
  <si>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</si>
  <si>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</si>
  <si>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</si>
  <si>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</si>
  <si>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</si>
  <si>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</si>
  <si>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</si>
  <si>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</si>
  <si>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</si>
  <si>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</si>
  <si>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</si>
  <si>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</si>
  <si>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</si>
  <si>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</si>
  <si>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</si>
  <si>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</si>
  <si>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</si>
  <si>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SOUTH</t>
  </si>
  <si>
    <t xml:space="preserve">Electronics  </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</si>
  <si>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</si>
  <si>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</si>
  <si>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</si>
  <si>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</si>
  <si>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</si>
  <si>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</si>
  <si>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</si>
  <si>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</si>
  <si>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</si>
  <si>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</si>
  <si>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</si>
  <si>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</si>
  <si>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</si>
  <si>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</si>
  <si>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</si>
  <si>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</si>
  <si>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</si>
  <si>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</si>
  <si>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</si>
  <si>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</si>
  <si>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</si>
  <si>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</si>
  <si>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</si>
  <si>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</si>
  <si>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</si>
  <si>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</si>
  <si>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</si>
  <si>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</si>
  <si>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</si>
  <si>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</si>
  <si>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</si>
  <si>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</si>
  <si>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</si>
  <si>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</si>
  <si>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</si>
  <si>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</si>
  <si>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</si>
  <si>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</si>
  <si>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</si>
  <si>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</si>
  <si>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</si>
  <si>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</si>
  <si>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</si>
  <si>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</si>
  <si>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</si>
  <si>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</si>
  <si>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</si>
  <si>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</si>
  <si>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</si>
  <si>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</si>
  <si>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</si>
  <si>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</si>
  <si>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</si>
  <si>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</si>
  <si>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</si>
  <si>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</si>
  <si>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</si>
  <si>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</si>
  <si>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</si>
  <si>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</si>
  <si>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</si>
  <si>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</si>
  <si>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</si>
  <si>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</si>
  <si>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</si>
  <si>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</si>
  <si>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</si>
  <si>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</si>
  <si>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</si>
  <si>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</si>
  <si>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</si>
  <si>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</si>
  <si>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kavya</t>
  </si>
  <si>
    <t>ORD10584</t>
  </si>
  <si>
    <t>vikram</t>
  </si>
  <si>
    <t>ORD10585</t>
  </si>
  <si>
    <t>arjun</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</si>
  <si>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</si>
  <si>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</si>
  <si>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</si>
  <si>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</si>
  <si>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</si>
  <si>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</si>
  <si>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</si>
  <si>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</si>
  <si>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</si>
  <si>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</si>
  <si>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</si>
  <si>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</si>
  <si>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</si>
  <si>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</si>
  <si>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</si>
  <si>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</si>
  <si>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</si>
  <si>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</si>
  <si>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</si>
  <si>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</si>
  <si>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</si>
  <si>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</si>
  <si>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</si>
  <si>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</si>
  <si>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</si>
  <si>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</si>
  <si>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</si>
  <si>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</si>
  <si>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home appliances</t>
  </si>
  <si>
    <t>ORD10614</t>
  </si>
  <si>
    <t>ORD10615</t>
  </si>
  <si>
    <t>ORD10616</t>
  </si>
  <si>
    <t>44501.83</t>
  </si>
  <si>
    <t>ORD10617</t>
  </si>
  <si>
    <t>ORD10618</t>
  </si>
  <si>
    <t>ORD10619</t>
  </si>
  <si>
    <t>ORD10620</t>
  </si>
  <si>
    <t>ORD10621</t>
  </si>
  <si>
    <t>ORD10622</t>
  </si>
  <si>
    <t>ORD10623</t>
  </si>
  <si>
    <t>ORD10624</t>
  </si>
  <si>
    <t>ORD10625</t>
  </si>
  <si>
    <t>ORD10626</t>
  </si>
  <si>
    <t>ORD10627</t>
  </si>
  <si>
    <t>ORD10628</t>
  </si>
  <si>
    <t>ORD10629</t>
  </si>
  <si>
    <t xml:space="preserve">  Furniture</t>
  </si>
  <si>
    <t>ORD10630</t>
  </si>
  <si>
    <t>ORD10631</t>
  </si>
  <si>
    <t>ORD10632</t>
  </si>
  <si>
    <t>ORD10633</t>
  </si>
  <si>
    <t>ORD10634</t>
  </si>
  <si>
    <t>ORD10635</t>
  </si>
  <si>
    <t>ORD10636</t>
  </si>
  <si>
    <t>ORD10637</t>
  </si>
  <si>
    <t xml:space="preserve">  Amit</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</si>
  <si>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</si>
  <si>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</si>
  <si>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</si>
  <si>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</si>
  <si>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</si>
  <si>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</si>
  <si>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</si>
  <si>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</si>
  <si>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</si>
  <si>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</si>
  <si>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</si>
  <si>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</si>
  <si>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</si>
  <si>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</si>
  <si>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</si>
  <si>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</si>
  <si>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</si>
  <si>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53593.83</t>
  </si>
  <si>
    <t>ORD10655</t>
  </si>
  <si>
    <t>ORD10656</t>
  </si>
  <si>
    <t>ORD10657</t>
  </si>
  <si>
    <t>ORD10658</t>
  </si>
  <si>
    <t xml:space="preserve">  Neha</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</si>
  <si>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</si>
  <si>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</si>
  <si>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</si>
  <si>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</si>
  <si>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</si>
  <si>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</si>
  <si>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</si>
  <si>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</si>
  <si>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</si>
  <si>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</si>
  <si>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</si>
  <si>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</si>
  <si>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</si>
  <si>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</si>
  <si>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</si>
  <si>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</si>
  <si>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</si>
  <si>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</si>
  <si>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</si>
  <si>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</si>
  <si>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</si>
  <si>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</si>
  <si>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</si>
  <si>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</si>
  <si>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</si>
  <si>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</si>
  <si>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</si>
  <si>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</si>
  <si>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</si>
  <si>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</si>
  <si>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</si>
  <si>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</si>
  <si>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</si>
  <si>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64829.97</t>
  </si>
  <si>
    <t>ORD10693</t>
  </si>
  <si>
    <t>ORD10694</t>
  </si>
  <si>
    <t>ORD10695</t>
  </si>
  <si>
    <t>ORD10696</t>
  </si>
  <si>
    <t>ORD10697</t>
  </si>
  <si>
    <t>ORD10698</t>
  </si>
  <si>
    <t>ORD10699</t>
  </si>
  <si>
    <t>ORD10700</t>
  </si>
  <si>
    <t>ORD10701</t>
  </si>
  <si>
    <t>ORD10702</t>
  </si>
  <si>
    <t>4788.55</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</si>
  <si>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</si>
  <si>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</si>
  <si>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</si>
  <si>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</si>
  <si>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</si>
  <si>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</si>
  <si>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</si>
  <si>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</si>
  <si>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</si>
  <si>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</si>
  <si>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</si>
  <si>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</si>
  <si>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</si>
  <si>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</si>
  <si>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</si>
  <si>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</si>
  <si>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</si>
  <si>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</si>
  <si>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</si>
  <si>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</si>
  <si>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</si>
  <si>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</si>
  <si>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</si>
  <si>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</si>
  <si>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</si>
  <si>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</si>
  <si>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</si>
  <si>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</si>
  <si>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</si>
  <si>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</si>
  <si>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</si>
  <si>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</si>
  <si>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</si>
  <si>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</si>
  <si>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</si>
  <si>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43778.4</t>
  </si>
  <si>
    <t>ORD10738</t>
  </si>
  <si>
    <t>ORD10739</t>
  </si>
  <si>
    <t>ORD10740</t>
  </si>
  <si>
    <t>ORD10741</t>
  </si>
  <si>
    <t>ORD10742</t>
  </si>
  <si>
    <t xml:space="preserve">Vikram  </t>
  </si>
  <si>
    <t>ORD10743</t>
  </si>
  <si>
    <t>ORD10744</t>
  </si>
  <si>
    <t>ORD10745</t>
  </si>
  <si>
    <t>ORD10746</t>
  </si>
  <si>
    <t>ORD10747</t>
  </si>
  <si>
    <t>ORD10748</t>
  </si>
  <si>
    <t>ORD10749</t>
  </si>
  <si>
    <t>ORD10750</t>
  </si>
  <si>
    <t>ORD10751</t>
  </si>
  <si>
    <t>ORD10752</t>
  </si>
  <si>
    <t>ORD10753</t>
  </si>
  <si>
    <t>ORD10754</t>
  </si>
  <si>
    <t>ORD10755</t>
  </si>
  <si>
    <t>ORD10756</t>
  </si>
  <si>
    <t>east</t>
  </si>
  <si>
    <t>ORD10757</t>
  </si>
  <si>
    <t>ORD10758</t>
  </si>
  <si>
    <t>ORD10759</t>
  </si>
  <si>
    <t>ORD10760</t>
  </si>
  <si>
    <t>ORD10761</t>
  </si>
  <si>
    <t>ORD10762</t>
  </si>
  <si>
    <t>ORD10763</t>
  </si>
  <si>
    <t>ORD10764</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</si>
  <si>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</si>
  <si>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</si>
  <si>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</si>
  <si>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</si>
  <si>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</si>
  <si>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</si>
  <si>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</si>
  <si>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</si>
  <si>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</si>
  <si>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</si>
  <si>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</si>
  <si>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</si>
  <si>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</si>
  <si>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</si>
  <si>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</si>
  <si>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</si>
  <si>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</si>
  <si>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</si>
  <si>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</si>
  <si>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</si>
  <si>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</si>
  <si>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</si>
  <si>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</si>
  <si>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</si>
  <si>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</si>
  <si>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</si>
  <si>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</si>
  <si>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</si>
  <si>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</si>
  <si>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</si>
  <si>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</si>
  <si>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31653.13</t>
  </si>
  <si>
    <t>ORD10797</t>
  </si>
  <si>
    <t>ORD10798</t>
  </si>
  <si>
    <t>ORD10799</t>
  </si>
  <si>
    <t>ORD10800</t>
  </si>
  <si>
    <t>ORD10801</t>
  </si>
  <si>
    <t>ORD10802</t>
  </si>
  <si>
    <t>ORD10803</t>
  </si>
  <si>
    <t>ORD10804</t>
  </si>
  <si>
    <t>ORD10805</t>
  </si>
  <si>
    <t>ORD10806</t>
  </si>
  <si>
    <t>ORD10807</t>
  </si>
  <si>
    <t>1</t>
  </si>
  <si>
    <t>ORD10808</t>
  </si>
  <si>
    <t>ORD10809</t>
  </si>
  <si>
    <t>ORD10810</t>
  </si>
  <si>
    <t>ORD10811</t>
  </si>
  <si>
    <t>ORD10812</t>
  </si>
  <si>
    <t>ORD10813</t>
  </si>
  <si>
    <t>ORD10814</t>
  </si>
  <si>
    <t>ORD10815</t>
  </si>
  <si>
    <t>ORD10816</t>
  </si>
  <si>
    <t>ORD10817</t>
  </si>
  <si>
    <t>ORD10818</t>
  </si>
  <si>
    <t>ORD10819</t>
  </si>
  <si>
    <t>ORD10820</t>
  </si>
  <si>
    <t>ORD10821</t>
  </si>
  <si>
    <t xml:space="preserve">  South</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</si>
  <si>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</si>
  <si>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</si>
  <si>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</si>
  <si>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</si>
  <si>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</si>
  <si>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</si>
  <si>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</si>
  <si>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</si>
  <si>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</si>
  <si>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</si>
  <si>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</si>
  <si>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</si>
  <si>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</si>
  <si>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</si>
  <si>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</si>
  <si>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</si>
  <si>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</si>
  <si>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252188.85</t>
  </si>
  <si>
    <t>ORD10839</t>
  </si>
  <si>
    <t>ORD10840</t>
  </si>
  <si>
    <t>ORD10841</t>
  </si>
  <si>
    <t>ORD10842</t>
  </si>
  <si>
    <t>ORD10843</t>
  </si>
  <si>
    <t>ORD10844</t>
  </si>
  <si>
    <t>ORD10845</t>
  </si>
  <si>
    <t>ORD10846</t>
  </si>
  <si>
    <t>ORD10847</t>
  </si>
  <si>
    <t>ORD10848</t>
  </si>
  <si>
    <t>ORD10849</t>
  </si>
  <si>
    <t>ORD10850</t>
  </si>
  <si>
    <t>ORD10851</t>
  </si>
  <si>
    <t>ORD10852</t>
  </si>
  <si>
    <t>ORD10853</t>
  </si>
  <si>
    <t>472927.64</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</si>
  <si>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</si>
  <si>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</si>
  <si>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</si>
  <si>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</si>
  <si>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</si>
  <si>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</si>
  <si>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</si>
  <si>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</si>
  <si>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</si>
  <si>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</si>
  <si>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</si>
  <si>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</si>
  <si>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</si>
  <si>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</si>
  <si>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</si>
  <si>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</si>
  <si>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</si>
  <si>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</si>
  <si>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</si>
  <si>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</si>
  <si>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</si>
  <si>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</si>
  <si>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</si>
  <si>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</si>
  <si>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</si>
  <si>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</si>
  <si>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</si>
  <si>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</si>
  <si>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</si>
  <si>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</si>
  <si>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</si>
  <si>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</si>
  <si>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</si>
  <si>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</si>
  <si>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</si>
  <si>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</si>
  <si>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</si>
  <si>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</si>
  <si>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</si>
  <si>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</si>
  <si>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</si>
  <si>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28791.42</t>
  </si>
  <si>
    <t>ORD10896</t>
  </si>
  <si>
    <t>ORD10897</t>
  </si>
  <si>
    <t>ORD10898</t>
  </si>
  <si>
    <t>ORD10899</t>
  </si>
  <si>
    <t>ORD10900</t>
  </si>
  <si>
    <t>ORD10901</t>
  </si>
  <si>
    <t>ORD10902</t>
  </si>
  <si>
    <t>4735.39</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</si>
  <si>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</si>
  <si>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</si>
  <si>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</si>
  <si>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</si>
  <si>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</si>
  <si>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</si>
  <si>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</si>
  <si>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</si>
  <si>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</si>
  <si>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</si>
  <si>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</si>
  <si>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</si>
  <si>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</si>
  <si>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</si>
  <si>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</si>
  <si>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</si>
  <si>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</si>
  <si>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</si>
  <si>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</si>
  <si>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</si>
  <si>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</si>
  <si>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</si>
  <si>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</si>
  <si>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</si>
  <si>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</si>
  <si>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</si>
  <si>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</si>
  <si>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</si>
  <si>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</si>
  <si>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</si>
  <si>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</si>
  <si>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</si>
  <si>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</si>
  <si>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</si>
  <si>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</si>
  <si>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</si>
  <si>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</si>
  <si>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</si>
  <si>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</si>
  <si>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</si>
  <si>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</si>
  <si>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</si>
  <si>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</si>
  <si>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</si>
  <si>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</si>
  <si>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</si>
  <si>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</si>
  <si>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</si>
  <si>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 xml:space="preserve">  West</t>
  </si>
  <si>
    <t>ORD10951</t>
  </si>
  <si>
    <t>12548.65</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</si>
  <si>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</si>
  <si>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</si>
  <si>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</si>
  <si>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</si>
  <si>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</si>
  <si>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</si>
  <si>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</si>
  <si>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</si>
  <si>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</si>
  <si>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</si>
  <si>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</si>
  <si>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</si>
  <si>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</si>
  <si>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</si>
  <si>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</si>
  <si>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</si>
  <si>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</si>
  <si>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</si>
  <si>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</si>
  <si>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</si>
  <si>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</si>
  <si>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</si>
  <si>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</si>
  <si>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</si>
  <si>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82403.93</t>
  </si>
  <si>
    <t>ORD10976</t>
  </si>
  <si>
    <t>ORD10977</t>
  </si>
  <si>
    <t>ORD10978</t>
  </si>
  <si>
    <t>ORD10979</t>
  </si>
  <si>
    <t>ORD10980</t>
  </si>
  <si>
    <t>ORD10981</t>
  </si>
  <si>
    <t>ORD10982</t>
  </si>
  <si>
    <t>ORD10983</t>
  </si>
  <si>
    <t>ORD10984</t>
  </si>
  <si>
    <t>OFFICE SUPPLIES</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</si>
  <si>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</si>
  <si>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</si>
  <si>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</si>
  <si>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</si>
  <si>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</si>
  <si>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</si>
  <si>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</si>
  <si>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</si>
  <si>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</si>
  <si>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</si>
  <si>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</si>
  <si>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</si>
  <si>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</si>
  <si>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</si>
  <si>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</si>
  <si>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</si>
  <si>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</si>
  <si>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</si>
  <si>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</si>
  <si>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</si>
  <si>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</si>
  <si>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</si>
  <si>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</si>
  <si>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</si>
  <si>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</si>
  <si>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</si>
  <si>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</si>
  <si>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</si>
  <si>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</si>
  <si>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</si>
  <si>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</si>
  <si>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</si>
  <si>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</si>
  <si>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</si>
  <si>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</si>
  <si>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</si>
  <si>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</si>
  <si>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</si>
  <si>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</si>
  <si>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</si>
  <si>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</si>
  <si>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</si>
  <si>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</si>
  <si>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</si>
  <si>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</si>
  <si>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</si>
  <si>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</si>
  <si>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</si>
  <si>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</si>
  <si>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</si>
  <si>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</si>
  <si>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</si>
  <si>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</si>
  <si>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</si>
  <si>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</si>
  <si>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</si>
  <si>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</si>
  <si>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</si>
  <si>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</si>
  <si>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</si>
  <si>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</si>
  <si>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</si>
  <si>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south</t>
  </si>
  <si>
    <t>ORD11048</t>
  </si>
  <si>
    <t>ORD11049</t>
  </si>
  <si>
    <t>ORD11050</t>
  </si>
  <si>
    <t>ORD11051</t>
  </si>
  <si>
    <t>130519.97</t>
  </si>
  <si>
    <t>ORD11052</t>
  </si>
  <si>
    <t>VIKRAM</t>
  </si>
  <si>
    <t>ORD11053</t>
  </si>
  <si>
    <t>ORD11054</t>
  </si>
  <si>
    <t>ORD11055</t>
  </si>
  <si>
    <t>ORD11056</t>
  </si>
  <si>
    <t>ORD11057</t>
  </si>
  <si>
    <t>ORD11058</t>
  </si>
  <si>
    <t>134419.71</t>
  </si>
  <si>
    <t>ORD11059</t>
  </si>
  <si>
    <t>ORD11060</t>
  </si>
  <si>
    <t>west</t>
  </si>
  <si>
    <t>ORD11061</t>
  </si>
  <si>
    <t>41297.12</t>
  </si>
  <si>
    <t>ORD11062</t>
  </si>
  <si>
    <t>ORD11063</t>
  </si>
  <si>
    <t>46674.25</t>
  </si>
  <si>
    <t>ORD11064</t>
  </si>
  <si>
    <t>ORD11065</t>
  </si>
  <si>
    <t>ORD11066</t>
  </si>
  <si>
    <t>ORD11067</t>
  </si>
  <si>
    <t>ORD11069</t>
  </si>
  <si>
    <t>ORD11070</t>
  </si>
  <si>
    <t>ORD11071</t>
  </si>
  <si>
    <t>ORD11072</t>
  </si>
  <si>
    <t>ORD11073</t>
  </si>
  <si>
    <t>ORD11074</t>
  </si>
  <si>
    <t>ORD11075</t>
  </si>
  <si>
    <t>ORD11076</t>
  </si>
  <si>
    <t>245.13</t>
  </si>
  <si>
    <t>ORD11077</t>
  </si>
  <si>
    <t>ORD11078</t>
  </si>
  <si>
    <t>ORD11079</t>
  </si>
  <si>
    <t>ORD11080</t>
  </si>
  <si>
    <t>ORD11081</t>
  </si>
  <si>
    <t>ORD11082</t>
  </si>
  <si>
    <t>ORD11083</t>
  </si>
  <si>
    <t>ORD11084</t>
  </si>
  <si>
    <t>ORD11085</t>
  </si>
  <si>
    <t>ORD11086</t>
  </si>
  <si>
    <t>ORD11087</t>
  </si>
  <si>
    <t>ORD11088</t>
  </si>
  <si>
    <t>amit</t>
  </si>
  <si>
    <t>ORD11089</t>
  </si>
  <si>
    <t>ORD11090</t>
  </si>
  <si>
    <t>ORD11091</t>
  </si>
  <si>
    <t>ORD11092</t>
  </si>
  <si>
    <t>ORD11093</t>
  </si>
  <si>
    <t>ORD11094</t>
  </si>
  <si>
    <t>ORD11095</t>
  </si>
  <si>
    <t>ORD11096</t>
  </si>
  <si>
    <t>ORD11097</t>
  </si>
  <si>
    <t>ORD11098</t>
  </si>
  <si>
    <t>ORD11099</t>
  </si>
  <si>
    <t>ORD11100</t>
  </si>
  <si>
    <t>ORD11101</t>
  </si>
  <si>
    <t>ORD11102</t>
  </si>
  <si>
    <t>rahul</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</si>
  <si>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</si>
  <si>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</si>
  <si>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</si>
  <si>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</si>
  <si>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</si>
  <si>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</si>
  <si>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</si>
  <si>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</si>
  <si>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</si>
  <si>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</si>
  <si>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</si>
  <si>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</si>
  <si>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</si>
  <si>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</si>
  <si>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</si>
  <si>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</si>
  <si>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</si>
  <si>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9552.71</t>
  </si>
  <si>
    <t>ORD11122</t>
  </si>
  <si>
    <t>ORD11123</t>
  </si>
  <si>
    <t>ORD11124</t>
  </si>
  <si>
    <t>20359.58</t>
  </si>
  <si>
    <t>ORD11125</t>
  </si>
  <si>
    <t>ORD11126</t>
  </si>
  <si>
    <t>ORD11127</t>
  </si>
  <si>
    <t>ORD11128</t>
  </si>
  <si>
    <t>ORD11129</t>
  </si>
  <si>
    <t>ORD11130</t>
  </si>
  <si>
    <t>319541.01</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</si>
  <si>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</si>
  <si>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</si>
  <si>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</si>
  <si>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</si>
  <si>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</si>
  <si>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</si>
  <si>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</si>
  <si>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</si>
  <si>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</si>
  <si>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</si>
  <si>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</si>
  <si>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</si>
  <si>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</si>
  <si>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</si>
  <si>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</si>
  <si>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</si>
  <si>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</si>
  <si>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</si>
  <si>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</si>
  <si>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</si>
  <si>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</si>
  <si>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</si>
  <si>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</si>
  <si>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</si>
  <si>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</si>
  <si>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</si>
  <si>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</si>
  <si>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</si>
  <si>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</si>
  <si>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</si>
  <si>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</si>
  <si>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</si>
  <si>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</si>
  <si>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</si>
  <si>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</si>
  <si>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</si>
  <si>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</si>
  <si>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</si>
  <si>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</si>
  <si>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</si>
  <si>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</si>
  <si>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</si>
  <si>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</si>
  <si>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</si>
  <si>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</si>
  <si>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</si>
  <si>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</si>
  <si>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</si>
  <si>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4870.12</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</si>
  <si>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</si>
  <si>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</si>
  <si>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</si>
  <si>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</si>
  <si>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</si>
  <si>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</si>
  <si>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</si>
  <si>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</si>
  <si>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</si>
  <si>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</si>
  <si>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</si>
  <si>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</si>
  <si>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</si>
  <si>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</si>
  <si>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</si>
  <si>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</si>
  <si>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</si>
  <si>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36399.93</t>
  </si>
  <si>
    <t>ORD11196</t>
  </si>
  <si>
    <t>ORD11197</t>
  </si>
  <si>
    <t>ORD11198</t>
  </si>
  <si>
    <t>ORD11199</t>
  </si>
  <si>
    <t>Unknown</t>
  </si>
  <si>
    <t>KPI</t>
  </si>
  <si>
    <t>Value</t>
  </si>
  <si>
    <t>Total Revenue</t>
  </si>
  <si>
    <t>Total Profit</t>
  </si>
  <si>
    <t>Total Orders</t>
  </si>
  <si>
    <t>Total Quantity</t>
  </si>
  <si>
    <t>Average Order Value</t>
  </si>
  <si>
    <t>Profit Margin</t>
  </si>
  <si>
    <t>Row Labels</t>
  </si>
  <si>
    <t>Grand Total</t>
  </si>
  <si>
    <t>Jan</t>
  </si>
  <si>
    <t>Feb</t>
  </si>
  <si>
    <t>Mar</t>
  </si>
  <si>
    <t>Apr</t>
  </si>
  <si>
    <t>May</t>
  </si>
  <si>
    <t>Jun</t>
  </si>
  <si>
    <t>Jul</t>
  </si>
  <si>
    <t>Aug</t>
  </si>
  <si>
    <t>Sep</t>
  </si>
  <si>
    <t>Oct</t>
  </si>
  <si>
    <t>Nov</t>
  </si>
  <si>
    <t>Dec</t>
  </si>
  <si>
    <t xml:space="preserve"> </t>
  </si>
  <si>
    <t>Discount %</t>
  </si>
  <si>
    <t>Region Performance Summary</t>
  </si>
  <si>
    <t>Order Count</t>
  </si>
  <si>
    <t>Performance Status</t>
  </si>
  <si>
    <t>Selected Region</t>
  </si>
  <si>
    <t>Selected Salesperson</t>
  </si>
  <si>
    <t>Sales Performance &amp; MIS Dashboard</t>
  </si>
  <si>
    <t>KPI PivotTable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</si>
</sst>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hh:mm:ss"/>
    <numFmt numFmtId="165" formatCode="_ * #,##0_ ;_ * \-#,##0_ ;_ * &quot;-&quot;??_ ;_ @_ "/>
  </numFmts>
  <fonts count="7"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8"/>
      <color theme="1"/>
      <name val="Calibri"/>
      <family val="2"/>
      <scheme val="minor"/>
    </font>
    <font>
      <b/>
      <sz val="24"/>
      <color theme="1"/>
      <name val="Segoe UI"/>
      <family val="2"/>
    </font>
    <font>
      <b/>
      <sz val="20"/>
      <color theme="0"/>
      <name val="Calibri"/>
      <family val="2"/>
      <scheme val="minor"/>
    </font>
  </fonts>
  <fills count="12">
    <fill>
      <patternFill patternType="none"/>
    </fill>
    <fill>
      <patternFill patternType="gray125"/>
    </fill>
    <fill>
      <patternFill patternType="solid">
        <fgColor theme="2" tint="-0.499984740745262"/>
        <bgColor indexed="64"/>
      </patternFill>
    </fill>
    <fill>
      <patternFill patternType="solid">
        <fgColor theme="9" tint="-0.249977111117893"/>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FF9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0">
    <xf numFmtId="0" fontId="0" fillId="0" borderId="0" xfId="0"/>
    <xf numFmtId="0" fontId="1" fillId="0" borderId="2" xfId="0" applyFont="1" applyBorder="1" applyAlignment="1">
      <alignment horizontal="center" vertical="top"/>
    </xf>
    <xf numFmtId="0" fontId="0" fillId="0" borderId="1" xfId="0" applyBorder="1"/>
    <xf numFmtId="164" fontId="0" fillId="0" borderId="1" xfId="0" applyNumberFormat="1" applyBorder="1"/>
    <xf numFmtId="0" fontId="0" fillId="0" borderId="0" xfId="0" applyNumberFormat="1"/>
    <xf numFmtId="22" fontId="0" fillId="0" borderId="1" xfId="0" applyNumberFormat="1" applyBorder="1"/>
    <xf numFmtId="0" fontId="0" fillId="0" borderId="1" xfId="0" applyNumberFormat="1" applyBorder="1"/>
    <xf numFmtId="0" fontId="3" fillId="0" borderId="0" xfId="0" applyFont="1" applyAlignment="1">
      <alignment horizontal="center" vertical="center" wrapText="1"/>
    </xf>
    <xf numFmtId="0" fontId="0" fillId="0" borderId="3" xfId="0"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0" fillId="0" borderId="7" xfId="0" applyBorder="1" applyAlignment="1">
      <alignment vertical="center" wrapText="1"/>
    </xf>
    <xf numFmtId="43" fontId="0" fillId="0" borderId="4" xfId="1" applyFont="1" applyBorder="1" applyAlignment="1">
      <alignment vertical="center" wrapText="1"/>
    </xf>
    <xf numFmtId="0" fontId="0" fillId="0" borderId="0" xfId="0" pivotButton="1"/>
    <xf numFmtId="0" fontId="0" fillId="0" borderId="0" xfId="0" applyAlignment="1">
      <alignment horizontal="left"/>
    </xf>
    <xf numFmtId="43" fontId="0" fillId="0" borderId="0" xfId="0" applyNumberFormat="1"/>
    <xf numFmtId="0" fontId="0" fillId="0" borderId="0" xfId="0" applyAlignment="1">
      <alignment horizontal="right"/>
    </xf>
    <xf numFmtId="0" fontId="0" fillId="0" borderId="0" xfId="0" applyNumberFormat="1" applyAlignment="1">
      <alignment horizontal="right"/>
    </xf>
    <xf numFmtId="10" fontId="0" fillId="0" borderId="4" xfId="2" applyNumberFormat="1" applyFont="1" applyBorder="1" applyAlignment="1">
      <alignment vertical="center" wrapText="1"/>
    </xf>
    <xf numFmtId="165" fontId="0" fillId="0" borderId="4" xfId="1" applyNumberFormat="1" applyFont="1" applyBorder="1" applyAlignment="1">
      <alignment vertical="center" wrapText="1"/>
    </xf>
    <xf numFmtId="9" fontId="0" fillId="0" borderId="0" xfId="0" applyNumberFormat="1" applyAlignment="1">
      <alignment horizontal="left"/>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Font="1" applyAlignment="1">
      <alignment vertical="center" wrapText="1"/>
    </xf>
    <xf numFmtId="0" fontId="3" fillId="0" borderId="0" xfId="0" applyFont="1"/>
    <xf numFmtId="43" fontId="0" fillId="0" borderId="0" xfId="1" applyFont="1"/>
    <xf numFmtId="165" fontId="0" fillId="0" borderId="0" xfId="1" applyNumberFormat="1" applyFont="1"/>
    <xf numFmtId="9" fontId="0" fillId="0" borderId="0" xfId="2" applyFont="1"/>
    <xf numFmtId="0" fontId="3" fillId="2" borderId="0" xfId="0" applyFont="1" applyFill="1" applyAlignment="1">
      <alignment horizontal="center"/>
    </xf>
    <xf numFmtId="0" fontId="0" fillId="3" borderId="0" xfId="0" applyFill="1"/>
    <xf numFmtId="0" fontId="0" fillId="0" borderId="1" xfId="0" pivotButton="1" applyBorder="1"/>
    <xf numFmtId="0" fontId="0" fillId="0" borderId="1" xfId="0" applyBorder="1" applyAlignment="1">
      <alignment horizontal="left"/>
    </xf>
    <xf numFmtId="0" fontId="0" fillId="0" borderId="1" xfId="0" applyFill="1" applyBorder="1" applyAlignment="1">
      <alignment horizontal="left"/>
    </xf>
    <xf numFmtId="0" fontId="5" fillId="4" borderId="0" xfId="0" applyFont="1" applyFill="1" applyAlignment="1">
      <alignment horizontal="center" vertical="center"/>
    </xf>
    <xf numFmtId="43" fontId="6" fillId="5"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5" xfId="0" applyFont="1" applyFill="1" applyBorder="1" applyAlignment="1">
      <alignment horizontal="center" vertical="center"/>
    </xf>
    <xf numFmtId="0" fontId="4" fillId="9"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11" borderId="1" xfId="0" applyFont="1" applyFill="1" applyBorder="1" applyAlignment="1">
      <alignment horizontal="center" vertical="center"/>
    </xf>
    <xf numFmtId="10" fontId="6" fillId="5" borderId="1" xfId="0" applyNumberFormat="1" applyFont="1" applyFill="1" applyBorder="1" applyAlignment="1">
      <alignment horizontal="center" vertical="center"/>
    </xf>
    <xf numFmtId="0" fontId="4" fillId="10"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cellXfs>
  <cellStyles count="3">
    <cellStyle name="Comma" xfId="1" builtinId="3"/>
    <cellStyle name="Normal" xfId="0" builtinId="0"/>
    <cellStyle name="Percent" xfId="2" builtinId="5"/>
  </cellStyles>
  <dxfs count="61">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27" formatCode="dd/mm/yyyy\ h:mm"/>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_ * #,##0_ ;_ * \-#,##0_ ;_ * &quot;-&quot;??_ ;_ @_ "/>
    </dxf>
    <dxf>
      <alignment horizontal="general" vertical="center" textRotation="0" indent="0" justifyLastLine="0" shrinkToFit="0" readingOrder="0"/>
    </dxf>
    <dxf>
      <numFmt numFmtId="0" formatCode="General"/>
      <alignment horizontal="general" vertical="center"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numFmt numFmtId="35" formatCode="_ * #,##0.00_ ;_ * \-#,##0.00_ ;_ * &quot;-&quot;??_ ;_ @_ "/>
    </dxf>
    <dxf>
      <numFmt numFmtId="13" formatCode="0%"/>
    </dxf>
    <dxf>
      <numFmt numFmtId="35" formatCode="_ * #,##0.00_ ;_ * \-#,##0.00_ ;_ * &quot;-&quot;??_ ;_ @_ "/>
    </dxf>
    <dxf>
      <numFmt numFmtId="35" formatCode="_ * #,##0.00_ ;_ * \-#,##0.00_ ;_ * &quot;-&quot;??_ ;_ @_ "/>
    </dxf>
    <dxf>
      <numFmt numFmtId="35" formatCode="_ * #,##0.00_ ;_ * \-#,##0.00_ ;_ * &quot;-&quot;??_ ;_ @_ "/>
    </dxf>
    <dxf>
      <alignment horizontal="right"/>
    </dxf>
    <dxf>
      <alignment horizontal="right"/>
    </dxf>
    <dxf>
      <alignment horizontal="right"/>
    </dxf>
    <dxf>
      <alignment horizontal="right"/>
    </dxf>
    <dxf>
      <numFmt numFmtId="35" formatCode="_ * #,##0.00_ ;_ * \-#,##0.00_ ;_ * &quot;-&quot;??_ ;_ @_ "/>
    </dxf>
    <dxf>
      <numFmt numFmtId="35" formatCode="_ * #,##0.00_ ;_ * \-#,##0.00_ ;_ * &quot;-&quot;??_ ;_ @_ "/>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hh:mm:ss"/>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name val="Segoe UI"/>
        <family val="2"/>
        <scheme val="none"/>
      </font>
      <fill>
        <patternFill patternType="solid">
          <fgColor theme="0" tint="-4.9989318521683403E-2"/>
          <bgColor theme="1" tint="0.499984740745262"/>
        </patternFill>
      </fill>
    </dxf>
  </dxfs>
  <tableStyles count="1" defaultTableStyle="TableStyleMedium9" defaultPivotStyle="PivotStyleLight16">
    <tableStyle name="Slicer Style 1" pivot="0" table="0" count="1" xr9:uid="{8004C5B6-811A-45E5-A9E7-79BADB408430}">
      <tableStyleElement type="headerRow" dxfId="60"/>
    </tableStyle>
  </tableStyles>
  <colors>
    <mruColors>
      <color rgb="FF000000"/>
      <color rgb="FFFFFF99"/>
      <color rgb="FF3399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[Sales_Performance_MIS_Dashboard_Project.xlsx]Monthly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3984112252128"/>
          <c:y val="0.18619477911646587"/>
          <c:w val="0.55882633254493375"/>
          <c:h val="0.57247572969041516"/>
        </c:manualLayout>
      </c:layout>
      <c:lineChart>
        <c:grouping val="standard"/>
        <c:varyColors val="0"/>
        <c:ser>
          <c:idx val="0"/>
          <c:order val="0"/>
          <c:tx>
            <c:strRef>
              <c:f>'Monthly Trend'!$B$3</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9421909.3799999971</c:v>
                </c:pt>
                <c:pt idx="1">
                  <c:v>8311136.0199999996</c:v>
                </c:pt>
                <c:pt idx="2">
                  <c:v>9710176.5599999987</c:v>
                </c:pt>
                <c:pt idx="3">
                  <c:v>9549827.879999999</c:v>
                </c:pt>
                <c:pt idx="4">
                  <c:v>9934935.0200000051</c:v>
                </c:pt>
                <c:pt idx="5">
                  <c:v>9283745.8599999994</c:v>
                </c:pt>
                <c:pt idx="6">
                  <c:v>8869023.6099999994</c:v>
                </c:pt>
                <c:pt idx="7">
                  <c:v>8970946.0600000005</c:v>
                </c:pt>
                <c:pt idx="8">
                  <c:v>8954553.0199999977</c:v>
                </c:pt>
                <c:pt idx="9">
                  <c:v>9992152.870000001</c:v>
                </c:pt>
                <c:pt idx="10">
                  <c:v>12873166.530000005</c:v>
                </c:pt>
                <c:pt idx="11">
                  <c:v>8891700.3600000013</c:v>
                </c:pt>
              </c:numCache>
            </c:numRef>
          </c:val>
          <c:smooth val="0"/>
          <c:extLst>
            <c:ext xmlns:c16="http://schemas.microsoft.com/office/drawing/2014/chart" uri="{C3380CC4-5D6E-409C-BE32-E72D297353CC}">
              <c16:uniqueId val="{00000000-E38D-4A6B-B594-3E4C94BC346B}"/>
            </c:ext>
          </c:extLst>
        </c:ser>
        <c:ser>
          <c:idx val="1"/>
          <c:order val="1"/>
          <c:tx>
            <c:strRef>
              <c:f>'Monthly Trend'!$C$3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2403536.02</c:v>
                </c:pt>
                <c:pt idx="1">
                  <c:v>2127785.8800000004</c:v>
                </c:pt>
                <c:pt idx="2">
                  <c:v>2473852.6000000006</c:v>
                </c:pt>
                <c:pt idx="3">
                  <c:v>2401717.5500000003</c:v>
                </c:pt>
                <c:pt idx="4">
                  <c:v>2598244.65</c:v>
                </c:pt>
                <c:pt idx="5">
                  <c:v>2412663.6900000004</c:v>
                </c:pt>
                <c:pt idx="6">
                  <c:v>2187474.35</c:v>
                </c:pt>
                <c:pt idx="7">
                  <c:v>2253862.8000000003</c:v>
                </c:pt>
                <c:pt idx="8">
                  <c:v>2381184.3200000003</c:v>
                </c:pt>
                <c:pt idx="9">
                  <c:v>2686815.3800000004</c:v>
                </c:pt>
                <c:pt idx="10">
                  <c:v>3335606.8</c:v>
                </c:pt>
                <c:pt idx="11">
                  <c:v>2277265.6000000006</c:v>
                </c:pt>
              </c:numCache>
            </c:numRef>
          </c:val>
          <c:smooth val="0"/>
          <c:extLst>
            <c:ext xmlns:c16="http://schemas.microsoft.com/office/drawing/2014/chart" uri="{C3380CC4-5D6E-409C-BE32-E72D297353CC}">
              <c16:uniqueId val="{00000001-E38D-4A6B-B594-3E4C94BC346B}"/>
            </c:ext>
          </c:extLst>
        </c:ser>
        <c:dLbls>
          <c:showLegendKey val="0"/>
          <c:showVal val="0"/>
          <c:showCatName val="0"/>
          <c:showSerName val="0"/>
          <c:showPercent val="0"/>
          <c:showBubbleSize val="0"/>
        </c:dLbls>
        <c:marker val="1"/>
        <c:smooth val="0"/>
        <c:axId val="1306031312"/>
        <c:axId val="1306036592"/>
      </c:lineChart>
      <c:catAx>
        <c:axId val="13060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3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036592"/>
        <c:crosses val="autoZero"/>
        <c:auto val="1"/>
        <c:lblAlgn val="ctr"/>
        <c:lblOffset val="100"/>
        <c:noMultiLvlLbl val="0"/>
      </c:catAx>
      <c:valAx>
        <c:axId val="130603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031312"/>
        <c:crosses val="autoZero"/>
        <c:crossBetween val="midCat"/>
      </c:valAx>
      <c:spPr>
        <a:noFill/>
        <a:ln>
          <a:noFill/>
        </a:ln>
        <a:effectLst/>
      </c:spPr>
    </c:plotArea>
    <c:legend>
      <c:legendPos val="r"/>
      <c:layout>
        <c:manualLayout>
          <c:xMode val="edge"/>
          <c:yMode val="edge"/>
          <c:x val="0.73414044489685926"/>
          <c:y val="0.3946553932264491"/>
          <c:w val="0.2468481482590342"/>
          <c:h val="0.24236829206590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[Sales_Performance_MIS_Dashboard_Project.xlsx]Region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Revenue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Total Revenue</c:v>
                </c:pt>
              </c:strCache>
            </c:strRef>
          </c:tx>
          <c:spPr>
            <a:solidFill>
              <a:schemeClr val="accent1"/>
            </a:solidFill>
            <a:ln>
              <a:noFill/>
            </a:ln>
            <a:effectLst/>
          </c:spPr>
          <c:invertIfNegative val="0"/>
          <c:cat>
            <c:strRef>
              <c:f>'Region Analysis'!$A$4:$A$9</c:f>
              <c:strCache>
                <c:ptCount val="5"/>
                <c:pt idx="0">
                  <c:v>East</c:v>
                </c:pt>
                <c:pt idx="1">
                  <c:v>North</c:v>
                </c:pt>
                <c:pt idx="2">
                  <c:v>South</c:v>
                </c:pt>
                <c:pt idx="3">
                  <c:v>Unknown</c:v>
                </c:pt>
                <c:pt idx="4">
                  <c:v>West</c:v>
                </c:pt>
              </c:strCache>
            </c:strRef>
          </c:cat>
          <c:val>
            <c:numRef>
              <c:f>'Region Analysis'!$B$4:$B$9</c:f>
              <c:numCache>
                <c:formatCode>_(* #,##0.00_);_(* \(#,##0.00\);_(* "-"??_);_(@_)</c:formatCode>
                <c:ptCount val="5"/>
                <c:pt idx="0">
                  <c:v>22862092.250000007</c:v>
                </c:pt>
                <c:pt idx="1">
                  <c:v>31802414.609999996</c:v>
                </c:pt>
                <c:pt idx="2">
                  <c:v>32131258.379999995</c:v>
                </c:pt>
                <c:pt idx="3">
                  <c:v>659386.41999999993</c:v>
                </c:pt>
                <c:pt idx="4">
                  <c:v>27308121.510000009</c:v>
                </c:pt>
              </c:numCache>
            </c:numRef>
          </c:val>
          <c:extLst>
            <c:ext xmlns:c16="http://schemas.microsoft.com/office/drawing/2014/chart" uri="{C3380CC4-5D6E-409C-BE32-E72D297353CC}">
              <c16:uniqueId val="{00000000-3756-4115-A5CB-0335593C9A65}"/>
            </c:ext>
          </c:extLst>
        </c:ser>
        <c:ser>
          <c:idx val="1"/>
          <c:order val="1"/>
          <c:tx>
            <c:strRef>
              <c:f>'Region Analysis'!$C$3</c:f>
              <c:strCache>
                <c:ptCount val="1"/>
                <c:pt idx="0">
                  <c:v>Total Profit</c:v>
                </c:pt>
              </c:strCache>
            </c:strRef>
          </c:tx>
          <c:spPr>
            <a:solidFill>
              <a:schemeClr val="accent2"/>
            </a:solidFill>
            <a:ln>
              <a:noFill/>
            </a:ln>
            <a:effectLst/>
          </c:spPr>
          <c:invertIfNegative val="0"/>
          <c:cat>
            <c:strRef>
              <c:f>'Region Analysis'!$A$4:$A$9</c:f>
              <c:strCache>
                <c:ptCount val="5"/>
                <c:pt idx="0">
                  <c:v>East</c:v>
                </c:pt>
                <c:pt idx="1">
                  <c:v>North</c:v>
                </c:pt>
                <c:pt idx="2">
                  <c:v>South</c:v>
                </c:pt>
                <c:pt idx="3">
                  <c:v>Unknown</c:v>
                </c:pt>
                <c:pt idx="4">
                  <c:v>West</c:v>
                </c:pt>
              </c:strCache>
            </c:strRef>
          </c:cat>
          <c:val>
            <c:numRef>
              <c:f>'Region Analysis'!$C$4:$C$9</c:f>
              <c:numCache>
                <c:formatCode>_(* #,##0.00_);_(* \(#,##0.00\);_(* "-"??_);_(@_)</c:formatCode>
                <c:ptCount val="5"/>
                <c:pt idx="0">
                  <c:v>5940513.1899999976</c:v>
                </c:pt>
                <c:pt idx="1">
                  <c:v>8068792.040000001</c:v>
                </c:pt>
                <c:pt idx="2">
                  <c:v>8199036.29</c:v>
                </c:pt>
                <c:pt idx="3">
                  <c:v>188943.9</c:v>
                </c:pt>
                <c:pt idx="4">
                  <c:v>7142724.2200000007</c:v>
                </c:pt>
              </c:numCache>
            </c:numRef>
          </c:val>
          <c:extLst>
            <c:ext xmlns:c16="http://schemas.microsoft.com/office/drawing/2014/chart" uri="{C3380CC4-5D6E-409C-BE32-E72D297353CC}">
              <c16:uniqueId val="{00000001-3756-4115-A5CB-0335593C9A65}"/>
            </c:ext>
          </c:extLst>
        </c:ser>
        <c:dLbls>
          <c:showLegendKey val="0"/>
          <c:showVal val="0"/>
          <c:showCatName val="0"/>
          <c:showSerName val="0"/>
          <c:showPercent val="0"/>
          <c:showBubbleSize val="0"/>
        </c:dLbls>
        <c:gapWidth val="219"/>
        <c:overlap val="-27"/>
        <c:axId val="2007713536"/>
        <c:axId val="2007712096"/>
      </c:barChart>
      <c:catAx>
        <c:axId val="200771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12096"/>
        <c:crosses val="autoZero"/>
        <c:auto val="1"/>
        <c:lblAlgn val="ctr"/>
        <c:lblOffset val="100"/>
        <c:noMultiLvlLbl val="0"/>
      </c:catAx>
      <c:valAx>
        <c:axId val="20077120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71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[Sales_Performance_MIS_Dashboard_Project.xlsx]Category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Revenue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 Revenue</c:v>
                </c:pt>
              </c:strCache>
            </c:strRef>
          </c:tx>
          <c:spPr>
            <a:solidFill>
              <a:schemeClr val="accent1"/>
            </a:solidFill>
            <a:ln>
              <a:noFill/>
            </a:ln>
            <a:effectLst/>
          </c:spPr>
          <c:invertIfNegative val="0"/>
          <c:cat>
            <c:strRef>
              <c:f>'Category Analysis'!$A$4:$A$8</c:f>
              <c:strCache>
                <c:ptCount val="4"/>
                <c:pt idx="0">
                  <c:v>Electronics</c:v>
                </c:pt>
                <c:pt idx="1">
                  <c:v>Furniture</c:v>
                </c:pt>
                <c:pt idx="2">
                  <c:v>Home Appliances</c:v>
                </c:pt>
                <c:pt idx="3">
                  <c:v>Office Supplies</c:v>
                </c:pt>
              </c:strCache>
            </c:strRef>
          </c:cat>
          <c:val>
            <c:numRef>
              <c:f>'Category Analysis'!$B$4:$B$8</c:f>
              <c:numCache>
                <c:formatCode>_(* #,##0.00_);_(* \(#,##0.00\);_(* "-"??_);_(@_)</c:formatCode>
                <c:ptCount val="4"/>
                <c:pt idx="0">
                  <c:v>49794962.419999994</c:v>
                </c:pt>
                <c:pt idx="1">
                  <c:v>17817791.090000004</c:v>
                </c:pt>
                <c:pt idx="2">
                  <c:v>39199478.479999989</c:v>
                </c:pt>
                <c:pt idx="3">
                  <c:v>7951041.1800000016</c:v>
                </c:pt>
              </c:numCache>
            </c:numRef>
          </c:val>
          <c:extLst>
            <c:ext xmlns:c16="http://schemas.microsoft.com/office/drawing/2014/chart" uri="{C3380CC4-5D6E-409C-BE32-E72D297353CC}">
              <c16:uniqueId val="{00000000-EA26-47DF-99B2-1BE57DCEA60F}"/>
            </c:ext>
          </c:extLst>
        </c:ser>
        <c:ser>
          <c:idx val="1"/>
          <c:order val="1"/>
          <c:tx>
            <c:strRef>
              <c:f>'Category Analysis'!$C$3</c:f>
              <c:strCache>
                <c:ptCount val="1"/>
                <c:pt idx="0">
                  <c:v>Total Profit</c:v>
                </c:pt>
              </c:strCache>
            </c:strRef>
          </c:tx>
          <c:spPr>
            <a:solidFill>
              <a:schemeClr val="accent2"/>
            </a:solidFill>
            <a:ln>
              <a:noFill/>
            </a:ln>
            <a:effectLst/>
          </c:spPr>
          <c:invertIfNegative val="0"/>
          <c:cat>
            <c:strRef>
              <c:f>'Category Analysis'!$A$4:$A$8</c:f>
              <c:strCache>
                <c:ptCount val="4"/>
                <c:pt idx="0">
                  <c:v>Electronics</c:v>
                </c:pt>
                <c:pt idx="1">
                  <c:v>Furniture</c:v>
                </c:pt>
                <c:pt idx="2">
                  <c:v>Home Appliances</c:v>
                </c:pt>
                <c:pt idx="3">
                  <c:v>Office Supplies</c:v>
                </c:pt>
              </c:strCache>
            </c:strRef>
          </c:cat>
          <c:val>
            <c:numRef>
              <c:f>'Category Analysis'!$C$4:$C$8</c:f>
              <c:numCache>
                <c:formatCode>_(* #,##0.00_);_(* \(#,##0.00\);_(* "-"??_);_(@_)</c:formatCode>
                <c:ptCount val="4"/>
                <c:pt idx="0">
                  <c:v>12880499.810000006</c:v>
                </c:pt>
                <c:pt idx="1">
                  <c:v>4649348.1999999983</c:v>
                </c:pt>
                <c:pt idx="2">
                  <c:v>9928626.7300000023</c:v>
                </c:pt>
                <c:pt idx="3">
                  <c:v>2081534.9000000001</c:v>
                </c:pt>
              </c:numCache>
            </c:numRef>
          </c:val>
          <c:extLst>
            <c:ext xmlns:c16="http://schemas.microsoft.com/office/drawing/2014/chart" uri="{C3380CC4-5D6E-409C-BE32-E72D297353CC}">
              <c16:uniqueId val="{00000001-EA26-47DF-99B2-1BE57DCEA60F}"/>
            </c:ext>
          </c:extLst>
        </c:ser>
        <c:dLbls>
          <c:showLegendKey val="0"/>
          <c:showVal val="0"/>
          <c:showCatName val="0"/>
          <c:showSerName val="0"/>
          <c:showPercent val="0"/>
          <c:showBubbleSize val="0"/>
        </c:dLbls>
        <c:gapWidth val="219"/>
        <c:overlap val="-27"/>
        <c:axId val="73113408"/>
        <c:axId val="1905626032"/>
      </c:barChart>
      <c:catAx>
        <c:axId val="7311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26032"/>
        <c:crosses val="autoZero"/>
        <c:auto val="1"/>
        <c:lblAlgn val="ctr"/>
        <c:lblOffset val="100"/>
        <c:noMultiLvlLbl val="0"/>
      </c:catAx>
      <c:valAx>
        <c:axId val="19056260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[Sales_Performance_MIS_Dashboard_Project.xlsx]Product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Revenue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23425196850395"/>
          <c:y val="3.7075490217462433E-2"/>
          <c:w val="0.58205587956286664"/>
          <c:h val="0.65617670367381364"/>
        </c:manualLayout>
      </c:layout>
      <c:barChart>
        <c:barDir val="col"/>
        <c:grouping val="clustered"/>
        <c:varyColors val="0"/>
        <c:ser>
          <c:idx val="0"/>
          <c:order val="0"/>
          <c:tx>
            <c:strRef>
              <c:f>'Product Analysis'!$B$3</c:f>
              <c:strCache>
                <c:ptCount val="1"/>
                <c:pt idx="0">
                  <c:v>Total Revenue</c:v>
                </c:pt>
              </c:strCache>
            </c:strRef>
          </c:tx>
          <c:spPr>
            <a:solidFill>
              <a:schemeClr val="accent1"/>
            </a:solidFill>
            <a:ln>
              <a:noFill/>
            </a:ln>
            <a:effectLst/>
          </c:spPr>
          <c:invertIfNegative val="0"/>
          <c:cat>
            <c:strRef>
              <c:f>'Product Analysis'!$A$4:$A$24</c:f>
              <c:strCache>
                <c:ptCount val="20"/>
                <c:pt idx="0">
                  <c:v>Laptop</c:v>
                </c:pt>
                <c:pt idx="1">
                  <c:v>Air Conditioner</c:v>
                </c:pt>
                <c:pt idx="2">
                  <c:v>Washing Machine</c:v>
                </c:pt>
                <c:pt idx="3">
                  <c:v>Refrigerator</c:v>
                </c:pt>
                <c:pt idx="4">
                  <c:v>Tablet</c:v>
                </c:pt>
                <c:pt idx="5">
                  <c:v>Smartphone</c:v>
                </c:pt>
                <c:pt idx="6">
                  <c:v>Monitor</c:v>
                </c:pt>
                <c:pt idx="7">
                  <c:v>Sofa</c:v>
                </c:pt>
                <c:pt idx="8">
                  <c:v>Bed</c:v>
                </c:pt>
                <c:pt idx="9">
                  <c:v>Dining Table</c:v>
                </c:pt>
                <c:pt idx="10">
                  <c:v>Printer</c:v>
                </c:pt>
                <c:pt idx="11">
                  <c:v>Desk</c:v>
                </c:pt>
                <c:pt idx="12">
                  <c:v>Microwave</c:v>
                </c:pt>
                <c:pt idx="13">
                  <c:v>Coffee Table</c:v>
                </c:pt>
                <c:pt idx="14">
                  <c:v>Bookshelf</c:v>
                </c:pt>
                <c:pt idx="15">
                  <c:v>Office Chair</c:v>
                </c:pt>
                <c:pt idx="16">
                  <c:v>Mixer Grinder</c:v>
                </c:pt>
                <c:pt idx="17">
                  <c:v>Headphones</c:v>
                </c:pt>
                <c:pt idx="18">
                  <c:v>Stationery Kit</c:v>
                </c:pt>
                <c:pt idx="19">
                  <c:v>Notebook</c:v>
                </c:pt>
              </c:strCache>
            </c:strRef>
          </c:cat>
          <c:val>
            <c:numRef>
              <c:f>'Product Analysis'!$B$4:$B$24</c:f>
              <c:numCache>
                <c:formatCode>_(* #,##0.00_);_(* \(#,##0.00\);_(* "-"??_);_(@_)</c:formatCode>
                <c:ptCount val="20"/>
                <c:pt idx="0">
                  <c:v>21947898.460000001</c:v>
                </c:pt>
                <c:pt idx="1">
                  <c:v>15323678.76</c:v>
                </c:pt>
                <c:pt idx="2">
                  <c:v>10078774.870000001</c:v>
                </c:pt>
                <c:pt idx="3">
                  <c:v>9941796.7799999975</c:v>
                </c:pt>
                <c:pt idx="4">
                  <c:v>9818728.9799999986</c:v>
                </c:pt>
                <c:pt idx="5">
                  <c:v>9761957.8299999982</c:v>
                </c:pt>
                <c:pt idx="6">
                  <c:v>6934566.5399999982</c:v>
                </c:pt>
                <c:pt idx="7">
                  <c:v>5682407.0699999984</c:v>
                </c:pt>
                <c:pt idx="8">
                  <c:v>4412698.8499999996</c:v>
                </c:pt>
                <c:pt idx="9">
                  <c:v>4199874.32</c:v>
                </c:pt>
                <c:pt idx="10">
                  <c:v>3261707.1899999995</c:v>
                </c:pt>
                <c:pt idx="11">
                  <c:v>2916989.0799999987</c:v>
                </c:pt>
                <c:pt idx="12">
                  <c:v>2418829.04</c:v>
                </c:pt>
                <c:pt idx="13">
                  <c:v>1839236.3299999998</c:v>
                </c:pt>
                <c:pt idx="14">
                  <c:v>1683574.5199999998</c:v>
                </c:pt>
                <c:pt idx="15">
                  <c:v>1605928.65</c:v>
                </c:pt>
                <c:pt idx="16">
                  <c:v>1436399.0300000005</c:v>
                </c:pt>
                <c:pt idx="17">
                  <c:v>1331810.6099999999</c:v>
                </c:pt>
                <c:pt idx="18">
                  <c:v>122002.77999999998</c:v>
                </c:pt>
                <c:pt idx="19">
                  <c:v>44413.479999999996</c:v>
                </c:pt>
              </c:numCache>
            </c:numRef>
          </c:val>
          <c:extLst>
            <c:ext xmlns:c16="http://schemas.microsoft.com/office/drawing/2014/chart" uri="{C3380CC4-5D6E-409C-BE32-E72D297353CC}">
              <c16:uniqueId val="{00000000-2A33-4FE9-903E-9AB7883BF1CC}"/>
            </c:ext>
          </c:extLst>
        </c:ser>
        <c:ser>
          <c:idx val="1"/>
          <c:order val="1"/>
          <c:tx>
            <c:strRef>
              <c:f>'Product Analysis'!$C$3</c:f>
              <c:strCache>
                <c:ptCount val="1"/>
                <c:pt idx="0">
                  <c:v>Total Profit</c:v>
                </c:pt>
              </c:strCache>
            </c:strRef>
          </c:tx>
          <c:spPr>
            <a:solidFill>
              <a:schemeClr val="accent2"/>
            </a:solidFill>
            <a:ln>
              <a:noFill/>
            </a:ln>
            <a:effectLst/>
          </c:spPr>
          <c:invertIfNegative val="0"/>
          <c:cat>
            <c:strRef>
              <c:f>'Product Analysis'!$A$4:$A$24</c:f>
              <c:strCache>
                <c:ptCount val="20"/>
                <c:pt idx="0">
                  <c:v>Laptop</c:v>
                </c:pt>
                <c:pt idx="1">
                  <c:v>Air Conditioner</c:v>
                </c:pt>
                <c:pt idx="2">
                  <c:v>Washing Machine</c:v>
                </c:pt>
                <c:pt idx="3">
                  <c:v>Refrigerator</c:v>
                </c:pt>
                <c:pt idx="4">
                  <c:v>Tablet</c:v>
                </c:pt>
                <c:pt idx="5">
                  <c:v>Smartphone</c:v>
                </c:pt>
                <c:pt idx="6">
                  <c:v>Monitor</c:v>
                </c:pt>
                <c:pt idx="7">
                  <c:v>Sofa</c:v>
                </c:pt>
                <c:pt idx="8">
                  <c:v>Bed</c:v>
                </c:pt>
                <c:pt idx="9">
                  <c:v>Dining Table</c:v>
                </c:pt>
                <c:pt idx="10">
                  <c:v>Printer</c:v>
                </c:pt>
                <c:pt idx="11">
                  <c:v>Desk</c:v>
                </c:pt>
                <c:pt idx="12">
                  <c:v>Microwave</c:v>
                </c:pt>
                <c:pt idx="13">
                  <c:v>Coffee Table</c:v>
                </c:pt>
                <c:pt idx="14">
                  <c:v>Bookshelf</c:v>
                </c:pt>
                <c:pt idx="15">
                  <c:v>Office Chair</c:v>
                </c:pt>
                <c:pt idx="16">
                  <c:v>Mixer Grinder</c:v>
                </c:pt>
                <c:pt idx="17">
                  <c:v>Headphones</c:v>
                </c:pt>
                <c:pt idx="18">
                  <c:v>Stationery Kit</c:v>
                </c:pt>
                <c:pt idx="19">
                  <c:v>Notebook</c:v>
                </c:pt>
              </c:strCache>
            </c:strRef>
          </c:cat>
          <c:val>
            <c:numRef>
              <c:f>'Product Analysis'!$C$4:$C$24</c:f>
              <c:numCache>
                <c:formatCode>_(* #,##0.00_);_(* \(#,##0.00\);_(* "-"??_);_(@_)</c:formatCode>
                <c:ptCount val="20"/>
                <c:pt idx="0">
                  <c:v>5735129.7800000003</c:v>
                </c:pt>
                <c:pt idx="1">
                  <c:v>3706946.9099999997</c:v>
                </c:pt>
                <c:pt idx="2">
                  <c:v>2541211.7500000005</c:v>
                </c:pt>
                <c:pt idx="3">
                  <c:v>2662958.6300000008</c:v>
                </c:pt>
                <c:pt idx="4">
                  <c:v>2511674.6099999994</c:v>
                </c:pt>
                <c:pt idx="5">
                  <c:v>2571841.1799999997</c:v>
                </c:pt>
                <c:pt idx="6">
                  <c:v>1725547.17</c:v>
                </c:pt>
                <c:pt idx="7">
                  <c:v>1565870.9400000002</c:v>
                </c:pt>
                <c:pt idx="8">
                  <c:v>1032446.3100000002</c:v>
                </c:pt>
                <c:pt idx="9">
                  <c:v>1166260.8399999999</c:v>
                </c:pt>
                <c:pt idx="10">
                  <c:v>840484.97</c:v>
                </c:pt>
                <c:pt idx="11">
                  <c:v>791062.77000000014</c:v>
                </c:pt>
                <c:pt idx="12">
                  <c:v>636291.38000000012</c:v>
                </c:pt>
                <c:pt idx="13">
                  <c:v>463717.64000000013</c:v>
                </c:pt>
                <c:pt idx="14">
                  <c:v>421052.47</c:v>
                </c:pt>
                <c:pt idx="15">
                  <c:v>403511.07999999996</c:v>
                </c:pt>
                <c:pt idx="16">
                  <c:v>381218.06</c:v>
                </c:pt>
                <c:pt idx="17">
                  <c:v>336307.07000000007</c:v>
                </c:pt>
                <c:pt idx="18">
                  <c:v>34681.749999999993</c:v>
                </c:pt>
                <c:pt idx="19">
                  <c:v>11794.329999999998</c:v>
                </c:pt>
              </c:numCache>
            </c:numRef>
          </c:val>
          <c:extLst>
            <c:ext xmlns:c16="http://schemas.microsoft.com/office/drawing/2014/chart" uri="{C3380CC4-5D6E-409C-BE32-E72D297353CC}">
              <c16:uniqueId val="{00000001-2A33-4FE9-903E-9AB7883BF1CC}"/>
            </c:ext>
          </c:extLst>
        </c:ser>
        <c:dLbls>
          <c:showLegendKey val="0"/>
          <c:showVal val="0"/>
          <c:showCatName val="0"/>
          <c:showSerName val="0"/>
          <c:showPercent val="0"/>
          <c:showBubbleSize val="0"/>
        </c:dLbls>
        <c:gapWidth val="219"/>
        <c:overlap val="-27"/>
        <c:axId val="1547331536"/>
        <c:axId val="1547332976"/>
      </c:barChart>
      <c:catAx>
        <c:axId val="154733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32976"/>
        <c:crosses val="autoZero"/>
        <c:auto val="1"/>
        <c:lblAlgn val="ctr"/>
        <c:lblOffset val="100"/>
        <c:noMultiLvlLbl val="0"/>
      </c:catAx>
      <c:valAx>
        <c:axId val="15473329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3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[Sales_Performance_MIS_Dashboard_Project.xlsx]Salesperson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Salesperson Revenue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Analysis'!$B$3</c:f>
              <c:strCache>
                <c:ptCount val="1"/>
                <c:pt idx="0">
                  <c:v>Total Revenue</c:v>
                </c:pt>
              </c:strCache>
            </c:strRef>
          </c:tx>
          <c:spPr>
            <a:solidFill>
              <a:schemeClr val="accent1"/>
            </a:solidFill>
            <a:ln>
              <a:noFill/>
            </a:ln>
            <a:effectLst/>
          </c:spPr>
          <c:invertIfNegative val="0"/>
          <c:cat>
            <c:strRef>
              <c:f>'Salesperson Analysis'!$A$4:$A$13</c:f>
              <c:strCache>
                <c:ptCount val="9"/>
                <c:pt idx="0">
                  <c:v>Arjun</c:v>
                </c:pt>
                <c:pt idx="1">
                  <c:v>Kavya</c:v>
                </c:pt>
                <c:pt idx="2">
                  <c:v>Sneha</c:v>
                </c:pt>
                <c:pt idx="3">
                  <c:v>Amit</c:v>
                </c:pt>
                <c:pt idx="4">
                  <c:v>Rahul</c:v>
                </c:pt>
                <c:pt idx="5">
                  <c:v>Vikram</c:v>
                </c:pt>
                <c:pt idx="6">
                  <c:v>Neha</c:v>
                </c:pt>
                <c:pt idx="7">
                  <c:v>Priya</c:v>
                </c:pt>
                <c:pt idx="8">
                  <c:v>Unknown</c:v>
                </c:pt>
              </c:strCache>
            </c:strRef>
          </c:cat>
          <c:val>
            <c:numRef>
              <c:f>'Salesperson Analysis'!$B$4:$B$13</c:f>
              <c:numCache>
                <c:formatCode>General</c:formatCode>
                <c:ptCount val="9"/>
                <c:pt idx="0">
                  <c:v>15884615.610000001</c:v>
                </c:pt>
                <c:pt idx="1">
                  <c:v>15229045.26</c:v>
                </c:pt>
                <c:pt idx="2">
                  <c:v>15171648.040000003</c:v>
                </c:pt>
                <c:pt idx="3">
                  <c:v>14653315.679999996</c:v>
                </c:pt>
                <c:pt idx="4">
                  <c:v>14531745.850000003</c:v>
                </c:pt>
                <c:pt idx="5">
                  <c:v>13597235.319999995</c:v>
                </c:pt>
                <c:pt idx="6">
                  <c:v>12956291.080000004</c:v>
                </c:pt>
                <c:pt idx="7">
                  <c:v>11734341.830000002</c:v>
                </c:pt>
                <c:pt idx="8">
                  <c:v>1005034.5</c:v>
                </c:pt>
              </c:numCache>
            </c:numRef>
          </c:val>
          <c:extLst>
            <c:ext xmlns:c16="http://schemas.microsoft.com/office/drawing/2014/chart" uri="{C3380CC4-5D6E-409C-BE32-E72D297353CC}">
              <c16:uniqueId val="{00000004-7E60-41CA-BD28-6BB7C9C0A07E}"/>
            </c:ext>
          </c:extLst>
        </c:ser>
        <c:ser>
          <c:idx val="1"/>
          <c:order val="1"/>
          <c:tx>
            <c:strRef>
              <c:f>'Salesperson Analysis'!$C$3</c:f>
              <c:strCache>
                <c:ptCount val="1"/>
                <c:pt idx="0">
                  <c:v>Total Profit</c:v>
                </c:pt>
              </c:strCache>
            </c:strRef>
          </c:tx>
          <c:spPr>
            <a:solidFill>
              <a:schemeClr val="accent2"/>
            </a:solidFill>
            <a:ln>
              <a:noFill/>
            </a:ln>
            <a:effectLst/>
          </c:spPr>
          <c:invertIfNegative val="0"/>
          <c:cat>
            <c:strRef>
              <c:f>'Salesperson Analysis'!$A$4:$A$13</c:f>
              <c:strCache>
                <c:ptCount val="9"/>
                <c:pt idx="0">
                  <c:v>Arjun</c:v>
                </c:pt>
                <c:pt idx="1">
                  <c:v>Kavya</c:v>
                </c:pt>
                <c:pt idx="2">
                  <c:v>Sneha</c:v>
                </c:pt>
                <c:pt idx="3">
                  <c:v>Amit</c:v>
                </c:pt>
                <c:pt idx="4">
                  <c:v>Rahul</c:v>
                </c:pt>
                <c:pt idx="5">
                  <c:v>Vikram</c:v>
                </c:pt>
                <c:pt idx="6">
                  <c:v>Neha</c:v>
                </c:pt>
                <c:pt idx="7">
                  <c:v>Priya</c:v>
                </c:pt>
                <c:pt idx="8">
                  <c:v>Unknown</c:v>
                </c:pt>
              </c:strCache>
            </c:strRef>
          </c:cat>
          <c:val>
            <c:numRef>
              <c:f>'Salesperson Analysis'!$C$4:$C$13</c:f>
              <c:numCache>
                <c:formatCode>General</c:formatCode>
                <c:ptCount val="9"/>
                <c:pt idx="0">
                  <c:v>3933996.5399999996</c:v>
                </c:pt>
                <c:pt idx="1">
                  <c:v>3965627.7899999996</c:v>
                </c:pt>
                <c:pt idx="2">
                  <c:v>4024259.0800000005</c:v>
                </c:pt>
                <c:pt idx="3">
                  <c:v>3668662.830000001</c:v>
                </c:pt>
                <c:pt idx="4">
                  <c:v>3739093.45</c:v>
                </c:pt>
                <c:pt idx="5">
                  <c:v>3402812.8300000005</c:v>
                </c:pt>
                <c:pt idx="6">
                  <c:v>3520397.06</c:v>
                </c:pt>
                <c:pt idx="7">
                  <c:v>2986407.0700000003</c:v>
                </c:pt>
                <c:pt idx="8">
                  <c:v>298752.99</c:v>
                </c:pt>
              </c:numCache>
            </c:numRef>
          </c:val>
          <c:extLst>
            <c:ext xmlns:c16="http://schemas.microsoft.com/office/drawing/2014/chart" uri="{C3380CC4-5D6E-409C-BE32-E72D297353CC}">
              <c16:uniqueId val="{00000005-7E60-41CA-BD28-6BB7C9C0A07E}"/>
            </c:ext>
          </c:extLst>
        </c:ser>
        <c:dLbls>
          <c:showLegendKey val="0"/>
          <c:showVal val="0"/>
          <c:showCatName val="0"/>
          <c:showSerName val="0"/>
          <c:showPercent val="0"/>
          <c:showBubbleSize val="0"/>
        </c:dLbls>
        <c:gapWidth val="182"/>
        <c:axId val="1545050560"/>
        <c:axId val="1545055840"/>
      </c:barChart>
      <c:catAx>
        <c:axId val="154505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055840"/>
        <c:crosses val="autoZero"/>
        <c:auto val="1"/>
        <c:lblAlgn val="ctr"/>
        <c:lblOffset val="100"/>
        <c:noMultiLvlLbl val="0"/>
      </c:catAx>
      <c:valAx>
        <c:axId val="1545055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05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[Sales_Performance_MIS_Dashboard_Project.xlsx]Discount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Discount-wise Revenue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Total Revenue</c:v>
                </c:pt>
              </c:strCache>
            </c:strRef>
          </c:tx>
          <c:spPr>
            <a:solidFill>
              <a:schemeClr val="accent1"/>
            </a:solidFill>
            <a:ln>
              <a:noFill/>
            </a:ln>
            <a:effectLst/>
          </c:spPr>
          <c:invertIfNegative val="0"/>
          <c:cat>
            <c:strRef>
              <c:f>'Discount Analysis'!$A$4:$A$10</c:f>
              <c:strCache>
                <c:ptCount val="6"/>
                <c:pt idx="0">
                  <c:v>0</c:v>
                </c:pt>
                <c:pt idx="1">
                  <c:v>0.03</c:v>
                </c:pt>
                <c:pt idx="2">
                  <c:v>0.05</c:v>
                </c:pt>
                <c:pt idx="3">
                  <c:v>0.08</c:v>
                </c:pt>
                <c:pt idx="4">
                  <c:v>0.1</c:v>
                </c:pt>
                <c:pt idx="5">
                  <c:v>0.15</c:v>
                </c:pt>
              </c:strCache>
            </c:strRef>
          </c:cat>
          <c:val>
            <c:numRef>
              <c:f>'Discount Analysis'!$B$4:$B$10</c:f>
              <c:numCache>
                <c:formatCode>_(* #,##0.00_);_(* \(#,##0.00\);_(* "-"??_);_(@_)</c:formatCode>
                <c:ptCount val="6"/>
                <c:pt idx="0">
                  <c:v>19418494.16</c:v>
                </c:pt>
                <c:pt idx="1">
                  <c:v>20083786.150000002</c:v>
                </c:pt>
                <c:pt idx="2">
                  <c:v>31962182.320000008</c:v>
                </c:pt>
                <c:pt idx="3">
                  <c:v>19560062.710000001</c:v>
                </c:pt>
                <c:pt idx="4">
                  <c:v>18841565.010000002</c:v>
                </c:pt>
                <c:pt idx="5">
                  <c:v>4897182.82</c:v>
                </c:pt>
              </c:numCache>
            </c:numRef>
          </c:val>
          <c:extLst>
            <c:ext xmlns:c16="http://schemas.microsoft.com/office/drawing/2014/chart" uri="{C3380CC4-5D6E-409C-BE32-E72D297353CC}">
              <c16:uniqueId val="{00000000-2C4F-4657-9DB9-A1F237DEB9EE}"/>
            </c:ext>
          </c:extLst>
        </c:ser>
        <c:ser>
          <c:idx val="1"/>
          <c:order val="1"/>
          <c:tx>
            <c:strRef>
              <c:f>'Discount Analysis'!$C$3</c:f>
              <c:strCache>
                <c:ptCount val="1"/>
                <c:pt idx="0">
                  <c:v>Total Profit</c:v>
                </c:pt>
              </c:strCache>
            </c:strRef>
          </c:tx>
          <c:spPr>
            <a:solidFill>
              <a:schemeClr val="accent2"/>
            </a:solidFill>
            <a:ln>
              <a:noFill/>
            </a:ln>
            <a:effectLst/>
          </c:spPr>
          <c:invertIfNegative val="0"/>
          <c:cat>
            <c:strRef>
              <c:f>'Discount Analysis'!$A$4:$A$10</c:f>
              <c:strCache>
                <c:ptCount val="6"/>
                <c:pt idx="0">
                  <c:v>0</c:v>
                </c:pt>
                <c:pt idx="1">
                  <c:v>0.03</c:v>
                </c:pt>
                <c:pt idx="2">
                  <c:v>0.05</c:v>
                </c:pt>
                <c:pt idx="3">
                  <c:v>0.08</c:v>
                </c:pt>
                <c:pt idx="4">
                  <c:v>0.1</c:v>
                </c:pt>
                <c:pt idx="5">
                  <c:v>0.15</c:v>
                </c:pt>
              </c:strCache>
            </c:strRef>
          </c:cat>
          <c:val>
            <c:numRef>
              <c:f>'Discount Analysis'!$C$4:$C$10</c:f>
              <c:numCache>
                <c:formatCode>_(* #,##0.00_);_(* \(#,##0.00\);_(* "-"??_);_(@_)</c:formatCode>
                <c:ptCount val="6"/>
                <c:pt idx="0">
                  <c:v>4699612.919999999</c:v>
                </c:pt>
                <c:pt idx="1">
                  <c:v>5377251.0899999999</c:v>
                </c:pt>
                <c:pt idx="2">
                  <c:v>8283033.1100000013</c:v>
                </c:pt>
                <c:pt idx="3">
                  <c:v>5248118.549999998</c:v>
                </c:pt>
                <c:pt idx="4">
                  <c:v>4736774.49</c:v>
                </c:pt>
                <c:pt idx="5">
                  <c:v>1195219.48</c:v>
                </c:pt>
              </c:numCache>
            </c:numRef>
          </c:val>
          <c:extLst>
            <c:ext xmlns:c16="http://schemas.microsoft.com/office/drawing/2014/chart" uri="{C3380CC4-5D6E-409C-BE32-E72D297353CC}">
              <c16:uniqueId val="{00000001-2C4F-4657-9DB9-A1F237DEB9EE}"/>
            </c:ext>
          </c:extLst>
        </c:ser>
        <c:dLbls>
          <c:showLegendKey val="0"/>
          <c:showVal val="0"/>
          <c:showCatName val="0"/>
          <c:showSerName val="0"/>
          <c:showPercent val="0"/>
          <c:showBubbleSize val="0"/>
        </c:dLbls>
        <c:gapWidth val="219"/>
        <c:overlap val="-27"/>
        <c:axId val="559094304"/>
        <c:axId val="559094784"/>
      </c:barChart>
      <c:catAx>
        <c:axId val="559094304"/>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94784"/>
        <c:crosses val="autoZero"/>
        <c:auto val="1"/>
        <c:lblAlgn val="ctr"/>
        <c:lblOffset val="100"/>
        <c:noMultiLvlLbl val="0"/>
      </c:catAx>
      <c:valAx>
        <c:axId val="55909478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94304"/>
        <c:crosses val="autoZero"/>
        <c:crossBetween val="between"/>
      </c:valAx>
      <c:spPr>
        <a:noFill/>
        <a:ln>
          <a:noFill/>
        </a:ln>
        <a:effectLst/>
      </c:spPr>
    </c:plotArea>
    <c:legend>
      <c:legendPos val="r"/>
      <c:layout>
        <c:manualLayout>
          <c:xMode val="edge"/>
          <c:yMode val="edge"/>
          <c:x val="0.78351128127332714"/>
          <c:y val="0.33504635589752801"/>
          <c:w val="0.19814009487346193"/>
          <c:h val="0.25525832559903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[Sales_Performance_MIS_Dashboard_Project.xlsx]Monthly Trend!PivotTable1</c:name>
    <c:fmtId val="8"/>
  </c:pivotSource>
  <c:chart>
    <c:title>
      <c:tx>
        <c:rich>
          <a:bodyPr rot="0" spcFirstLastPara="1" vertOverflow="ellipsis" vert="horz" wrap="square" anchor="ctr" anchorCtr="1"/>
          <a:lstStyle/>
          <a:p>
            <a:pPr>
              <a:defRPr lang="en-US" sz="120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a:solidFill>
                  <a:srgbClr val="000000"/>
                </a:solidFill>
              </a:rPr>
              <a:t>Monthly Revenue &amp; Profit Trend</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1702507454459"/>
          <c:y val="0.16342846430095531"/>
          <c:w val="0.8453759691802728"/>
          <c:h val="0.72964805275264877"/>
        </c:manualLayout>
      </c:layout>
      <c:lineChart>
        <c:grouping val="standard"/>
        <c:varyColors val="0"/>
        <c:ser>
          <c:idx val="0"/>
          <c:order val="0"/>
          <c:tx>
            <c:strRef>
              <c:f>'Monthly Trend'!$B$3</c:f>
              <c:strCache>
                <c:ptCount val="1"/>
                <c:pt idx="0">
                  <c:v>Total 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9421909.3799999971</c:v>
                </c:pt>
                <c:pt idx="1">
                  <c:v>8311136.0199999996</c:v>
                </c:pt>
                <c:pt idx="2">
                  <c:v>9710176.5599999987</c:v>
                </c:pt>
                <c:pt idx="3">
                  <c:v>9549827.879999999</c:v>
                </c:pt>
                <c:pt idx="4">
                  <c:v>9934935.0200000051</c:v>
                </c:pt>
                <c:pt idx="5">
                  <c:v>9283745.8599999994</c:v>
                </c:pt>
                <c:pt idx="6">
                  <c:v>8869023.6099999994</c:v>
                </c:pt>
                <c:pt idx="7">
                  <c:v>8970946.0600000005</c:v>
                </c:pt>
                <c:pt idx="8">
                  <c:v>8954553.0199999977</c:v>
                </c:pt>
                <c:pt idx="9">
                  <c:v>9992152.870000001</c:v>
                </c:pt>
                <c:pt idx="10">
                  <c:v>12873166.530000005</c:v>
                </c:pt>
                <c:pt idx="11">
                  <c:v>8891700.3600000013</c:v>
                </c:pt>
              </c:numCache>
            </c:numRef>
          </c:val>
          <c:smooth val="0"/>
          <c:extLst>
            <c:ext xmlns:c16="http://schemas.microsoft.com/office/drawing/2014/chart" uri="{C3380CC4-5D6E-409C-BE32-E72D297353CC}">
              <c16:uniqueId val="{00000000-F184-484B-83EB-0CD297E779A8}"/>
            </c:ext>
          </c:extLst>
        </c:ser>
        <c:ser>
          <c:idx val="1"/>
          <c:order val="1"/>
          <c:tx>
            <c:strRef>
              <c:f>'Monthly Trend'!$C$3</c:f>
              <c:strCache>
                <c:ptCount val="1"/>
                <c:pt idx="0">
                  <c:v>Total Profit</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2403536.02</c:v>
                </c:pt>
                <c:pt idx="1">
                  <c:v>2127785.8800000004</c:v>
                </c:pt>
                <c:pt idx="2">
                  <c:v>2473852.6000000006</c:v>
                </c:pt>
                <c:pt idx="3">
                  <c:v>2401717.5500000003</c:v>
                </c:pt>
                <c:pt idx="4">
                  <c:v>2598244.65</c:v>
                </c:pt>
                <c:pt idx="5">
                  <c:v>2412663.6900000004</c:v>
                </c:pt>
                <c:pt idx="6">
                  <c:v>2187474.35</c:v>
                </c:pt>
                <c:pt idx="7">
                  <c:v>2253862.8000000003</c:v>
                </c:pt>
                <c:pt idx="8">
                  <c:v>2381184.3200000003</c:v>
                </c:pt>
                <c:pt idx="9">
                  <c:v>2686815.3800000004</c:v>
                </c:pt>
                <c:pt idx="10">
                  <c:v>3335606.8</c:v>
                </c:pt>
                <c:pt idx="11">
                  <c:v>2277265.6000000006</c:v>
                </c:pt>
              </c:numCache>
            </c:numRef>
          </c:val>
          <c:smooth val="0"/>
          <c:extLst>
            <c:ext xmlns:c16="http://schemas.microsoft.com/office/drawing/2014/chart" uri="{C3380CC4-5D6E-409C-BE32-E72D297353CC}">
              <c16:uniqueId val="{00000001-F184-484B-83EB-0CD297E779A8}"/>
            </c:ext>
          </c:extLst>
        </c:ser>
        <c:dLbls>
          <c:showLegendKey val="0"/>
          <c:showVal val="0"/>
          <c:showCatName val="0"/>
          <c:showSerName val="0"/>
          <c:showPercent val="0"/>
          <c:showBubbleSize val="0"/>
        </c:dLbls>
        <c:marker val="1"/>
        <c:smooth val="0"/>
        <c:axId val="1306031312"/>
        <c:axId val="1306036592"/>
      </c:lineChart>
      <c:catAx>
        <c:axId val="13060313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534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crossAx val="1306036592"/>
        <c:crosses val="autoZero"/>
        <c:auto val="1"/>
        <c:lblAlgn val="ctr"/>
        <c:lblOffset val="100"/>
        <c:noMultiLvlLbl val="0"/>
      </c:catAx>
      <c:valAx>
        <c:axId val="130603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06031312"/>
        <c:crossesAt val="1"/>
        <c:crossBetween val="midCat"/>
      </c:valAx>
      <c:spPr>
        <a:noFill/>
        <a:ln>
          <a:noFill/>
        </a:ln>
        <a:effectLst/>
      </c:spPr>
    </c:plotArea>
    <c:legend>
      <c:legendPos val="r"/>
      <c:layout>
        <c:manualLayout>
          <c:xMode val="edge"/>
          <c:yMode val="edge"/>
          <c:x val="0.80373101265669777"/>
          <c:y val="7.6223447278901679E-3"/>
          <c:w val="0.19363169852262507"/>
          <c:h val="0.18317505435312609"/>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7000">
          <a:srgbClr val="A1CB99"/>
        </a:gs>
        <a:gs pos="12000">
          <a:srgbClr val="92D050"/>
        </a:gs>
        <a:gs pos="100000">
          <a:schemeClr val="accent1">
            <a:lumMod val="40000"/>
            <a:lumOff val="60000"/>
          </a:schemeClr>
        </a:gs>
        <a:gs pos="100000">
          <a:schemeClr val="accent3">
            <a:lumMod val="40000"/>
            <a:lumOff val="60000"/>
          </a:schemeClr>
        </a:gs>
      </a:gsLst>
      <a:lin ang="5400000" scaled="1"/>
      <a:tileRect/>
    </a:gradFill>
    <a:ln>
      <a:noFill/>
    </a:ln>
    <a:effectLst/>
    <a:scene3d>
      <a:camera prst="orthographicFront"/>
      <a:lightRig rig="threePt" dir="t"/>
    </a:scene3d>
    <a:sp3d>
      <a:bevelT w="190500" h="381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[Sales_Performance_MIS_Dashboard_Project.xlsx]Region Analysis!PivotTable2</c:name>
    <c:fmtId val="6"/>
  </c:pivotSource>
  <c:chart>
    <c:title>
      <c:tx>
        <c:rich>
          <a:bodyPr rot="0" spcFirstLastPara="1" vertOverflow="ellipsis" vert="horz" wrap="square" anchor="ctr" anchorCtr="1"/>
          <a:lstStyle/>
          <a:p>
            <a:pPr algn="ctr" rtl="0">
              <a:def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defRPr>
            </a:pPr>
            <a:r>
              <a: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rPr>
              <a:t>Region-wise Revenue &amp; Profit</a:t>
            </a:r>
          </a:p>
        </c:rich>
      </c:tx>
      <c:overlay val="0"/>
      <c:spPr>
        <a:noFill/>
        <a:ln>
          <a:noFill/>
        </a:ln>
        <a:effectLst/>
      </c:spPr>
      <c:txPr>
        <a:bodyPr rot="0" spcFirstLastPara="1" vertOverflow="ellipsis" vert="horz" wrap="square" anchor="ctr" anchorCtr="1"/>
        <a:lstStyle/>
        <a:p>
          <a:pPr algn="ctr" rtl="0">
            <a:def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5654131472983"/>
          <c:y val="0.1501337561322757"/>
          <c:w val="0.83367925505973695"/>
          <c:h val="0.74461260022778542"/>
        </c:manualLayout>
      </c:layout>
      <c:barChart>
        <c:barDir val="col"/>
        <c:grouping val="clustered"/>
        <c:varyColors val="0"/>
        <c:ser>
          <c:idx val="0"/>
          <c:order val="0"/>
          <c:tx>
            <c:strRef>
              <c:f>'Region Analysis'!$B$3</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Analysis'!$A$4:$A$9</c:f>
              <c:strCache>
                <c:ptCount val="5"/>
                <c:pt idx="0">
                  <c:v>East</c:v>
                </c:pt>
                <c:pt idx="1">
                  <c:v>North</c:v>
                </c:pt>
                <c:pt idx="2">
                  <c:v>South</c:v>
                </c:pt>
                <c:pt idx="3">
                  <c:v>Unknown</c:v>
                </c:pt>
                <c:pt idx="4">
                  <c:v>West</c:v>
                </c:pt>
              </c:strCache>
            </c:strRef>
          </c:cat>
          <c:val>
            <c:numRef>
              <c:f>'Region Analysis'!$B$4:$B$9</c:f>
              <c:numCache>
                <c:formatCode>_(* #,##0.00_);_(* \(#,##0.00\);_(* "-"??_);_(@_)</c:formatCode>
                <c:ptCount val="5"/>
                <c:pt idx="0">
                  <c:v>22862092.250000007</c:v>
                </c:pt>
                <c:pt idx="1">
                  <c:v>31802414.609999996</c:v>
                </c:pt>
                <c:pt idx="2">
                  <c:v>32131258.379999995</c:v>
                </c:pt>
                <c:pt idx="3">
                  <c:v>659386.41999999993</c:v>
                </c:pt>
                <c:pt idx="4">
                  <c:v>27308121.510000009</c:v>
                </c:pt>
              </c:numCache>
            </c:numRef>
          </c:val>
          <c:extLst>
            <c:ext xmlns:c16="http://schemas.microsoft.com/office/drawing/2014/chart" uri="{C3380CC4-5D6E-409C-BE32-E72D297353CC}">
              <c16:uniqueId val="{00000000-D604-4E0A-95B0-E344FCFDEF9D}"/>
            </c:ext>
          </c:extLst>
        </c:ser>
        <c:ser>
          <c:idx val="1"/>
          <c:order val="1"/>
          <c:tx>
            <c:strRef>
              <c:f>'Region Analysis'!$C$3</c:f>
              <c:strCache>
                <c:ptCount val="1"/>
                <c:pt idx="0">
                  <c:v>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Analysis'!$A$4:$A$9</c:f>
              <c:strCache>
                <c:ptCount val="5"/>
                <c:pt idx="0">
                  <c:v>East</c:v>
                </c:pt>
                <c:pt idx="1">
                  <c:v>North</c:v>
                </c:pt>
                <c:pt idx="2">
                  <c:v>South</c:v>
                </c:pt>
                <c:pt idx="3">
                  <c:v>Unknown</c:v>
                </c:pt>
                <c:pt idx="4">
                  <c:v>West</c:v>
                </c:pt>
              </c:strCache>
            </c:strRef>
          </c:cat>
          <c:val>
            <c:numRef>
              <c:f>'Region Analysis'!$C$4:$C$9</c:f>
              <c:numCache>
                <c:formatCode>_(* #,##0.00_);_(* \(#,##0.00\);_(* "-"??_);_(@_)</c:formatCode>
                <c:ptCount val="5"/>
                <c:pt idx="0">
                  <c:v>5940513.1899999976</c:v>
                </c:pt>
                <c:pt idx="1">
                  <c:v>8068792.040000001</c:v>
                </c:pt>
                <c:pt idx="2">
                  <c:v>8199036.29</c:v>
                </c:pt>
                <c:pt idx="3">
                  <c:v>188943.9</c:v>
                </c:pt>
                <c:pt idx="4">
                  <c:v>7142724.2200000007</c:v>
                </c:pt>
              </c:numCache>
            </c:numRef>
          </c:val>
          <c:extLst>
            <c:ext xmlns:c16="http://schemas.microsoft.com/office/drawing/2014/chart" uri="{C3380CC4-5D6E-409C-BE32-E72D297353CC}">
              <c16:uniqueId val="{00000001-D604-4E0A-95B0-E344FCFDEF9D}"/>
            </c:ext>
          </c:extLst>
        </c:ser>
        <c:dLbls>
          <c:showLegendKey val="0"/>
          <c:showVal val="0"/>
          <c:showCatName val="0"/>
          <c:showSerName val="0"/>
          <c:showPercent val="0"/>
          <c:showBubbleSize val="0"/>
        </c:dLbls>
        <c:gapWidth val="100"/>
        <c:overlap val="-24"/>
        <c:axId val="2007713536"/>
        <c:axId val="2007712096"/>
      </c:barChart>
      <c:catAx>
        <c:axId val="2007713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7712096"/>
        <c:crosses val="autoZero"/>
        <c:auto val="1"/>
        <c:lblAlgn val="ctr"/>
        <c:lblOffset val="100"/>
        <c:noMultiLvlLbl val="0"/>
      </c:catAx>
      <c:valAx>
        <c:axId val="2007712096"/>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7713536"/>
        <c:crosses val="autoZero"/>
        <c:crossBetween val="between"/>
      </c:valAx>
      <c:spPr>
        <a:noFill/>
        <a:ln>
          <a:noFill/>
        </a:ln>
        <a:effectLst/>
      </c:spPr>
    </c:plotArea>
    <c:legend>
      <c:legendPos val="r"/>
      <c:layout>
        <c:manualLayout>
          <c:xMode val="edge"/>
          <c:yMode val="edge"/>
          <c:x val="0.8423468834385831"/>
          <c:y val="1.9834419625568603E-2"/>
          <c:w val="0.13083217770486075"/>
          <c:h val="0.15312933617803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7000">
          <a:srgbClr val="A1CB99"/>
        </a:gs>
        <a:gs pos="12000">
          <a:srgbClr val="92D050"/>
        </a:gs>
        <a:gs pos="100000">
          <a:schemeClr val="accent1">
            <a:lumMod val="40000"/>
            <a:lumOff val="60000"/>
          </a:schemeClr>
        </a:gs>
        <a:gs pos="100000">
          <a:schemeClr val="accent3">
            <a:lumMod val="40000"/>
            <a:lumOff val="60000"/>
          </a:schemeClr>
        </a:gs>
      </a:gsLst>
      <a:lin ang="5400000" scaled="1"/>
      <a:tileRect/>
    </a:gradFill>
    <a:ln>
      <a:noFill/>
    </a:ln>
    <a:effectLst/>
    <a:scene3d>
      <a:camera prst="orthographicFront"/>
      <a:lightRig rig="threePt" dir="t"/>
    </a:scene3d>
    <a:sp3d>
      <a:bevelT w="190500" h="38100"/>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[Sales_Performance_MIS_Dashboard_Project.xlsx]Category Analysis!PivotTable3</c:name>
    <c:fmtId val="6"/>
  </c:pivotSource>
  <c:chart>
    <c:title>
      <c:tx>
        <c:rich>
          <a:bodyPr rot="0" spcFirstLastPara="1" vertOverflow="ellipsis" vert="horz" wrap="square" anchor="ctr" anchorCtr="1"/>
          <a:lstStyle/>
          <a:p>
            <a:pPr algn="ctr" rtl="0">
              <a:def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defRPr>
            </a:pPr>
            <a:r>
              <a: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rPr>
              <a:t>Category-wise Revenue &amp; Profit</a:t>
            </a:r>
          </a:p>
        </c:rich>
      </c:tx>
      <c:layout>
        <c:manualLayout>
          <c:xMode val="edge"/>
          <c:yMode val="edge"/>
          <c:x val="0.33736519171859836"/>
          <c:y val="3.4332953958697725E-2"/>
        </c:manualLayout>
      </c:layout>
      <c:overlay val="0"/>
      <c:spPr>
        <a:noFill/>
        <a:ln>
          <a:noFill/>
        </a:ln>
        <a:effectLst/>
      </c:spPr>
      <c:txPr>
        <a:bodyPr rot="0" spcFirstLastPara="1" vertOverflow="ellipsis" vert="horz" wrap="square" anchor="ctr" anchorCtr="1"/>
        <a:lstStyle/>
        <a:p>
          <a:pPr algn="ctr" rtl="0">
            <a:def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386686746478"/>
          <c:y val="0.12796382411177482"/>
          <c:w val="0.82051901508004221"/>
          <c:h val="0.75825545339774592"/>
        </c:manualLayout>
      </c:layout>
      <c:barChart>
        <c:barDir val="col"/>
        <c:grouping val="clustered"/>
        <c:varyColors val="0"/>
        <c:ser>
          <c:idx val="0"/>
          <c:order val="0"/>
          <c:tx>
            <c:strRef>
              <c:f>'Category Analysis'!$B$3</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Analysis'!$A$4:$A$8</c:f>
              <c:strCache>
                <c:ptCount val="4"/>
                <c:pt idx="0">
                  <c:v>Electronics</c:v>
                </c:pt>
                <c:pt idx="1">
                  <c:v>Furniture</c:v>
                </c:pt>
                <c:pt idx="2">
                  <c:v>Home Appliances</c:v>
                </c:pt>
                <c:pt idx="3">
                  <c:v>Office Supplies</c:v>
                </c:pt>
              </c:strCache>
            </c:strRef>
          </c:cat>
          <c:val>
            <c:numRef>
              <c:f>'Category Analysis'!$B$4:$B$8</c:f>
              <c:numCache>
                <c:formatCode>_(* #,##0.00_);_(* \(#,##0.00\);_(* "-"??_);_(@_)</c:formatCode>
                <c:ptCount val="4"/>
                <c:pt idx="0">
                  <c:v>49794962.419999994</c:v>
                </c:pt>
                <c:pt idx="1">
                  <c:v>17817791.090000004</c:v>
                </c:pt>
                <c:pt idx="2">
                  <c:v>39199478.479999989</c:v>
                </c:pt>
                <c:pt idx="3">
                  <c:v>7951041.1800000016</c:v>
                </c:pt>
              </c:numCache>
            </c:numRef>
          </c:val>
          <c:extLst>
            <c:ext xmlns:c16="http://schemas.microsoft.com/office/drawing/2014/chart" uri="{C3380CC4-5D6E-409C-BE32-E72D297353CC}">
              <c16:uniqueId val="{00000000-1C8C-49E3-8FE5-143E81E3D879}"/>
            </c:ext>
          </c:extLst>
        </c:ser>
        <c:ser>
          <c:idx val="1"/>
          <c:order val="1"/>
          <c:tx>
            <c:strRef>
              <c:f>'Category Analysis'!$C$3</c:f>
              <c:strCache>
                <c:ptCount val="1"/>
                <c:pt idx="0">
                  <c:v>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Analysis'!$A$4:$A$8</c:f>
              <c:strCache>
                <c:ptCount val="4"/>
                <c:pt idx="0">
                  <c:v>Electronics</c:v>
                </c:pt>
                <c:pt idx="1">
                  <c:v>Furniture</c:v>
                </c:pt>
                <c:pt idx="2">
                  <c:v>Home Appliances</c:v>
                </c:pt>
                <c:pt idx="3">
                  <c:v>Office Supplies</c:v>
                </c:pt>
              </c:strCache>
            </c:strRef>
          </c:cat>
          <c:val>
            <c:numRef>
              <c:f>'Category Analysis'!$C$4:$C$8</c:f>
              <c:numCache>
                <c:formatCode>_(* #,##0.00_);_(* \(#,##0.00\);_(* "-"??_);_(@_)</c:formatCode>
                <c:ptCount val="4"/>
                <c:pt idx="0">
                  <c:v>12880499.810000006</c:v>
                </c:pt>
                <c:pt idx="1">
                  <c:v>4649348.1999999983</c:v>
                </c:pt>
                <c:pt idx="2">
                  <c:v>9928626.7300000023</c:v>
                </c:pt>
                <c:pt idx="3">
                  <c:v>2081534.9000000001</c:v>
                </c:pt>
              </c:numCache>
            </c:numRef>
          </c:val>
          <c:extLst>
            <c:ext xmlns:c16="http://schemas.microsoft.com/office/drawing/2014/chart" uri="{C3380CC4-5D6E-409C-BE32-E72D297353CC}">
              <c16:uniqueId val="{00000001-1C8C-49E3-8FE5-143E81E3D879}"/>
            </c:ext>
          </c:extLst>
        </c:ser>
        <c:dLbls>
          <c:showLegendKey val="0"/>
          <c:showVal val="0"/>
          <c:showCatName val="0"/>
          <c:showSerName val="0"/>
          <c:showPercent val="0"/>
          <c:showBubbleSize val="0"/>
        </c:dLbls>
        <c:gapWidth val="100"/>
        <c:overlap val="-24"/>
        <c:axId val="73113408"/>
        <c:axId val="1905626032"/>
      </c:barChart>
      <c:catAx>
        <c:axId val="73113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05626032"/>
        <c:crosses val="autoZero"/>
        <c:auto val="1"/>
        <c:lblAlgn val="ctr"/>
        <c:lblOffset val="100"/>
        <c:noMultiLvlLbl val="0"/>
      </c:catAx>
      <c:valAx>
        <c:axId val="1905626032"/>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3113408"/>
        <c:crosses val="autoZero"/>
        <c:crossBetween val="between"/>
      </c:valAx>
      <c:spPr>
        <a:noFill/>
        <a:ln>
          <a:noFill/>
        </a:ln>
        <a:effectLst/>
      </c:spPr>
    </c:plotArea>
    <c:legend>
      <c:legendPos val="r"/>
      <c:layout>
        <c:manualLayout>
          <c:xMode val="edge"/>
          <c:yMode val="edge"/>
          <c:x val="0.85589019872619909"/>
          <c:y val="3.1490605005208269E-2"/>
          <c:w val="0.13071168273737577"/>
          <c:h val="0.148629136620298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7000">
          <a:srgbClr val="A1CB99"/>
        </a:gs>
        <a:gs pos="12000">
          <a:srgbClr val="92D050"/>
        </a:gs>
        <a:gs pos="100000">
          <a:schemeClr val="accent1">
            <a:lumMod val="40000"/>
            <a:lumOff val="60000"/>
          </a:schemeClr>
        </a:gs>
        <a:gs pos="100000">
          <a:schemeClr val="accent3">
            <a:lumMod val="40000"/>
            <a:lumOff val="60000"/>
          </a:schemeClr>
        </a:gs>
      </a:gsLst>
      <a:lin ang="5400000" scaled="1"/>
      <a:tileRect/>
    </a:gradFill>
    <a:ln>
      <a:noFill/>
    </a:ln>
    <a:effectLst/>
    <a:scene3d>
      <a:camera prst="orthographicFront"/>
      <a:lightRig rig="threePt" dir="t"/>
    </a:scene3d>
    <a:sp3d>
      <a:bevelT w="190500" h="381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[Sales_Performance_MIS_Dashboard_Project.xlsx]Product Analysis!PivotTable4</c:name>
    <c:fmtId val="12"/>
  </c:pivotSource>
  <c:chart>
    <c:title>
      <c:tx>
        <c:rich>
          <a:bodyPr rot="0" spcFirstLastPara="1" vertOverflow="ellipsis" vert="horz" wrap="square" anchor="ctr" anchorCtr="1"/>
          <a:lstStyle/>
          <a:p>
            <a:pPr>
              <a:defRPr lang="en-US" sz="120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0">
                <a:solidFill>
                  <a:srgbClr val="000000"/>
                </a:solidFill>
              </a:rPr>
              <a:t>Product-wise Revenue &amp; Profit</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6532872967921"/>
          <c:y val="0.12313383180040446"/>
          <c:w val="0.85268077147938293"/>
          <c:h val="0.62512588308487638"/>
        </c:manualLayout>
      </c:layout>
      <c:barChart>
        <c:barDir val="col"/>
        <c:grouping val="clustered"/>
        <c:varyColors val="0"/>
        <c:ser>
          <c:idx val="0"/>
          <c:order val="0"/>
          <c:tx>
            <c:strRef>
              <c:f>'Product Analysis'!$B$3</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Analysis'!$A$4:$A$24</c:f>
              <c:strCache>
                <c:ptCount val="20"/>
                <c:pt idx="0">
                  <c:v>Laptop</c:v>
                </c:pt>
                <c:pt idx="1">
                  <c:v>Air Conditioner</c:v>
                </c:pt>
                <c:pt idx="2">
                  <c:v>Washing Machine</c:v>
                </c:pt>
                <c:pt idx="3">
                  <c:v>Refrigerator</c:v>
                </c:pt>
                <c:pt idx="4">
                  <c:v>Tablet</c:v>
                </c:pt>
                <c:pt idx="5">
                  <c:v>Smartphone</c:v>
                </c:pt>
                <c:pt idx="6">
                  <c:v>Monitor</c:v>
                </c:pt>
                <c:pt idx="7">
                  <c:v>Sofa</c:v>
                </c:pt>
                <c:pt idx="8">
                  <c:v>Bed</c:v>
                </c:pt>
                <c:pt idx="9">
                  <c:v>Dining Table</c:v>
                </c:pt>
                <c:pt idx="10">
                  <c:v>Printer</c:v>
                </c:pt>
                <c:pt idx="11">
                  <c:v>Desk</c:v>
                </c:pt>
                <c:pt idx="12">
                  <c:v>Microwave</c:v>
                </c:pt>
                <c:pt idx="13">
                  <c:v>Coffee Table</c:v>
                </c:pt>
                <c:pt idx="14">
                  <c:v>Bookshelf</c:v>
                </c:pt>
                <c:pt idx="15">
                  <c:v>Office Chair</c:v>
                </c:pt>
                <c:pt idx="16">
                  <c:v>Mixer Grinder</c:v>
                </c:pt>
                <c:pt idx="17">
                  <c:v>Headphones</c:v>
                </c:pt>
                <c:pt idx="18">
                  <c:v>Stationery Kit</c:v>
                </c:pt>
                <c:pt idx="19">
                  <c:v>Notebook</c:v>
                </c:pt>
              </c:strCache>
            </c:strRef>
          </c:cat>
          <c:val>
            <c:numRef>
              <c:f>'Product Analysis'!$B$4:$B$24</c:f>
              <c:numCache>
                <c:formatCode>_(* #,##0.00_);_(* \(#,##0.00\);_(* "-"??_);_(@_)</c:formatCode>
                <c:ptCount val="20"/>
                <c:pt idx="0">
                  <c:v>21947898.460000001</c:v>
                </c:pt>
                <c:pt idx="1">
                  <c:v>15323678.76</c:v>
                </c:pt>
                <c:pt idx="2">
                  <c:v>10078774.870000001</c:v>
                </c:pt>
                <c:pt idx="3">
                  <c:v>9941796.7799999975</c:v>
                </c:pt>
                <c:pt idx="4">
                  <c:v>9818728.9799999986</c:v>
                </c:pt>
                <c:pt idx="5">
                  <c:v>9761957.8299999982</c:v>
                </c:pt>
                <c:pt idx="6">
                  <c:v>6934566.5399999982</c:v>
                </c:pt>
                <c:pt idx="7">
                  <c:v>5682407.0699999984</c:v>
                </c:pt>
                <c:pt idx="8">
                  <c:v>4412698.8499999996</c:v>
                </c:pt>
                <c:pt idx="9">
                  <c:v>4199874.32</c:v>
                </c:pt>
                <c:pt idx="10">
                  <c:v>3261707.1899999995</c:v>
                </c:pt>
                <c:pt idx="11">
                  <c:v>2916989.0799999987</c:v>
                </c:pt>
                <c:pt idx="12">
                  <c:v>2418829.04</c:v>
                </c:pt>
                <c:pt idx="13">
                  <c:v>1839236.3299999998</c:v>
                </c:pt>
                <c:pt idx="14">
                  <c:v>1683574.5199999998</c:v>
                </c:pt>
                <c:pt idx="15">
                  <c:v>1605928.65</c:v>
                </c:pt>
                <c:pt idx="16">
                  <c:v>1436399.0300000005</c:v>
                </c:pt>
                <c:pt idx="17">
                  <c:v>1331810.6099999999</c:v>
                </c:pt>
                <c:pt idx="18">
                  <c:v>122002.77999999998</c:v>
                </c:pt>
                <c:pt idx="19">
                  <c:v>44413.479999999996</c:v>
                </c:pt>
              </c:numCache>
            </c:numRef>
          </c:val>
          <c:extLst>
            <c:ext xmlns:c16="http://schemas.microsoft.com/office/drawing/2014/chart" uri="{C3380CC4-5D6E-409C-BE32-E72D297353CC}">
              <c16:uniqueId val="{00000000-C7C6-42E4-BFD0-1273FAB7228B}"/>
            </c:ext>
          </c:extLst>
        </c:ser>
        <c:ser>
          <c:idx val="1"/>
          <c:order val="1"/>
          <c:tx>
            <c:strRef>
              <c:f>'Product Analysis'!$C$3</c:f>
              <c:strCache>
                <c:ptCount val="1"/>
                <c:pt idx="0">
                  <c:v>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Analysis'!$A$4:$A$24</c:f>
              <c:strCache>
                <c:ptCount val="20"/>
                <c:pt idx="0">
                  <c:v>Laptop</c:v>
                </c:pt>
                <c:pt idx="1">
                  <c:v>Air Conditioner</c:v>
                </c:pt>
                <c:pt idx="2">
                  <c:v>Washing Machine</c:v>
                </c:pt>
                <c:pt idx="3">
                  <c:v>Refrigerator</c:v>
                </c:pt>
                <c:pt idx="4">
                  <c:v>Tablet</c:v>
                </c:pt>
                <c:pt idx="5">
                  <c:v>Smartphone</c:v>
                </c:pt>
                <c:pt idx="6">
                  <c:v>Monitor</c:v>
                </c:pt>
                <c:pt idx="7">
                  <c:v>Sofa</c:v>
                </c:pt>
                <c:pt idx="8">
                  <c:v>Bed</c:v>
                </c:pt>
                <c:pt idx="9">
                  <c:v>Dining Table</c:v>
                </c:pt>
                <c:pt idx="10">
                  <c:v>Printer</c:v>
                </c:pt>
                <c:pt idx="11">
                  <c:v>Desk</c:v>
                </c:pt>
                <c:pt idx="12">
                  <c:v>Microwave</c:v>
                </c:pt>
                <c:pt idx="13">
                  <c:v>Coffee Table</c:v>
                </c:pt>
                <c:pt idx="14">
                  <c:v>Bookshelf</c:v>
                </c:pt>
                <c:pt idx="15">
                  <c:v>Office Chair</c:v>
                </c:pt>
                <c:pt idx="16">
                  <c:v>Mixer Grinder</c:v>
                </c:pt>
                <c:pt idx="17">
                  <c:v>Headphones</c:v>
                </c:pt>
                <c:pt idx="18">
                  <c:v>Stationery Kit</c:v>
                </c:pt>
                <c:pt idx="19">
                  <c:v>Notebook</c:v>
                </c:pt>
              </c:strCache>
            </c:strRef>
          </c:cat>
          <c:val>
            <c:numRef>
              <c:f>'Product Analysis'!$C$4:$C$24</c:f>
              <c:numCache>
                <c:formatCode>_(* #,##0.00_);_(* \(#,##0.00\);_(* "-"??_);_(@_)</c:formatCode>
                <c:ptCount val="20"/>
                <c:pt idx="0">
                  <c:v>5735129.7800000003</c:v>
                </c:pt>
                <c:pt idx="1">
                  <c:v>3706946.9099999997</c:v>
                </c:pt>
                <c:pt idx="2">
                  <c:v>2541211.7500000005</c:v>
                </c:pt>
                <c:pt idx="3">
                  <c:v>2662958.6300000008</c:v>
                </c:pt>
                <c:pt idx="4">
                  <c:v>2511674.6099999994</c:v>
                </c:pt>
                <c:pt idx="5">
                  <c:v>2571841.1799999997</c:v>
                </c:pt>
                <c:pt idx="6">
                  <c:v>1725547.17</c:v>
                </c:pt>
                <c:pt idx="7">
                  <c:v>1565870.9400000002</c:v>
                </c:pt>
                <c:pt idx="8">
                  <c:v>1032446.3100000002</c:v>
                </c:pt>
                <c:pt idx="9">
                  <c:v>1166260.8399999999</c:v>
                </c:pt>
                <c:pt idx="10">
                  <c:v>840484.97</c:v>
                </c:pt>
                <c:pt idx="11">
                  <c:v>791062.77000000014</c:v>
                </c:pt>
                <c:pt idx="12">
                  <c:v>636291.38000000012</c:v>
                </c:pt>
                <c:pt idx="13">
                  <c:v>463717.64000000013</c:v>
                </c:pt>
                <c:pt idx="14">
                  <c:v>421052.47</c:v>
                </c:pt>
                <c:pt idx="15">
                  <c:v>403511.07999999996</c:v>
                </c:pt>
                <c:pt idx="16">
                  <c:v>381218.06</c:v>
                </c:pt>
                <c:pt idx="17">
                  <c:v>336307.07000000007</c:v>
                </c:pt>
                <c:pt idx="18">
                  <c:v>34681.749999999993</c:v>
                </c:pt>
                <c:pt idx="19">
                  <c:v>11794.329999999998</c:v>
                </c:pt>
              </c:numCache>
            </c:numRef>
          </c:val>
          <c:extLst>
            <c:ext xmlns:c16="http://schemas.microsoft.com/office/drawing/2014/chart" uri="{C3380CC4-5D6E-409C-BE32-E72D297353CC}">
              <c16:uniqueId val="{00000001-C7C6-42E4-BFD0-1273FAB7228B}"/>
            </c:ext>
          </c:extLst>
        </c:ser>
        <c:dLbls>
          <c:showLegendKey val="0"/>
          <c:showVal val="0"/>
          <c:showCatName val="0"/>
          <c:showSerName val="0"/>
          <c:showPercent val="0"/>
          <c:showBubbleSize val="0"/>
        </c:dLbls>
        <c:gapWidth val="100"/>
        <c:overlap val="-24"/>
        <c:axId val="1547331536"/>
        <c:axId val="1547332976"/>
      </c:barChart>
      <c:catAx>
        <c:axId val="1547331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7332976"/>
        <c:crosses val="autoZero"/>
        <c:auto val="1"/>
        <c:lblAlgn val="ctr"/>
        <c:lblOffset val="100"/>
        <c:noMultiLvlLbl val="0"/>
      </c:catAx>
      <c:valAx>
        <c:axId val="1547332976"/>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7331536"/>
        <c:crosses val="autoZero"/>
        <c:crossBetween val="between"/>
      </c:valAx>
      <c:spPr>
        <a:noFill/>
        <a:ln>
          <a:noFill/>
        </a:ln>
        <a:effectLst/>
      </c:spPr>
    </c:plotArea>
    <c:legend>
      <c:legendPos val="r"/>
      <c:layout>
        <c:manualLayout>
          <c:xMode val="edge"/>
          <c:yMode val="edge"/>
          <c:x val="0.84199334551587557"/>
          <c:y val="0.11851072848882173"/>
          <c:w val="0.13273859264088742"/>
          <c:h val="0.1386979552610205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7000">
          <a:srgbClr val="A1CB99"/>
        </a:gs>
        <a:gs pos="12000">
          <a:srgbClr val="92D050"/>
        </a:gs>
        <a:gs pos="100000">
          <a:schemeClr val="accent1">
            <a:lumMod val="40000"/>
            <a:lumOff val="60000"/>
          </a:schemeClr>
        </a:gs>
        <a:gs pos="100000">
          <a:schemeClr val="accent3">
            <a:lumMod val="40000"/>
            <a:lumOff val="60000"/>
          </a:schemeClr>
        </a:gs>
      </a:gsLst>
      <a:lin ang="5400000" scaled="1"/>
      <a:tileRect/>
    </a:gradFill>
    <a:ln>
      <a:noFill/>
    </a:ln>
    <a:effectLst/>
    <a:scene3d>
      <a:camera prst="orthographicFront"/>
      <a:lightRig rig="threePt" dir="t"/>
    </a:scene3d>
    <a:sp3d>
      <a:bevelT w="190500" h="381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[Sales_Performance_MIS_Dashboard_Project.xlsx]Salesperson Analysis!PivotTable5</c:name>
    <c:fmtId val="12"/>
  </c:pivotSource>
  <c:chart>
    <c:title>
      <c:tx>
        <c:rich>
          <a:bodyPr rot="0" spcFirstLastPara="1" vertOverflow="ellipsis" vert="horz" wrap="square" anchor="ctr" anchorCtr="1"/>
          <a:lstStyle/>
          <a:p>
            <a:pPr algn="ctr" rtl="0">
              <a:def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defRPr>
            </a:pPr>
            <a:r>
              <a: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rPr>
              <a:t>Salesperson Revenue &amp; Profit</a:t>
            </a:r>
          </a:p>
        </c:rich>
      </c:tx>
      <c:overlay val="0"/>
      <c:spPr>
        <a:noFill/>
        <a:ln>
          <a:noFill/>
        </a:ln>
        <a:effectLst/>
      </c:spPr>
      <c:txPr>
        <a:bodyPr rot="0" spcFirstLastPara="1" vertOverflow="ellipsis" vert="horz" wrap="square" anchor="ctr" anchorCtr="1"/>
        <a:lstStyle/>
        <a:p>
          <a:pPr algn="ctr" rtl="0">
            <a:defRPr lang="en-IN" sz="1600" b="0" i="0" u="none" strike="noStrike" kern="1200" spc="100" baseline="0">
              <a:solidFill>
                <a:srgbClr val="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16472195705838E-2"/>
          <c:y val="0.14718253968253969"/>
          <c:w val="0.83659999337048097"/>
          <c:h val="0.76076084239470065"/>
        </c:manualLayout>
      </c:layout>
      <c:barChart>
        <c:barDir val="bar"/>
        <c:grouping val="clustered"/>
        <c:varyColors val="0"/>
        <c:ser>
          <c:idx val="0"/>
          <c:order val="0"/>
          <c:tx>
            <c:strRef>
              <c:f>'Salesperson Analysis'!$B$3</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'Salesperson Analysis'!$A$4:$A$13</c:f>
              <c:strCache>
                <c:ptCount val="9"/>
                <c:pt idx="0">
                  <c:v>Arjun</c:v>
                </c:pt>
                <c:pt idx="1">
                  <c:v>Kavya</c:v>
                </c:pt>
                <c:pt idx="2">
                  <c:v>Sneha</c:v>
                </c:pt>
                <c:pt idx="3">
                  <c:v>Amit</c:v>
                </c:pt>
                <c:pt idx="4">
                  <c:v>Rahul</c:v>
                </c:pt>
                <c:pt idx="5">
                  <c:v>Vikram</c:v>
                </c:pt>
                <c:pt idx="6">
                  <c:v>Neha</c:v>
                </c:pt>
                <c:pt idx="7">
                  <c:v>Priya</c:v>
                </c:pt>
                <c:pt idx="8">
                  <c:v>Unknown</c:v>
                </c:pt>
              </c:strCache>
            </c:strRef>
          </c:cat>
          <c:val>
            <c:numRef>
              <c:f>'Salesperson Analysis'!$B$4:$B$13</c:f>
              <c:numCache>
                <c:formatCode>General</c:formatCode>
                <c:ptCount val="9"/>
                <c:pt idx="0">
                  <c:v>15884615.610000001</c:v>
                </c:pt>
                <c:pt idx="1">
                  <c:v>15229045.26</c:v>
                </c:pt>
                <c:pt idx="2">
                  <c:v>15171648.040000003</c:v>
                </c:pt>
                <c:pt idx="3">
                  <c:v>14653315.679999996</c:v>
                </c:pt>
                <c:pt idx="4">
                  <c:v>14531745.850000003</c:v>
                </c:pt>
                <c:pt idx="5">
                  <c:v>13597235.319999995</c:v>
                </c:pt>
                <c:pt idx="6">
                  <c:v>12956291.080000004</c:v>
                </c:pt>
                <c:pt idx="7">
                  <c:v>11734341.830000002</c:v>
                </c:pt>
                <c:pt idx="8">
                  <c:v>1005034.5</c:v>
                </c:pt>
              </c:numCache>
            </c:numRef>
          </c:val>
          <c:extLst>
            <c:ext xmlns:c16="http://schemas.microsoft.com/office/drawing/2014/chart" uri="{C3380CC4-5D6E-409C-BE32-E72D297353CC}">
              <c16:uniqueId val="{00000000-912A-45B4-9DAC-2A66ED79B0F4}"/>
            </c:ext>
          </c:extLst>
        </c:ser>
        <c:ser>
          <c:idx val="1"/>
          <c:order val="1"/>
          <c:tx>
            <c:strRef>
              <c:f>'Salesperson Analysis'!$C$3</c:f>
              <c:strCache>
                <c:ptCount val="1"/>
                <c:pt idx="0">
                  <c:v>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'Salesperson Analysis'!$A$4:$A$13</c:f>
              <c:strCache>
                <c:ptCount val="9"/>
                <c:pt idx="0">
                  <c:v>Arjun</c:v>
                </c:pt>
                <c:pt idx="1">
                  <c:v>Kavya</c:v>
                </c:pt>
                <c:pt idx="2">
                  <c:v>Sneha</c:v>
                </c:pt>
                <c:pt idx="3">
                  <c:v>Amit</c:v>
                </c:pt>
                <c:pt idx="4">
                  <c:v>Rahul</c:v>
                </c:pt>
                <c:pt idx="5">
                  <c:v>Vikram</c:v>
                </c:pt>
                <c:pt idx="6">
                  <c:v>Neha</c:v>
                </c:pt>
                <c:pt idx="7">
                  <c:v>Priya</c:v>
                </c:pt>
                <c:pt idx="8">
                  <c:v>Unknown</c:v>
                </c:pt>
              </c:strCache>
            </c:strRef>
          </c:cat>
          <c:val>
            <c:numRef>
              <c:f>'Salesperson Analysis'!$C$4:$C$13</c:f>
              <c:numCache>
                <c:formatCode>General</c:formatCode>
                <c:ptCount val="9"/>
                <c:pt idx="0">
                  <c:v>3933996.5399999996</c:v>
                </c:pt>
                <c:pt idx="1">
                  <c:v>3965627.7899999996</c:v>
                </c:pt>
                <c:pt idx="2">
                  <c:v>4024259.0800000005</c:v>
                </c:pt>
                <c:pt idx="3">
                  <c:v>3668662.830000001</c:v>
                </c:pt>
                <c:pt idx="4">
                  <c:v>3739093.45</c:v>
                </c:pt>
                <c:pt idx="5">
                  <c:v>3402812.8300000005</c:v>
                </c:pt>
                <c:pt idx="6">
                  <c:v>3520397.06</c:v>
                </c:pt>
                <c:pt idx="7">
                  <c:v>2986407.0700000003</c:v>
                </c:pt>
                <c:pt idx="8">
                  <c:v>298752.99</c:v>
                </c:pt>
              </c:numCache>
            </c:numRef>
          </c:val>
          <c:extLst>
            <c:ext xmlns:c16="http://schemas.microsoft.com/office/drawing/2014/chart" uri="{C3380CC4-5D6E-409C-BE32-E72D297353CC}">
              <c16:uniqueId val="{00000001-912A-45B4-9DAC-2A66ED79B0F4}"/>
            </c:ext>
          </c:extLst>
        </c:ser>
        <c:dLbls>
          <c:showLegendKey val="0"/>
          <c:showVal val="0"/>
          <c:showCatName val="0"/>
          <c:showSerName val="0"/>
          <c:showPercent val="0"/>
          <c:showBubbleSize val="0"/>
        </c:dLbls>
        <c:gapWidth val="115"/>
        <c:overlap val="-20"/>
        <c:axId val="1545050560"/>
        <c:axId val="1545055840"/>
      </c:barChart>
      <c:catAx>
        <c:axId val="15450505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5055840"/>
        <c:crosses val="autoZero"/>
        <c:auto val="1"/>
        <c:lblAlgn val="ctr"/>
        <c:lblOffset val="100"/>
        <c:noMultiLvlLbl val="0"/>
      </c:catAx>
      <c:valAx>
        <c:axId val="15450558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5050560"/>
        <c:crosses val="autoZero"/>
        <c:crossBetween val="between"/>
      </c:valAx>
      <c:spPr>
        <a:noFill/>
        <a:ln>
          <a:noFill/>
        </a:ln>
        <a:effectLst/>
      </c:spPr>
    </c:plotArea>
    <c:legend>
      <c:legendPos val="r"/>
      <c:layout>
        <c:manualLayout>
          <c:xMode val="edge"/>
          <c:yMode val="edge"/>
          <c:x val="0.77736280772904609"/>
          <c:y val="1.2578740157480315E-2"/>
          <c:w val="0.20718858822567005"/>
          <c:h val="0.1220247469066366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7000">
          <a:srgbClr val="A1CB99"/>
        </a:gs>
        <a:gs pos="12000">
          <a:srgbClr val="92D050"/>
        </a:gs>
        <a:gs pos="100000">
          <a:schemeClr val="accent1">
            <a:lumMod val="40000"/>
            <a:lumOff val="60000"/>
          </a:schemeClr>
        </a:gs>
        <a:gs pos="100000">
          <a:schemeClr val="accent3">
            <a:lumMod val="40000"/>
            <a:lumOff val="60000"/>
          </a:schemeClr>
        </a:gs>
      </a:gsLst>
      <a:lin ang="5400000" scaled="1"/>
      <a:tileRect/>
    </a:gradFill>
    <a:ln>
      <a:noFill/>
    </a:ln>
    <a:effectLst/>
    <a:scene3d>
      <a:camera prst="orthographicFront"/>
      <a:lightRig rig="threePt" dir="t"/>
    </a:scene3d>
    <a:sp3d>
      <a:bevelT w="190500" h="381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[Sales_Performance_MIS_Dashboard_Project.xlsx]Discount Analysis!PivotTable1</c:name>
    <c:fmtId val="8"/>
  </c:pivotSource>
  <c:chart>
    <c:title>
      <c:tx>
        <c:rich>
          <a:bodyPr rot="0" spcFirstLastPara="1" vertOverflow="ellipsis" vert="horz" wrap="square" anchor="ctr" anchorCtr="1"/>
          <a:lstStyle/>
          <a:p>
            <a:pPr>
              <a:defRPr lang="en-US" sz="120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a:solidFill>
                  <a:srgbClr val="000000"/>
                </a:solidFill>
              </a:rPr>
              <a:t>Discount-wise Revenue &amp; Profit</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2534335727204"/>
          <c:y val="0.13527355810953143"/>
          <c:w val="0.82741451095440954"/>
          <c:h val="0.75035182977233106"/>
        </c:manualLayout>
      </c:layout>
      <c:barChart>
        <c:barDir val="col"/>
        <c:grouping val="clustered"/>
        <c:varyColors val="0"/>
        <c:ser>
          <c:idx val="0"/>
          <c:order val="0"/>
          <c:tx>
            <c:strRef>
              <c:f>'Discount Analysis'!$B$3</c:f>
              <c:strCache>
                <c:ptCount val="1"/>
                <c:pt idx="0">
                  <c:v>Total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'Discount Analysis'!$A$4:$A$10</c:f>
              <c:strCache>
                <c:ptCount val="6"/>
                <c:pt idx="0">
                  <c:v>0</c:v>
                </c:pt>
                <c:pt idx="1">
                  <c:v>0.03</c:v>
                </c:pt>
                <c:pt idx="2">
                  <c:v>0.05</c:v>
                </c:pt>
                <c:pt idx="3">
                  <c:v>0.08</c:v>
                </c:pt>
                <c:pt idx="4">
                  <c:v>0.1</c:v>
                </c:pt>
                <c:pt idx="5">
                  <c:v>0.15</c:v>
                </c:pt>
              </c:strCache>
            </c:strRef>
          </c:cat>
          <c:val>
            <c:numRef>
              <c:f>'Discount Analysis'!$B$4:$B$10</c:f>
              <c:numCache>
                <c:formatCode>_(* #,##0.00_);_(* \(#,##0.00\);_(* "-"??_);_(@_)</c:formatCode>
                <c:ptCount val="6"/>
                <c:pt idx="0">
                  <c:v>19418494.16</c:v>
                </c:pt>
                <c:pt idx="1">
                  <c:v>20083786.150000002</c:v>
                </c:pt>
                <c:pt idx="2">
                  <c:v>31962182.320000008</c:v>
                </c:pt>
                <c:pt idx="3">
                  <c:v>19560062.710000001</c:v>
                </c:pt>
                <c:pt idx="4">
                  <c:v>18841565.010000002</c:v>
                </c:pt>
                <c:pt idx="5">
                  <c:v>4897182.82</c:v>
                </c:pt>
              </c:numCache>
            </c:numRef>
          </c:val>
          <c:extLst>
            <c:ext xmlns:c16="http://schemas.microsoft.com/office/drawing/2014/chart" uri="{C3380CC4-5D6E-409C-BE32-E72D297353CC}">
              <c16:uniqueId val="{00000000-8BD3-4040-9CC1-0086B40C5059}"/>
            </c:ext>
          </c:extLst>
        </c:ser>
        <c:ser>
          <c:idx val="1"/>
          <c:order val="1"/>
          <c:tx>
            <c:strRef>
              <c:f>'Discount Analysis'!$C$3</c:f>
              <c:strCache>
                <c:ptCount val="1"/>
                <c:pt idx="0">
                  <c:v>Total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'Discount Analysis'!$A$4:$A$10</c:f>
              <c:strCache>
                <c:ptCount val="6"/>
                <c:pt idx="0">
                  <c:v>0</c:v>
                </c:pt>
                <c:pt idx="1">
                  <c:v>0.03</c:v>
                </c:pt>
                <c:pt idx="2">
                  <c:v>0.05</c:v>
                </c:pt>
                <c:pt idx="3">
                  <c:v>0.08</c:v>
                </c:pt>
                <c:pt idx="4">
                  <c:v>0.1</c:v>
                </c:pt>
                <c:pt idx="5">
                  <c:v>0.15</c:v>
                </c:pt>
              </c:strCache>
            </c:strRef>
          </c:cat>
          <c:val>
            <c:numRef>
              <c:f>'Discount Analysis'!$C$4:$C$10</c:f>
              <c:numCache>
                <c:formatCode>_(* #,##0.00_);_(* \(#,##0.00\);_(* "-"??_);_(@_)</c:formatCode>
                <c:ptCount val="6"/>
                <c:pt idx="0">
                  <c:v>4699612.919999999</c:v>
                </c:pt>
                <c:pt idx="1">
                  <c:v>5377251.0899999999</c:v>
                </c:pt>
                <c:pt idx="2">
                  <c:v>8283033.1100000013</c:v>
                </c:pt>
                <c:pt idx="3">
                  <c:v>5248118.549999998</c:v>
                </c:pt>
                <c:pt idx="4">
                  <c:v>4736774.49</c:v>
                </c:pt>
                <c:pt idx="5">
                  <c:v>1195219.48</c:v>
                </c:pt>
              </c:numCache>
            </c:numRef>
          </c:val>
          <c:extLst>
            <c:ext xmlns:c16="http://schemas.microsoft.com/office/drawing/2014/chart" uri="{C3380CC4-5D6E-409C-BE32-E72D297353CC}">
              <c16:uniqueId val="{00000001-8BD3-4040-9CC1-0086B40C5059}"/>
            </c:ext>
          </c:extLst>
        </c:ser>
        <c:dLbls>
          <c:showLegendKey val="0"/>
          <c:showVal val="0"/>
          <c:showCatName val="0"/>
          <c:showSerName val="0"/>
          <c:showPercent val="0"/>
          <c:showBubbleSize val="0"/>
        </c:dLbls>
        <c:gapWidth val="100"/>
        <c:overlap val="-24"/>
        <c:axId val="559094304"/>
        <c:axId val="559094784"/>
      </c:barChart>
      <c:catAx>
        <c:axId val="559094304"/>
        <c:scaling>
          <c:orientation val="minMax"/>
        </c:scaling>
        <c:delete val="0"/>
        <c:axPos val="b"/>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59094784"/>
        <c:crosses val="autoZero"/>
        <c:auto val="1"/>
        <c:lblAlgn val="ctr"/>
        <c:lblOffset val="100"/>
        <c:noMultiLvlLbl val="0"/>
      </c:catAx>
      <c:valAx>
        <c:axId val="559094784"/>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59094304"/>
        <c:crosses val="autoZero"/>
        <c:crossBetween val="between"/>
      </c:valAx>
      <c:spPr>
        <a:noFill/>
        <a:ln>
          <a:noFill/>
        </a:ln>
        <a:effectLst/>
      </c:spPr>
    </c:plotArea>
    <c:legend>
      <c:legendPos val="r"/>
      <c:layout>
        <c:manualLayout>
          <c:xMode val="edge"/>
          <c:yMode val="edge"/>
          <c:x val="0.80115515918448676"/>
          <c:y val="3.2530573459996347E-2"/>
          <c:w val="0.17520303296666045"/>
          <c:h val="0.21028991030755004"/>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47000">
          <a:srgbClr val="A1CB99"/>
        </a:gs>
        <a:gs pos="12000">
          <a:srgbClr val="92D050"/>
        </a:gs>
        <a:gs pos="100000">
          <a:schemeClr val="accent1">
            <a:lumMod val="40000"/>
            <a:lumOff val="60000"/>
          </a:schemeClr>
        </a:gs>
        <a:gs pos="100000">
          <a:schemeClr val="accent3">
            <a:lumMod val="40000"/>
            <a:lumOff val="60000"/>
          </a:schemeClr>
        </a:gs>
      </a:gsLst>
      <a:lin ang="5400000" scaled="1"/>
      <a:tileRect/>
    </a:gradFill>
    <a:ln>
      <a:noFill/>
    </a:ln>
    <a:effectLst/>
    <a:scene3d>
      <a:camera prst="orthographicFront"/>
      <a:lightRig rig="threePt" dir="t"/>
    </a:scene3d>
    <a:sp3d>
      <a:bevelT w="190500" h="381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213360</xdr:colOff>
      <xdr:row>1</xdr:row>
      <xdr:rowOff>152400</xdr:rowOff>
    </xdr:from>
    <xdr:to>
      <xdr:col>9</xdr:col>
      <xdr:colOff>563880</xdr:colOff>
      <xdr:row>15</xdr:row>
      <xdr:rowOff>121920</xdr:rowOff>
    </xdr:to>
    <xdr:graphicFrame macro="">
      <xdr:nvGraphicFramePr>
        <xdr:cNvPr id="2" name="Chart 1">
          <a:extLst>
            <a:ext uri="{FF2B5EF4-FFF2-40B4-BE49-F238E27FC236}">
              <a16:creationId xmlns:a16="http://schemas.microsoft.com/office/drawing/2014/main" id="{0D00E5E0-0977-AF79-1371-541E1C5ED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0</xdr:row>
      <xdr:rowOff>83820</xdr:rowOff>
    </xdr:from>
    <xdr:to>
      <xdr:col>10</xdr:col>
      <xdr:colOff>426720</xdr:colOff>
      <xdr:row>15</xdr:row>
      <xdr:rowOff>83820</xdr:rowOff>
    </xdr:to>
    <xdr:graphicFrame macro="">
      <xdr:nvGraphicFramePr>
        <xdr:cNvPr id="2" name="Chart 1">
          <a:extLst>
            <a:ext uri="{FF2B5EF4-FFF2-40B4-BE49-F238E27FC236}">
              <a16:creationId xmlns:a16="http://schemas.microsoft.com/office/drawing/2014/main" id="{C015756C-F4C5-8026-6872-B51E7DDFE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0</xdr:row>
      <xdr:rowOff>129540</xdr:rowOff>
    </xdr:from>
    <xdr:to>
      <xdr:col>12</xdr:col>
      <xdr:colOff>289560</xdr:colOff>
      <xdr:row>15</xdr:row>
      <xdr:rowOff>129540</xdr:rowOff>
    </xdr:to>
    <xdr:graphicFrame macro="">
      <xdr:nvGraphicFramePr>
        <xdr:cNvPr id="2" name="Chart 1">
          <a:extLst>
            <a:ext uri="{FF2B5EF4-FFF2-40B4-BE49-F238E27FC236}">
              <a16:creationId xmlns:a16="http://schemas.microsoft.com/office/drawing/2014/main" id="{0E1CD9F1-5056-4ABF-A40A-2359EFE71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99060</xdr:colOff>
      <xdr:row>3</xdr:row>
      <xdr:rowOff>60960</xdr:rowOff>
    </xdr:from>
    <xdr:to>
      <xdr:col>11</xdr:col>
      <xdr:colOff>533400</xdr:colOff>
      <xdr:row>18</xdr:row>
      <xdr:rowOff>68580</xdr:rowOff>
    </xdr:to>
    <xdr:graphicFrame macro="">
      <xdr:nvGraphicFramePr>
        <xdr:cNvPr id="2" name="Chart 1">
          <a:extLst>
            <a:ext uri="{FF2B5EF4-FFF2-40B4-BE49-F238E27FC236}">
              <a16:creationId xmlns:a16="http://schemas.microsoft.com/office/drawing/2014/main" id="{411406EC-2E54-85C8-6403-7A19E18C9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217243</xdr:colOff>
      <xdr:row>1</xdr:row>
      <xdr:rowOff>143485</xdr:rowOff>
    </xdr:from>
    <xdr:to>
      <xdr:col>9</xdr:col>
      <xdr:colOff>337869</xdr:colOff>
      <xdr:row>14</xdr:row>
      <xdr:rowOff>43131</xdr:rowOff>
    </xdr:to>
    <xdr:graphicFrame macro="">
      <xdr:nvGraphicFramePr>
        <xdr:cNvPr id="2" name="Chart 1">
          <a:extLst>
            <a:ext uri="{FF2B5EF4-FFF2-40B4-BE49-F238E27FC236}">
              <a16:creationId xmlns:a16="http://schemas.microsoft.com/office/drawing/2014/main" id="{74CF4BBA-2809-8B2C-8754-A1933D730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312420</xdr:colOff>
      <xdr:row>1</xdr:row>
      <xdr:rowOff>76200</xdr:rowOff>
    </xdr:from>
    <xdr:to>
      <xdr:col>10</xdr:col>
      <xdr:colOff>487680</xdr:colOff>
      <xdr:row>14</xdr:row>
      <xdr:rowOff>30480</xdr:rowOff>
    </xdr:to>
    <xdr:graphicFrame macro="">
      <xdr:nvGraphicFramePr>
        <xdr:cNvPr id="2" name="Chart 1">
          <a:extLst>
            <a:ext uri="{FF2B5EF4-FFF2-40B4-BE49-F238E27FC236}">
              <a16:creationId xmlns:a16="http://schemas.microsoft.com/office/drawing/2014/main" id="{85509480-AE88-79C5-8E11-268660861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135</xdr:colOff>
      <xdr:row>5</xdr:row>
      <xdr:rowOff>1</xdr:rowOff>
    </xdr:from>
    <xdr:to>
      <xdr:col>18</xdr:col>
      <xdr:colOff>211016</xdr:colOff>
      <xdr:row>8</xdr:row>
      <xdr:rowOff>11723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06D243F-86E5-4262-8E34-8E095F6D47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2104" y="1125416"/>
              <a:ext cx="9964481" cy="574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236916</xdr:colOff>
      <xdr:row>5</xdr:row>
      <xdr:rowOff>8859</xdr:rowOff>
    </xdr:from>
    <xdr:to>
      <xdr:col>34</xdr:col>
      <xdr:colOff>269631</xdr:colOff>
      <xdr:row>8</xdr:row>
      <xdr:rowOff>23446</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D86958C-91BB-43A1-AD08-C9BA555770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92485" y="1134274"/>
              <a:ext cx="9786315" cy="57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281355</xdr:colOff>
      <xdr:row>8</xdr:row>
      <xdr:rowOff>128201</xdr:rowOff>
    </xdr:from>
    <xdr:to>
      <xdr:col>24</xdr:col>
      <xdr:colOff>363416</xdr:colOff>
      <xdr:row>24</xdr:row>
      <xdr:rowOff>35168</xdr:rowOff>
    </xdr:to>
    <xdr:graphicFrame macro="">
      <xdr:nvGraphicFramePr>
        <xdr:cNvPr id="4" name="Chart 3">
          <a:extLst>
            <a:ext uri="{FF2B5EF4-FFF2-40B4-BE49-F238E27FC236}">
              <a16:creationId xmlns:a16="http://schemas.microsoft.com/office/drawing/2014/main" id="{D9FB50C6-1E3C-4604-A9D2-C5CF7B785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117231</xdr:colOff>
      <xdr:row>8</xdr:row>
      <xdr:rowOff>108199</xdr:rowOff>
    </xdr:from>
    <xdr:to>
      <xdr:col>12</xdr:col>
      <xdr:colOff>304800</xdr:colOff>
      <xdr:row>24</xdr:row>
      <xdr:rowOff>70338</xdr:rowOff>
    </xdr:to>
    <xdr:graphicFrame macro="">
      <xdr:nvGraphicFramePr>
        <xdr:cNvPr id="5" name="Chart 4">
          <a:extLst>
            <a:ext uri="{FF2B5EF4-FFF2-40B4-BE49-F238E27FC236}">
              <a16:creationId xmlns:a16="http://schemas.microsoft.com/office/drawing/2014/main" id="{354DBB8B-6EA4-4F7D-A373-1B142F03A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375137</xdr:colOff>
      <xdr:row>8</xdr:row>
      <xdr:rowOff>128954</xdr:rowOff>
    </xdr:from>
    <xdr:to>
      <xdr:col>36</xdr:col>
      <xdr:colOff>46892</xdr:colOff>
      <xdr:row>24</xdr:row>
      <xdr:rowOff>70337</xdr:rowOff>
    </xdr:to>
    <xdr:graphicFrame macro="">
      <xdr:nvGraphicFramePr>
        <xdr:cNvPr id="6" name="Chart 5">
          <a:extLst>
            <a:ext uri="{FF2B5EF4-FFF2-40B4-BE49-F238E27FC236}">
              <a16:creationId xmlns:a16="http://schemas.microsoft.com/office/drawing/2014/main" id="{04237AEC-C600-4DFA-9441-5500A8A09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108019</xdr:colOff>
      <xdr:row>24</xdr:row>
      <xdr:rowOff>70337</xdr:rowOff>
    </xdr:from>
    <xdr:to>
      <xdr:col>12</xdr:col>
      <xdr:colOff>304801</xdr:colOff>
      <xdr:row>41</xdr:row>
      <xdr:rowOff>140676</xdr:rowOff>
    </xdr:to>
    <xdr:graphicFrame macro="">
      <xdr:nvGraphicFramePr>
        <xdr:cNvPr id="7" name="Chart 6">
          <a:extLst>
            <a:ext uri="{FF2B5EF4-FFF2-40B4-BE49-F238E27FC236}">
              <a16:creationId xmlns:a16="http://schemas.microsoft.com/office/drawing/2014/main" id="{8B35DFE6-43D4-40BB-A2BA-E47769970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375139</xdr:colOff>
      <xdr:row>24</xdr:row>
      <xdr:rowOff>105507</xdr:rowOff>
    </xdr:from>
    <xdr:to>
      <xdr:col>36</xdr:col>
      <xdr:colOff>70339</xdr:colOff>
      <xdr:row>41</xdr:row>
      <xdr:rowOff>140678</xdr:rowOff>
    </xdr:to>
    <xdr:graphicFrame macro="">
      <xdr:nvGraphicFramePr>
        <xdr:cNvPr id="8" name="Chart 7">
          <a:extLst>
            <a:ext uri="{FF2B5EF4-FFF2-40B4-BE49-F238E27FC236}">
              <a16:creationId xmlns:a16="http://schemas.microsoft.com/office/drawing/2014/main" id="{1103BFEE-3BB9-43EF-B84F-C04BF0AEA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316521</xdr:colOff>
      <xdr:row>24</xdr:row>
      <xdr:rowOff>70338</xdr:rowOff>
    </xdr:from>
    <xdr:to>
      <xdr:col>24</xdr:col>
      <xdr:colOff>375139</xdr:colOff>
      <xdr:row>41</xdr:row>
      <xdr:rowOff>140676</xdr:rowOff>
    </xdr:to>
    <xdr:graphicFrame macro="">
      <xdr:nvGraphicFramePr>
        <xdr:cNvPr id="9" name="Chart 8">
          <a:extLst>
            <a:ext uri="{FF2B5EF4-FFF2-40B4-BE49-F238E27FC236}">
              <a16:creationId xmlns:a16="http://schemas.microsoft.com/office/drawing/2014/main" id="{07AA8DFF-3684-48CA-8812-C6D8C1EF6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ALI KRISHNA" refreshedDate="46285.548236226852" createdVersion="8" refreshedVersion="8" minRefreshableVersion="3" recordCount="1180" xr:uid="{2EBD5833-B008-4B55-92A9-D5415C5A9E72}">
  <cacheSource type="worksheet">
    <worksheetSource name="Cleaned_Sales_Data"/>
  </cacheSource>
  <cacheFields count="17">
    <cacheField name="Order_ID" numFmtId="0">
      <sharedItems/>
    </cacheField>
    <cacheField name="Order_Date" numFmtId="22">
      <sharedItems containsSemiMixedTypes="0" containsNonDate="0" containsDate="1" containsString="0" minDate="2025-01-01T00:00:00" maxDate="2026-01-01T00:00:00" count="350">
        <d v="2025-04-01T00:00:00"/>
        <d v="2025-12-09T00:00:00"/>
        <d v="2025-09-23T00:00:00"/>
        <d v="2025-11-22T00:00:00"/>
        <d v="2025-08-03T00:00:00"/>
        <d v="2025-07-04T00:00:00"/>
        <d v="2025-06-05T00:00:00"/>
        <d v="2025-11-24T00:00:00"/>
        <d v="2025-02-05T00:00:00"/>
        <d v="2025-07-27T00:00:00"/>
        <d v="2025-08-31T00:00:00"/>
        <d v="2025-09-14T00:00:00"/>
        <d v="2025-07-20T00:00:00"/>
        <d v="2025-01-25T00:00:00"/>
        <d v="2025-02-08T00:00:00"/>
        <d v="2025-08-02T00:00:00"/>
        <d v="2025-06-08T00:00:00"/>
        <d v="2025-11-08T00:00:00"/>
        <d v="2025-07-24T00:00:00"/>
        <d v="2025-06-26T00:00:00"/>
        <d v="2025-08-26T00:00:00"/>
        <d v="2025-05-18T00:00:00"/>
        <d v="2025-06-23T00:00:00"/>
        <d v="2025-08-22T00:00:00"/>
        <d v="2025-06-12T00:00:00"/>
        <d v="2025-10-31T00:00:00"/>
        <d v="2025-06-10T00:00:00"/>
        <d v="2025-12-19T00:00:00"/>
        <d v="2025-04-20T00:00:00"/>
        <d v="2025-10-10T00:00:00"/>
        <d v="2025-08-01T00:00:00"/>
        <d v="2025-11-20T00:00:00"/>
        <d v="2025-07-28T00:00:00"/>
        <d v="2025-02-27T00:00:00"/>
        <d v="2025-05-29T00:00:00"/>
        <d v="2025-01-13T00:00:00"/>
        <d v="2025-08-11T00:00:00"/>
        <d v="2025-04-12T00:00:00"/>
        <d v="2025-03-05T00:00:00"/>
        <d v="2025-09-25T00:00:00"/>
        <d v="2025-12-22T00:00:00"/>
        <d v="2025-11-28T00:00:00"/>
        <d v="2025-04-11T00:00:00"/>
        <d v="2025-06-21T00:00:00"/>
        <d v="2025-10-29T00:00:00"/>
        <d v="2025-11-01T00:00:00"/>
        <d v="2025-02-19T00:00:00"/>
        <d v="2025-03-07T00:00:00"/>
        <d v="2025-04-13T00:00:00"/>
        <d v="2025-09-28T00:00:00"/>
        <d v="2025-03-08T00:00:00"/>
        <d v="2025-12-27T00:00:00"/>
        <d v="2025-10-11T00:00:00"/>
        <d v="2025-07-06T00:00:00"/>
        <d v="2025-05-21T00:00:00"/>
        <d v="2025-03-31T00:00:00"/>
        <d v="2025-01-05T00:00:00"/>
        <d v="2025-09-20T00:00:00"/>
        <d v="2025-03-10T00:00:00"/>
        <d v="2025-12-23T00:00:00"/>
        <d v="2025-05-07T00:00:00"/>
        <d v="2025-09-02T00:00:00"/>
        <d v="2025-04-27T00:00:00"/>
        <d v="2025-10-19T00:00:00"/>
        <d v="2025-10-05T00:00:00"/>
        <d v="2025-09-12T00:00:00"/>
        <d v="2025-05-11T00:00:00"/>
        <d v="2025-12-03T00:00:00"/>
        <d v="2025-10-15T00:00:00"/>
        <d v="2025-06-24T00:00:00"/>
        <d v="2025-05-01T00:00:00"/>
        <d v="2025-03-27T00:00:00"/>
        <d v="2025-11-05T00:00:00"/>
        <d v="2025-12-29T00:00:00"/>
        <d v="2025-03-28T00:00:00"/>
        <d v="2025-05-05T00:00:00"/>
        <d v="2025-03-29T00:00:00"/>
        <d v="2025-01-08T00:00:00"/>
        <d v="2025-11-30T00:00:00"/>
        <d v="2025-08-08T00:00:00"/>
        <d v="2025-04-17T00:00:00"/>
        <d v="2025-10-14T00:00:00"/>
        <d v="2025-05-30T00:00:00"/>
        <d v="2025-11-06T00:00:00"/>
        <d v="2025-07-17T00:00:00"/>
        <d v="2025-08-15T00:00:00"/>
        <d v="2025-06-17T00:00:00"/>
        <d v="2025-03-02T00:00:00"/>
        <d v="2025-12-02T00:00:00"/>
        <d v="2025-04-18T00:00:00"/>
        <d v="2025-11-13T00:00:00"/>
        <d v="2025-04-22T00:00:00"/>
        <d v="2025-08-21T00:00:00"/>
        <d v="2025-01-09T00:00:00"/>
        <d v="2025-12-30T00:00:00"/>
        <d v="2025-06-01T00:00:00"/>
        <d v="2025-10-28T00:00:00"/>
        <d v="2025-04-24T00:00:00"/>
        <d v="2025-04-21T00:00:00"/>
        <d v="2025-10-12T00:00:00"/>
        <d v="2025-06-14T00:00:00"/>
        <d v="2025-12-24T00:00:00"/>
        <d v="2025-03-14T00:00:00"/>
        <d v="2025-10-01T00:00:00"/>
        <d v="2025-06-13T00:00:00"/>
        <d v="2025-06-29T00:00:00"/>
        <d v="2025-03-11T00:00:00"/>
        <d v="2025-04-05T00:00:00"/>
        <d v="2025-01-04T00:00:00"/>
        <d v="2025-09-11T00:00:00"/>
        <d v="2025-04-09T00:00:00"/>
        <d v="2025-04-02T00:00:00"/>
        <d v="2025-10-13T00:00:00"/>
        <d v="2025-10-03T00:00:00"/>
        <d v="2025-09-03T00:00:00"/>
        <d v="2025-09-21T00:00:00"/>
        <d v="2025-02-17T00:00:00"/>
        <d v="2025-09-09T00:00:00"/>
        <d v="2025-12-12T00:00:00"/>
        <d v="2025-01-16T00:00:00"/>
        <d v="2025-06-30T00:00:00"/>
        <d v="2025-05-19T00:00:00"/>
        <d v="2025-01-21T00:00:00"/>
        <d v="2025-05-25T00:00:00"/>
        <d v="2025-06-15T00:00:00"/>
        <d v="2025-05-13T00:00:00"/>
        <d v="2025-09-05T00:00:00"/>
        <d v="2025-08-24T00:00:00"/>
        <d v="2025-07-23T00:00:00"/>
        <d v="2025-07-25T00:00:00"/>
        <d v="2025-05-14T00:00:00"/>
        <d v="2025-02-22T00:00:00"/>
        <d v="2025-06-04T00:00:00"/>
        <d v="2025-10-17T00:00:00"/>
        <d v="2025-08-12T00:00:00"/>
        <d v="2025-02-23T00:00:00"/>
        <d v="2025-11-16T00:00:00"/>
        <d v="2025-12-18T00:00:00"/>
        <d v="2025-09-07T00:00:00"/>
        <d v="2025-02-06T00:00:00"/>
        <d v="2025-11-03T00:00:00"/>
        <d v="2025-06-03T00:00:00"/>
        <d v="2025-11-18T00:00:00"/>
        <d v="2025-11-29T00:00:00"/>
        <d v="2025-02-04T00:00:00"/>
        <d v="2025-12-01T00:00:00"/>
        <d v="2025-07-29T00:00:00"/>
        <d v="2025-05-24T00:00:00"/>
        <d v="2025-11-23T00:00:00"/>
        <d v="2025-11-14T00:00:00"/>
        <d v="2025-01-28T00:00:00"/>
        <d v="2025-01-12T00:00:00"/>
        <d v="2025-05-15T00:00:00"/>
        <d v="2025-05-23T00:00:00"/>
        <d v="2025-03-17T00:00:00"/>
        <d v="2025-04-26T00:00:00"/>
        <d v="2025-03-09T00:00:00"/>
        <d v="2025-08-04T00:00:00"/>
        <d v="2025-11-25T00:00:00"/>
        <d v="2025-01-10T00:00:00"/>
        <d v="2025-12-17T00:00:00"/>
        <d v="2025-12-07T00:00:00"/>
        <d v="2025-10-07T00:00:00"/>
        <d v="2025-02-09T00:00:00"/>
        <d v="2025-08-30T00:00:00"/>
        <d v="2025-02-21T00:00:00"/>
        <d v="2025-11-04T00:00:00"/>
        <d v="2025-02-12T00:00:00"/>
        <d v="2025-11-21T00:00:00"/>
        <d v="2025-03-06T00:00:00"/>
        <d v="2025-12-13T00:00:00"/>
        <d v="2025-05-06T00:00:00"/>
        <d v="2025-02-24T00:00:00"/>
        <d v="2025-02-01T00:00:00"/>
        <d v="2025-03-12T00:00:00"/>
        <d v="2025-05-26T00:00:00"/>
        <d v="2025-07-15T00:00:00"/>
        <d v="2025-10-16T00:00:00"/>
        <d v="2025-11-17T00:00:00"/>
        <d v="2025-03-30T00:00:00"/>
        <d v="2025-10-02T00:00:00"/>
        <d v="2025-01-11T00:00:00"/>
        <d v="2025-11-15T00:00:00"/>
        <d v="2025-01-30T00:00:00"/>
        <d v="2025-02-14T00:00:00"/>
        <d v="2025-10-22T00:00:00"/>
        <d v="2025-03-23T00:00:00"/>
        <d v="2025-09-06T00:00:00"/>
        <d v="2025-02-11T00:00:00"/>
        <d v="2025-10-08T00:00:00"/>
        <d v="2025-05-08T00:00:00"/>
        <d v="2025-11-02T00:00:00"/>
        <d v="2025-11-27T00:00:00"/>
        <d v="2025-06-27T00:00:00"/>
        <d v="2025-02-13T00:00:00"/>
        <d v="2025-01-20T00:00:00"/>
        <d v="2025-04-23T00:00:00"/>
        <d v="2025-05-31T00:00:00"/>
        <d v="2025-12-26T00:00:00"/>
        <d v="2025-06-18T00:00:00"/>
        <d v="2025-10-06T00:00:00"/>
        <d v="2025-12-06T00:00:00"/>
        <d v="2025-12-10T00:00:00"/>
        <d v="2025-03-21T00:00:00"/>
        <d v="2025-08-19T00:00:00"/>
        <d v="2025-07-30T00:00:00"/>
        <d v="2025-01-03T00:00:00"/>
        <d v="2025-06-22T00:00:00"/>
        <d v="2025-07-08T00:00:00"/>
        <d v="2025-09-08T00:00:00"/>
        <d v="2025-05-28T00:00:00"/>
        <d v="2025-03-24T00:00:00"/>
        <d v="2025-06-28T00:00:00"/>
        <d v="2025-09-17T00:00:00"/>
        <d v="2025-01-15T00:00:00"/>
        <d v="2025-08-09T00:00:00"/>
        <d v="2025-01-29T00:00:00"/>
        <d v="2025-01-01T00:00:00"/>
        <d v="2025-06-07T00:00:00"/>
        <d v="2025-03-25T00:00:00"/>
        <d v="2025-02-16T00:00:00"/>
        <d v="2025-05-12T00:00:00"/>
        <d v="2025-11-10T00:00:00"/>
        <d v="2025-12-21T00:00:00"/>
        <d v="2025-07-10T00:00:00"/>
        <d v="2025-09-18T00:00:00"/>
        <d v="2025-02-03T00:00:00"/>
        <d v="2025-08-05T00:00:00"/>
        <d v="2025-11-07T00:00:00"/>
        <d v="2025-04-29T00:00:00"/>
        <d v="2025-01-06T00:00:00"/>
        <d v="2025-07-11T00:00:00"/>
        <d v="2025-11-12T00:00:00"/>
        <d v="2025-02-10T00:00:00"/>
        <d v="2025-04-06T00:00:00"/>
        <d v="2025-08-17T00:00:00"/>
        <d v="2025-06-25T00:00:00"/>
        <d v="2025-11-26T00:00:00"/>
        <d v="2025-04-25T00:00:00"/>
        <d v="2025-10-18T00:00:00"/>
        <d v="2025-12-20T00:00:00"/>
        <d v="2025-06-02T00:00:00"/>
        <d v="2025-02-28T00:00:00"/>
        <d v="2025-05-20T00:00:00"/>
        <d v="2025-07-14T00:00:00"/>
        <d v="2025-12-04T00:00:00"/>
        <d v="2025-02-07T00:00:00"/>
        <d v="2025-02-18T00:00:00"/>
        <d v="2025-03-16T00:00:00"/>
        <d v="2025-08-25T00:00:00"/>
        <d v="2025-10-30T00:00:00"/>
        <d v="2025-04-28T00:00:00"/>
        <d v="2025-02-20T00:00:00"/>
        <d v="2025-11-11T00:00:00"/>
        <d v="2025-04-19T00:00:00"/>
        <d v="2025-09-29T00:00:00"/>
        <d v="2025-08-07T00:00:00"/>
        <d v="2025-07-26T00:00:00"/>
        <d v="2025-10-25T00:00:00"/>
        <d v="2025-04-30T00:00:00"/>
        <d v="2025-11-09T00:00:00"/>
        <d v="2025-07-21T00:00:00"/>
        <d v="2025-12-15T00:00:00"/>
        <d v="2025-01-14T00:00:00"/>
        <d v="2025-04-08T00:00:00"/>
        <d v="2025-10-23T00:00:00"/>
        <d v="2025-08-13T00:00:00"/>
        <d v="2025-01-19T00:00:00"/>
        <d v="2025-10-26T00:00:00"/>
        <d v="2025-03-15T00:00:00"/>
        <d v="2025-07-31T00:00:00"/>
        <d v="2025-05-17T00:00:00"/>
        <d v="2025-08-23T00:00:00"/>
        <d v="2025-09-15T00:00:00"/>
        <d v="2025-06-06T00:00:00"/>
        <d v="2025-04-04T00:00:00"/>
        <d v="2025-09-16T00:00:00"/>
        <d v="2025-01-17T00:00:00"/>
        <d v="2025-08-18T00:00:00"/>
        <d v="2025-04-16T00:00:00"/>
        <d v="2025-09-10T00:00:00"/>
        <d v="2025-08-27T00:00:00"/>
        <d v="2025-10-27T00:00:00"/>
        <d v="2025-04-14T00:00:00"/>
        <d v="2025-01-22T00:00:00"/>
        <d v="2025-10-09T00:00:00"/>
        <d v="2025-11-19T00:00:00"/>
        <d v="2025-03-26T00:00:00"/>
        <d v="2025-09-01T00:00:00"/>
        <d v="2025-06-09T00:00:00"/>
        <d v="2025-12-11T00:00:00"/>
        <d v="2025-10-24T00:00:00"/>
        <d v="2025-07-09T00:00:00"/>
        <d v="2025-08-14T00:00:00"/>
        <d v="2025-03-22T00:00:00"/>
        <d v="2025-07-12T00:00:00"/>
        <d v="2025-08-20T00:00:00"/>
        <d v="2025-04-15T00:00:00"/>
        <d v="2025-05-27T00:00:00"/>
        <d v="2025-09-04T00:00:00"/>
        <d v="2025-09-22T00:00:00"/>
        <d v="2025-10-20T00:00:00"/>
        <d v="2025-03-01T00:00:00"/>
        <d v="2025-09-26T00:00:00"/>
        <d v="2025-01-23T00:00:00"/>
        <d v="2025-07-07T00:00:00"/>
        <d v="2025-05-16T00:00:00"/>
        <d v="2025-03-04T00:00:00"/>
        <d v="2025-02-02T00:00:00"/>
        <d v="2025-05-10T00:00:00"/>
        <d v="2025-06-20T00:00:00"/>
        <d v="2025-06-19T00:00:00"/>
        <d v="2025-12-05T00:00:00"/>
        <d v="2025-09-13T00:00:00"/>
        <d v="2025-09-30T00:00:00"/>
        <d v="2025-04-07T00:00:00"/>
        <d v="2025-03-19T00:00:00"/>
        <d v="2025-03-03T00:00:00"/>
        <d v="2025-01-26T00:00:00"/>
        <d v="2025-05-09T00:00:00"/>
        <d v="2025-01-18T00:00:00"/>
        <d v="2025-07-01T00:00:00"/>
        <d v="2025-01-24T00:00:00"/>
        <d v="2025-01-31T00:00:00"/>
        <d v="2025-08-28T00:00:00"/>
        <d v="2025-07-02T00:00:00"/>
        <d v="2025-02-15T00:00:00"/>
        <d v="2025-05-02T00:00:00"/>
        <d v="2025-08-10T00:00:00"/>
        <d v="2025-09-27T00:00:00"/>
        <d v="2025-01-07T00:00:00"/>
        <d v="2025-06-16T00:00:00"/>
        <d v="2025-04-03T00:00:00"/>
        <d v="2025-02-26T00:00:00"/>
        <d v="2025-01-02T00:00:00"/>
        <d v="2025-12-14T00:00:00"/>
        <d v="2025-09-19T00:00:00"/>
        <d v="2025-07-05T00:00:00"/>
        <d v="2025-08-06T00:00:00"/>
        <d v="2025-03-13T00:00:00"/>
        <d v="2025-05-04T00:00:00"/>
        <d v="2025-10-21T00:00:00"/>
        <d v="2025-08-16T00:00:00"/>
        <d v="2025-07-03T00:00:00"/>
        <d v="2025-12-08T00:00:00"/>
        <d v="2025-12-28T00:00:00"/>
        <d v="2025-10-04T00:00:00"/>
        <d v="2025-07-22T00:00:00"/>
        <d v="2025-12-31T00:00:00"/>
        <d v="2025-05-22T00:00:00"/>
      </sharedItems>
      <fieldGroup par="16"/>
    </cacheField>
    <cacheField name="Region" numFmtId="0">
      <sharedItems count="5">
        <s v="East"/>
        <s v="South"/>
        <s v="West"/>
        <s v="North"/>
        <s v="Unknown"/>
      </sharedItems>
    </cacheField>
    <cacheField name="State" numFmtId="0">
      <sharedItems/>
    </cacheField>
    <cacheField name="Salesperson" numFmtId="0">
      <sharedItems count="9">
        <s v="Vikram"/>
        <s v="Amit"/>
        <s v="Neha"/>
        <s v="Arjun"/>
        <s v="Priya"/>
        <s v="Sneha"/>
        <s v="Rahul"/>
        <s v="Kavya"/>
        <s v="Unknown"/>
      </sharedItems>
    </cacheField>
    <cacheField name="Category" numFmtId="0">
      <sharedItems count="4">
        <s v="Office Supplies"/>
        <s v="Electronics"/>
        <s v="Home Appliances"/>
        <s v="Furniture"/>
      </sharedItems>
    </cacheField>
    <cacheField name="Product" numFmtId="0">
      <sharedItems count="20">
        <s v="Notebook"/>
        <s v="Stationery Kit"/>
        <s v="Headphones"/>
        <s v="Mixer Grinder"/>
        <s v="Coffee Table"/>
        <s v="Office Chair"/>
        <s v="Bookshelf"/>
        <s v="Microwave"/>
        <s v="Printer"/>
        <s v="Desk"/>
        <s v="Monitor"/>
        <s v="Tablet"/>
        <s v="Smartphone"/>
        <s v="Bed"/>
        <s v="Sofa"/>
        <s v="Washing Machine"/>
        <s v="Refrigerator"/>
        <s v="Air Conditioner"/>
        <s v="Dining Table"/>
        <s v="Laptop"/>
      </sharedItems>
    </cacheField>
    <cacheField name="Quantity" numFmtId="0">
      <sharedItems containsSemiMixedTypes="0" containsString="0" containsNumber="1" containsInteger="1" minValue="1" maxValue="8"/>
    </cacheField>
    <cacheField name="Unit_Price" numFmtId="0">
      <sharedItems containsSemiMixedTypes="0" containsString="0" containsNumber="1" minValue="230.21" maxValue="70118.210000000006"/>
    </cacheField>
    <cacheField name="Discount" numFmtId="0">
      <sharedItems containsSemiMixedTypes="0" containsString="0" containsNumber="1" minValue="0" maxValue="0.15" count="6">
        <n v="0.15"/>
        <n v="0.1"/>
        <n v="0"/>
        <n v="0.03"/>
        <n v="0.08"/>
        <n v="0.05"/>
      </sharedItems>
    </cacheField>
    <cacheField name="Revenue" numFmtId="0">
      <sharedItems containsSemiMixedTypes="0" containsString="0" containsNumber="1" minValue="204.93" maxValue="555843.17000000004"/>
    </cacheField>
    <cacheField name="Cost" numFmtId="0">
      <sharedItems containsSemiMixedTypes="0" containsString="0" containsNumber="1" minValue="159.97999999999999" maxValue="442953.19"/>
    </cacheField>
    <cacheField name="Profit" numFmtId="0">
      <sharedItems containsSemiMixedTypes="0" containsString="0" containsNumber="1" minValue="40.950000000000003" maxValue="177550.15"/>
    </cacheField>
    <cacheField name="Customer_Type" numFmtId="0">
      <sharedItems/>
    </cacheField>
    <cacheField name="Payment_Mode" numFmtId="0">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47778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0">
  <r>
    <s v="ORD10785"/>
    <x v="0"/>
    <x v="0"/>
    <s v="Bihar"/>
    <x v="0"/>
    <x v="0"/>
    <x v="0"/>
    <n v="1"/>
    <n v="241.09"/>
    <x v="0"/>
    <n v="204.93"/>
    <n v="163.98"/>
    <n v="40.950000000000003"/>
    <s v="Corporate"/>
    <s v="Net Banking"/>
  </r>
  <r>
    <s v="ORD10711"/>
    <x v="1"/>
    <x v="1"/>
    <s v="Andhra Pradesh"/>
    <x v="1"/>
    <x v="0"/>
    <x v="0"/>
    <n v="1"/>
    <n v="267.39"/>
    <x v="1"/>
    <n v="240.65"/>
    <n v="197.86"/>
    <n v="42.79"/>
    <s v="Online"/>
    <s v="Cash"/>
  </r>
  <r>
    <s v="ORD10089"/>
    <x v="2"/>
    <x v="1"/>
    <s v="Karnataka"/>
    <x v="2"/>
    <x v="0"/>
    <x v="0"/>
    <n v="1"/>
    <n v="243.37"/>
    <x v="2"/>
    <n v="243.37"/>
    <n v="194.89"/>
    <n v="48.48"/>
    <s v="Retail"/>
    <s v="Credit Card"/>
  </r>
  <r>
    <s v="ORD10577"/>
    <x v="3"/>
    <x v="2"/>
    <s v="Maharashtra"/>
    <x v="3"/>
    <x v="0"/>
    <x v="0"/>
    <n v="1"/>
    <n v="234.23"/>
    <x v="1"/>
    <n v="210.8"/>
    <n v="159.97999999999999"/>
    <n v="50.82"/>
    <s v="Online"/>
    <s v="Credit Card"/>
  </r>
  <r>
    <s v="ORD10806"/>
    <x v="4"/>
    <x v="1"/>
    <s v="Tamil Nadu"/>
    <x v="3"/>
    <x v="0"/>
    <x v="0"/>
    <n v="1"/>
    <n v="269.68"/>
    <x v="2"/>
    <n v="269.68"/>
    <n v="218.73"/>
    <n v="50.95"/>
    <s v="Retail"/>
    <s v="Debit Card"/>
  </r>
  <r>
    <s v="ORD11005"/>
    <x v="5"/>
    <x v="1"/>
    <s v="Karnataka"/>
    <x v="0"/>
    <x v="0"/>
    <x v="0"/>
    <n v="1"/>
    <n v="262.61"/>
    <x v="2"/>
    <n v="262.61"/>
    <n v="202.08"/>
    <n v="60.53"/>
    <s v="Corporate"/>
    <s v="UPI"/>
  </r>
  <r>
    <s v="ORD10289"/>
    <x v="6"/>
    <x v="3"/>
    <s v="Uttar Pradesh"/>
    <x v="4"/>
    <x v="0"/>
    <x v="0"/>
    <n v="1"/>
    <n v="263.42"/>
    <x v="1"/>
    <n v="237.07"/>
    <n v="168.43"/>
    <n v="68.64"/>
    <s v="Retail"/>
    <s v="Debit Card"/>
  </r>
  <r>
    <s v="ORD10371"/>
    <x v="7"/>
    <x v="2"/>
    <s v="Goa"/>
    <x v="5"/>
    <x v="0"/>
    <x v="0"/>
    <n v="1"/>
    <n v="252.17"/>
    <x v="3"/>
    <n v="244.61"/>
    <n v="168.91"/>
    <n v="75.7"/>
    <s v="Online"/>
    <s v="Cash"/>
  </r>
  <r>
    <s v="ORD10164"/>
    <x v="8"/>
    <x v="3"/>
    <s v="Uttar Pradesh"/>
    <x v="5"/>
    <x v="0"/>
    <x v="0"/>
    <n v="2"/>
    <n v="243.49"/>
    <x v="1"/>
    <n v="438.28"/>
    <n v="353"/>
    <n v="85.28"/>
    <s v="Retail"/>
    <s v="UPI"/>
  </r>
  <r>
    <s v="ORD10407"/>
    <x v="9"/>
    <x v="1"/>
    <s v="Karnataka"/>
    <x v="6"/>
    <x v="0"/>
    <x v="1"/>
    <n v="1"/>
    <n v="669.32"/>
    <x v="1"/>
    <n v="602.39"/>
    <n v="507.99"/>
    <n v="94.4"/>
    <s v="Retail"/>
    <s v="Cash"/>
  </r>
  <r>
    <s v="ORD10139"/>
    <x v="10"/>
    <x v="0"/>
    <s v="Jharkhand"/>
    <x v="4"/>
    <x v="0"/>
    <x v="0"/>
    <n v="2"/>
    <n v="253.91"/>
    <x v="1"/>
    <n v="457.04"/>
    <n v="355.21"/>
    <n v="101.83"/>
    <s v="Corporate"/>
    <s v="Cash"/>
  </r>
  <r>
    <s v="ORD10571"/>
    <x v="11"/>
    <x v="1"/>
    <s v="Telangana"/>
    <x v="0"/>
    <x v="0"/>
    <x v="0"/>
    <n v="2"/>
    <n v="242.63"/>
    <x v="2"/>
    <n v="485.25"/>
    <n v="377.2"/>
    <n v="108.05"/>
    <s v="Retail"/>
    <s v="Debit Card"/>
  </r>
  <r>
    <s v="ORD10550"/>
    <x v="12"/>
    <x v="2"/>
    <s v="Gujarat"/>
    <x v="3"/>
    <x v="0"/>
    <x v="0"/>
    <n v="2"/>
    <n v="235.26"/>
    <x v="3"/>
    <n v="456.4"/>
    <n v="346.63"/>
    <n v="109.77"/>
    <s v="Retail"/>
    <s v="Debit Card"/>
  </r>
  <r>
    <s v="ORD10103"/>
    <x v="13"/>
    <x v="1"/>
    <s v="Andhra Pradesh"/>
    <x v="6"/>
    <x v="0"/>
    <x v="1"/>
    <n v="1"/>
    <n v="717.78"/>
    <x v="4"/>
    <n v="660.36"/>
    <n v="544.01"/>
    <n v="116.35"/>
    <s v="Online"/>
    <s v="Net Banking"/>
  </r>
  <r>
    <s v="ORD10675"/>
    <x v="14"/>
    <x v="0"/>
    <s v="Bihar"/>
    <x v="4"/>
    <x v="0"/>
    <x v="0"/>
    <n v="2"/>
    <n v="262.31"/>
    <x v="4"/>
    <n v="482.66"/>
    <n v="363.64"/>
    <n v="119.02"/>
    <s v="Corporate"/>
    <s v="Net Banking"/>
  </r>
  <r>
    <s v="ORD10378"/>
    <x v="15"/>
    <x v="0"/>
    <s v="Bihar"/>
    <x v="1"/>
    <x v="0"/>
    <x v="0"/>
    <n v="2"/>
    <n v="254.78"/>
    <x v="4"/>
    <n v="468.8"/>
    <n v="347.62"/>
    <n v="121.18"/>
    <s v="Retail"/>
    <s v="Debit Card"/>
  </r>
  <r>
    <s v="ORD11160"/>
    <x v="16"/>
    <x v="0"/>
    <s v="Odisha"/>
    <x v="2"/>
    <x v="0"/>
    <x v="1"/>
    <n v="1"/>
    <n v="697.92"/>
    <x v="2"/>
    <n v="697.92"/>
    <n v="569.65"/>
    <n v="128.27000000000001"/>
    <s v="Online"/>
    <s v="Credit Card"/>
  </r>
  <r>
    <s v="ORD10280"/>
    <x v="17"/>
    <x v="3"/>
    <s v="Uttar Pradesh"/>
    <x v="0"/>
    <x v="0"/>
    <x v="0"/>
    <n v="2"/>
    <n v="253.29"/>
    <x v="0"/>
    <n v="430.59"/>
    <n v="291.68"/>
    <n v="138.91"/>
    <s v="Online"/>
    <s v="Credit Card"/>
  </r>
  <r>
    <s v="ORD10740"/>
    <x v="18"/>
    <x v="3"/>
    <s v="Haryana"/>
    <x v="4"/>
    <x v="0"/>
    <x v="1"/>
    <n v="1"/>
    <n v="672.7"/>
    <x v="3"/>
    <n v="652.52"/>
    <n v="509.48"/>
    <n v="143.04"/>
    <s v="Retail"/>
    <s v="Cash"/>
  </r>
  <r>
    <s v="ORD10570"/>
    <x v="19"/>
    <x v="1"/>
    <s v="Telangana"/>
    <x v="3"/>
    <x v="0"/>
    <x v="0"/>
    <n v="4"/>
    <n v="251.01"/>
    <x v="2"/>
    <n v="1004.05"/>
    <n v="856.87"/>
    <n v="147.18"/>
    <s v="Online"/>
    <s v="Cash"/>
  </r>
  <r>
    <s v="ORD10968"/>
    <x v="20"/>
    <x v="1"/>
    <s v="Karnataka"/>
    <x v="3"/>
    <x v="0"/>
    <x v="0"/>
    <n v="2"/>
    <n v="230.31"/>
    <x v="4"/>
    <n v="423.77"/>
    <n v="273.56"/>
    <n v="150.21"/>
    <s v="Retail"/>
    <s v="Cash"/>
  </r>
  <r>
    <s v="ORD10701"/>
    <x v="21"/>
    <x v="3"/>
    <s v="Punjab"/>
    <x v="7"/>
    <x v="0"/>
    <x v="1"/>
    <n v="1"/>
    <n v="645.1"/>
    <x v="2"/>
    <n v="645.1"/>
    <n v="482.9"/>
    <n v="162.19999999999999"/>
    <s v="Retail"/>
    <s v="Net Banking"/>
  </r>
  <r>
    <s v="ORD10948"/>
    <x v="22"/>
    <x v="2"/>
    <s v="Maharashtra"/>
    <x v="5"/>
    <x v="0"/>
    <x v="0"/>
    <n v="4"/>
    <n v="248.69"/>
    <x v="4"/>
    <n v="915.19"/>
    <n v="742.08"/>
    <n v="173.11"/>
    <s v="Corporate"/>
    <s v="UPI"/>
  </r>
  <r>
    <s v="ORD10508"/>
    <x v="23"/>
    <x v="1"/>
    <s v="Karnataka"/>
    <x v="7"/>
    <x v="0"/>
    <x v="0"/>
    <n v="2"/>
    <n v="250.44"/>
    <x v="5"/>
    <n v="475.83"/>
    <n v="301.16000000000003"/>
    <n v="174.67"/>
    <s v="Online"/>
    <s v="Cash"/>
  </r>
  <r>
    <s v="ORD10982"/>
    <x v="24"/>
    <x v="0"/>
    <s v="Odisha"/>
    <x v="4"/>
    <x v="0"/>
    <x v="0"/>
    <n v="5"/>
    <n v="241.15"/>
    <x v="5"/>
    <n v="1145.46"/>
    <n v="962.51"/>
    <n v="182.95"/>
    <s v="Online"/>
    <s v="UPI"/>
  </r>
  <r>
    <s v="ORD10843"/>
    <x v="25"/>
    <x v="3"/>
    <s v="Haryana"/>
    <x v="6"/>
    <x v="0"/>
    <x v="0"/>
    <n v="3"/>
    <n v="230.56"/>
    <x v="4"/>
    <n v="636.34"/>
    <n v="450.29"/>
    <n v="186.05"/>
    <s v="Online"/>
    <s v="Net Banking"/>
  </r>
  <r>
    <s v="ORD10484"/>
    <x v="26"/>
    <x v="0"/>
    <s v="Bihar"/>
    <x v="1"/>
    <x v="0"/>
    <x v="0"/>
    <n v="4"/>
    <n v="239.69"/>
    <x v="2"/>
    <n v="958.75"/>
    <n v="765.63"/>
    <n v="193.12"/>
    <s v="Online"/>
    <s v="UPI"/>
  </r>
  <r>
    <s v="ORD10670"/>
    <x v="27"/>
    <x v="1"/>
    <s v="Andhra Pradesh"/>
    <x v="5"/>
    <x v="0"/>
    <x v="0"/>
    <n v="5"/>
    <n v="244.82"/>
    <x v="5"/>
    <n v="1162.8900000000001"/>
    <n v="967.07"/>
    <n v="195.82"/>
    <s v="Online"/>
    <s v="Net Banking"/>
  </r>
  <r>
    <s v="ORD10827"/>
    <x v="28"/>
    <x v="3"/>
    <s v="Punjab"/>
    <x v="5"/>
    <x v="0"/>
    <x v="1"/>
    <n v="2"/>
    <n v="699.96"/>
    <x v="3"/>
    <n v="1357.92"/>
    <n v="1159.25"/>
    <n v="198.67"/>
    <s v="Retail"/>
    <s v="Debit Card"/>
  </r>
  <r>
    <s v="ORD10326"/>
    <x v="29"/>
    <x v="0"/>
    <s v="Bihar"/>
    <x v="6"/>
    <x v="0"/>
    <x v="0"/>
    <n v="3"/>
    <n v="234.42"/>
    <x v="3"/>
    <n v="682.15"/>
    <n v="473.65"/>
    <n v="208.5"/>
    <s v="Corporate"/>
    <s v="UPI"/>
  </r>
  <r>
    <s v="ORD10059"/>
    <x v="21"/>
    <x v="1"/>
    <s v="Karnataka"/>
    <x v="1"/>
    <x v="0"/>
    <x v="0"/>
    <n v="6"/>
    <n v="254.88"/>
    <x v="1"/>
    <n v="1376.37"/>
    <n v="1167"/>
    <n v="209.37"/>
    <s v="Online"/>
    <s v="Credit Card"/>
  </r>
  <r>
    <s v="ORD10759"/>
    <x v="30"/>
    <x v="0"/>
    <s v="Odisha"/>
    <x v="7"/>
    <x v="0"/>
    <x v="1"/>
    <n v="1"/>
    <n v="672.67"/>
    <x v="4"/>
    <n v="618.86"/>
    <n v="400.96"/>
    <n v="217.9"/>
    <s v="Online"/>
    <s v="Credit Card"/>
  </r>
  <r>
    <s v="ORD10994"/>
    <x v="31"/>
    <x v="0"/>
    <s v="Odisha"/>
    <x v="7"/>
    <x v="0"/>
    <x v="1"/>
    <n v="1"/>
    <n v="678.92"/>
    <x v="4"/>
    <n v="624.61"/>
    <n v="388.66"/>
    <n v="235.95"/>
    <s v="Corporate"/>
    <s v="UPI"/>
  </r>
  <r>
    <s v="ORD10029"/>
    <x v="4"/>
    <x v="0"/>
    <s v="Jharkhand"/>
    <x v="2"/>
    <x v="0"/>
    <x v="0"/>
    <n v="3"/>
    <n v="243.52"/>
    <x v="5"/>
    <n v="694.03"/>
    <n v="445.95"/>
    <n v="248.08"/>
    <s v="Corporate"/>
    <s v="Debit Card"/>
  </r>
  <r>
    <s v="ORD11054"/>
    <x v="1"/>
    <x v="0"/>
    <s v="Jharkhand"/>
    <x v="2"/>
    <x v="0"/>
    <x v="0"/>
    <n v="7"/>
    <n v="266.68"/>
    <x v="0"/>
    <n v="1586.76"/>
    <n v="1281.03"/>
    <n v="305.73"/>
    <s v="Online"/>
    <s v="Credit Card"/>
  </r>
  <r>
    <s v="ORD10195"/>
    <x v="32"/>
    <x v="3"/>
    <s v="Delhi"/>
    <x v="7"/>
    <x v="0"/>
    <x v="0"/>
    <n v="4"/>
    <n v="230.21"/>
    <x v="4"/>
    <n v="847.17"/>
    <n v="532.41999999999996"/>
    <n v="314.75"/>
    <s v="Retail"/>
    <s v="UPI"/>
  </r>
  <r>
    <s v="ORD10593"/>
    <x v="33"/>
    <x v="3"/>
    <s v="Punjab"/>
    <x v="1"/>
    <x v="0"/>
    <x v="0"/>
    <n v="7"/>
    <n v="267.14999999999998"/>
    <x v="5"/>
    <n v="1776.55"/>
    <n v="1460.87"/>
    <n v="315.68"/>
    <s v="Retail"/>
    <s v="Credit Card"/>
  </r>
  <r>
    <s v="ORD10976"/>
    <x v="34"/>
    <x v="3"/>
    <s v="Punjab"/>
    <x v="4"/>
    <x v="0"/>
    <x v="1"/>
    <n v="2"/>
    <n v="737.27"/>
    <x v="2"/>
    <n v="1474.54"/>
    <n v="1158.6500000000001"/>
    <n v="315.89"/>
    <s v="Corporate"/>
    <s v="Debit Card"/>
  </r>
  <r>
    <s v="ORD10134"/>
    <x v="9"/>
    <x v="2"/>
    <s v="Goa"/>
    <x v="4"/>
    <x v="0"/>
    <x v="0"/>
    <n v="6"/>
    <n v="254.49"/>
    <x v="5"/>
    <n v="1450.59"/>
    <n v="1129.42"/>
    <n v="321.17"/>
    <s v="Corporate"/>
    <s v="Credit Card"/>
  </r>
  <r>
    <s v="ORD10180"/>
    <x v="35"/>
    <x v="3"/>
    <s v="Delhi"/>
    <x v="2"/>
    <x v="0"/>
    <x v="1"/>
    <n v="2"/>
    <n v="720.27"/>
    <x v="3"/>
    <n v="1397.32"/>
    <n v="1073.9100000000001"/>
    <n v="323.41000000000003"/>
    <s v="Retail"/>
    <s v="Credit Card"/>
  </r>
  <r>
    <s v="ORD11076"/>
    <x v="36"/>
    <x v="1"/>
    <s v="Tamil Nadu"/>
    <x v="6"/>
    <x v="0"/>
    <x v="0"/>
    <n v="4"/>
    <n v="245.13"/>
    <x v="4"/>
    <n v="902.07"/>
    <n v="563.62"/>
    <n v="338.45"/>
    <s v="Online"/>
    <s v="Net Banking"/>
  </r>
  <r>
    <s v="ORD10153"/>
    <x v="37"/>
    <x v="1"/>
    <s v="Tamil Nadu"/>
    <x v="3"/>
    <x v="0"/>
    <x v="0"/>
    <n v="5"/>
    <n v="247.95"/>
    <x v="3"/>
    <n v="1202.55"/>
    <n v="853.31"/>
    <n v="349.24"/>
    <s v="Retail"/>
    <s v="Debit Card"/>
  </r>
  <r>
    <s v="ORD10253"/>
    <x v="38"/>
    <x v="2"/>
    <s v="Rajasthan"/>
    <x v="0"/>
    <x v="0"/>
    <x v="0"/>
    <n v="5"/>
    <n v="249.02"/>
    <x v="5"/>
    <n v="1182.8499999999999"/>
    <n v="798.02"/>
    <n v="384.83"/>
    <s v="Corporate"/>
    <s v="Credit Card"/>
  </r>
  <r>
    <s v="ORD10559"/>
    <x v="39"/>
    <x v="1"/>
    <s v="Karnataka"/>
    <x v="5"/>
    <x v="0"/>
    <x v="0"/>
    <n v="7"/>
    <n v="269.49"/>
    <x v="3"/>
    <n v="1829.87"/>
    <n v="1425.39"/>
    <n v="404.48"/>
    <s v="Corporate"/>
    <s v="Credit Card"/>
  </r>
  <r>
    <s v="ORD10926"/>
    <x v="39"/>
    <x v="3"/>
    <s v="Punjab"/>
    <x v="1"/>
    <x v="0"/>
    <x v="1"/>
    <n v="3"/>
    <n v="701.92"/>
    <x v="5"/>
    <n v="2000.47"/>
    <n v="1595.95"/>
    <n v="404.52"/>
    <s v="Online"/>
    <s v="UPI"/>
  </r>
  <r>
    <s v="ORD10608"/>
    <x v="40"/>
    <x v="1"/>
    <s v="Tamil Nadu"/>
    <x v="0"/>
    <x v="0"/>
    <x v="1"/>
    <n v="3"/>
    <n v="750.08"/>
    <x v="5"/>
    <n v="2137.73"/>
    <n v="1721.39"/>
    <n v="416.34"/>
    <s v="Retail"/>
    <s v="UPI"/>
  </r>
  <r>
    <s v="ORD10286"/>
    <x v="41"/>
    <x v="0"/>
    <s v="West Bengal"/>
    <x v="7"/>
    <x v="0"/>
    <x v="0"/>
    <n v="8"/>
    <n v="246.27"/>
    <x v="0"/>
    <n v="1674.62"/>
    <n v="1248.28"/>
    <n v="426.34"/>
    <s v="Retail"/>
    <s v="UPI"/>
  </r>
  <r>
    <s v="ORD10625"/>
    <x v="42"/>
    <x v="2"/>
    <s v="Rajasthan"/>
    <x v="1"/>
    <x v="0"/>
    <x v="0"/>
    <n v="6"/>
    <n v="242"/>
    <x v="3"/>
    <n v="1408.46"/>
    <n v="969.47"/>
    <n v="438.99"/>
    <s v="Retail"/>
    <s v="Cash"/>
  </r>
  <r>
    <s v="ORD10166"/>
    <x v="43"/>
    <x v="3"/>
    <s v="Uttar Pradesh"/>
    <x v="4"/>
    <x v="0"/>
    <x v="0"/>
    <n v="5"/>
    <n v="248.27"/>
    <x v="3"/>
    <n v="1204.1300000000001"/>
    <n v="761.69"/>
    <n v="442.44"/>
    <s v="Corporate"/>
    <s v="UPI"/>
  </r>
  <r>
    <s v="ORD10576"/>
    <x v="44"/>
    <x v="0"/>
    <s v="Jharkhand"/>
    <x v="7"/>
    <x v="0"/>
    <x v="1"/>
    <n v="2"/>
    <n v="667.06"/>
    <x v="5"/>
    <n v="1267.4100000000001"/>
    <n v="824.15"/>
    <n v="443.26"/>
    <s v="Retail"/>
    <s v="UPI"/>
  </r>
  <r>
    <s v="ORD10416"/>
    <x v="45"/>
    <x v="3"/>
    <s v="Uttar Pradesh"/>
    <x v="4"/>
    <x v="0"/>
    <x v="1"/>
    <n v="3"/>
    <n v="680.32"/>
    <x v="4"/>
    <n v="1877.7"/>
    <n v="1431.97"/>
    <n v="445.73"/>
    <s v="Corporate"/>
    <s v="Net Banking"/>
  </r>
  <r>
    <s v="ORD10411"/>
    <x v="46"/>
    <x v="3"/>
    <s v="Haryana"/>
    <x v="6"/>
    <x v="0"/>
    <x v="0"/>
    <n v="7"/>
    <n v="261.62"/>
    <x v="2"/>
    <n v="1831.35"/>
    <n v="1375.23"/>
    <n v="456.12"/>
    <s v="Retail"/>
    <s v="Net Banking"/>
  </r>
  <r>
    <s v="ORD10383"/>
    <x v="47"/>
    <x v="2"/>
    <s v="Gujarat"/>
    <x v="5"/>
    <x v="0"/>
    <x v="0"/>
    <n v="7"/>
    <n v="241.95"/>
    <x v="2"/>
    <n v="1693.68"/>
    <n v="1228.96"/>
    <n v="464.72"/>
    <s v="Retail"/>
    <s v="Credit Card"/>
  </r>
  <r>
    <s v="ORD10721"/>
    <x v="48"/>
    <x v="2"/>
    <s v="Maharashtra"/>
    <x v="4"/>
    <x v="0"/>
    <x v="0"/>
    <n v="8"/>
    <n v="266.85000000000002"/>
    <x v="1"/>
    <n v="1921.29"/>
    <n v="1454.54"/>
    <n v="466.75"/>
    <s v="Retail"/>
    <s v="Net Banking"/>
  </r>
  <r>
    <s v="ORD10400"/>
    <x v="15"/>
    <x v="0"/>
    <s v="Odisha"/>
    <x v="6"/>
    <x v="0"/>
    <x v="0"/>
    <n v="7"/>
    <n v="245.81"/>
    <x v="4"/>
    <n v="1582.99"/>
    <n v="1112.83"/>
    <n v="470.16"/>
    <s v="Online"/>
    <s v="Debit Card"/>
  </r>
  <r>
    <s v="ORD10687"/>
    <x v="49"/>
    <x v="0"/>
    <s v="West Bengal"/>
    <x v="5"/>
    <x v="0"/>
    <x v="1"/>
    <n v="2"/>
    <n v="755.39"/>
    <x v="4"/>
    <n v="1389.92"/>
    <n v="886.46"/>
    <n v="503.46"/>
    <s v="Online"/>
    <s v="Cash"/>
  </r>
  <r>
    <s v="ORD10233"/>
    <x v="50"/>
    <x v="0"/>
    <s v="Jharkhand"/>
    <x v="1"/>
    <x v="0"/>
    <x v="0"/>
    <n v="7"/>
    <n v="250.49"/>
    <x v="2"/>
    <n v="1753.46"/>
    <n v="1248.96"/>
    <n v="504.5"/>
    <s v="Corporate"/>
    <s v="Credit Card"/>
  </r>
  <r>
    <s v="ORD10041"/>
    <x v="51"/>
    <x v="1"/>
    <s v="Karnataka"/>
    <x v="1"/>
    <x v="0"/>
    <x v="1"/>
    <n v="4"/>
    <n v="692.05"/>
    <x v="4"/>
    <n v="2546.73"/>
    <n v="2040.16"/>
    <n v="506.57"/>
    <s v="Retail"/>
    <s v="UPI"/>
  </r>
  <r>
    <s v="ORD10316"/>
    <x v="52"/>
    <x v="3"/>
    <s v="Haryana"/>
    <x v="6"/>
    <x v="0"/>
    <x v="1"/>
    <n v="3"/>
    <n v="730.5"/>
    <x v="4"/>
    <n v="2016.17"/>
    <n v="1430.78"/>
    <n v="585.39"/>
    <s v="Corporate"/>
    <s v="Cash"/>
  </r>
  <r>
    <s v="ORD11150"/>
    <x v="18"/>
    <x v="1"/>
    <s v="Tamil Nadu"/>
    <x v="5"/>
    <x v="0"/>
    <x v="1"/>
    <n v="5"/>
    <n v="697.21"/>
    <x v="3"/>
    <n v="3381.47"/>
    <n v="2788.88"/>
    <n v="592.59"/>
    <s v="Retail"/>
    <s v="UPI"/>
  </r>
  <r>
    <s v="ORD10413"/>
    <x v="53"/>
    <x v="3"/>
    <s v="Haryana"/>
    <x v="7"/>
    <x v="0"/>
    <x v="1"/>
    <n v="5"/>
    <n v="715.45"/>
    <x v="0"/>
    <n v="3040.64"/>
    <n v="2445.65"/>
    <n v="594.99"/>
    <s v="Retail"/>
    <s v="Credit Card"/>
  </r>
  <r>
    <s v="ORD10925"/>
    <x v="54"/>
    <x v="2"/>
    <s v="Maharashtra"/>
    <x v="7"/>
    <x v="0"/>
    <x v="0"/>
    <n v="8"/>
    <n v="250.18"/>
    <x v="5"/>
    <n v="1901.33"/>
    <n v="1294.46"/>
    <n v="606.87"/>
    <s v="Online"/>
    <s v="Debit Card"/>
  </r>
  <r>
    <s v="ORD10575"/>
    <x v="55"/>
    <x v="2"/>
    <s v="Goa"/>
    <x v="2"/>
    <x v="1"/>
    <x v="2"/>
    <n v="1"/>
    <n v="4529.78"/>
    <x v="3"/>
    <n v="4393.8900000000003"/>
    <n v="3773.24"/>
    <n v="620.65"/>
    <s v="Corporate"/>
    <s v="UPI"/>
  </r>
  <r>
    <s v="ORD10176"/>
    <x v="56"/>
    <x v="1"/>
    <s v="Andhra Pradesh"/>
    <x v="3"/>
    <x v="0"/>
    <x v="1"/>
    <n v="3"/>
    <n v="713.39"/>
    <x v="4"/>
    <n v="1968.97"/>
    <n v="1292.5999999999999"/>
    <n v="676.37"/>
    <s v="Online"/>
    <s v="Credit Card"/>
  </r>
  <r>
    <s v="ORD11041"/>
    <x v="57"/>
    <x v="2"/>
    <s v="Goa"/>
    <x v="6"/>
    <x v="0"/>
    <x v="1"/>
    <n v="5"/>
    <n v="700.59"/>
    <x v="1"/>
    <n v="3152.63"/>
    <n v="2469.84"/>
    <n v="682.79"/>
    <s v="Corporate"/>
    <s v="Cash"/>
  </r>
  <r>
    <s v="ORD10613"/>
    <x v="58"/>
    <x v="0"/>
    <s v="Odisha"/>
    <x v="0"/>
    <x v="2"/>
    <x v="3"/>
    <n v="1"/>
    <n v="5242.95"/>
    <x v="1"/>
    <n v="4718.66"/>
    <n v="4034.21"/>
    <n v="684.45"/>
    <s v="Corporate"/>
    <s v="UPI"/>
  </r>
  <r>
    <s v="ORD10346"/>
    <x v="59"/>
    <x v="2"/>
    <s v="Gujarat"/>
    <x v="3"/>
    <x v="0"/>
    <x v="0"/>
    <n v="8"/>
    <n v="260.43"/>
    <x v="3"/>
    <n v="2020.97"/>
    <n v="1295.8699999999999"/>
    <n v="725.1"/>
    <s v="Online"/>
    <s v="UPI"/>
  </r>
  <r>
    <s v="ORD10260"/>
    <x v="60"/>
    <x v="0"/>
    <s v="West Bengal"/>
    <x v="0"/>
    <x v="0"/>
    <x v="1"/>
    <n v="5"/>
    <n v="728.38"/>
    <x v="4"/>
    <n v="3350.57"/>
    <n v="2606.91"/>
    <n v="743.66"/>
    <s v="Online"/>
    <s v="Debit Card"/>
  </r>
  <r>
    <s v="ORD10151"/>
    <x v="37"/>
    <x v="2"/>
    <s v="Maharashtra"/>
    <x v="7"/>
    <x v="0"/>
    <x v="1"/>
    <n v="5"/>
    <n v="676.33"/>
    <x v="2"/>
    <n v="3381.66"/>
    <n v="2624.58"/>
    <n v="757.08"/>
    <s v="Retail"/>
    <s v="Debit Card"/>
  </r>
  <r>
    <s v="ORD10690"/>
    <x v="60"/>
    <x v="1"/>
    <s v="Telangana"/>
    <x v="5"/>
    <x v="0"/>
    <x v="0"/>
    <n v="8"/>
    <n v="262.27"/>
    <x v="3"/>
    <n v="2035.22"/>
    <n v="1269.17"/>
    <n v="766.05"/>
    <s v="Online"/>
    <s v="Credit Card"/>
  </r>
  <r>
    <s v="ORD10866"/>
    <x v="61"/>
    <x v="0"/>
    <s v="Jharkhand"/>
    <x v="0"/>
    <x v="1"/>
    <x v="2"/>
    <n v="1"/>
    <n v="4306.74"/>
    <x v="3"/>
    <n v="4177.54"/>
    <n v="3402.49"/>
    <n v="775.05"/>
    <s v="Online"/>
    <s v="Debit Card"/>
  </r>
  <r>
    <s v="ORD11170"/>
    <x v="62"/>
    <x v="1"/>
    <s v="Telangana"/>
    <x v="3"/>
    <x v="0"/>
    <x v="1"/>
    <n v="4"/>
    <n v="656.9"/>
    <x v="5"/>
    <n v="2496.21"/>
    <n v="1705.24"/>
    <n v="790.97"/>
    <s v="Corporate"/>
    <s v="Net Banking"/>
  </r>
  <r>
    <s v="ORD10302"/>
    <x v="63"/>
    <x v="0"/>
    <s v="Jharkhand"/>
    <x v="3"/>
    <x v="0"/>
    <x v="1"/>
    <n v="5"/>
    <n v="655.48"/>
    <x v="5"/>
    <n v="3113.54"/>
    <n v="2310.66"/>
    <n v="802.88"/>
    <s v="Online"/>
    <s v="Credit Card"/>
  </r>
  <r>
    <s v="ORD10448"/>
    <x v="64"/>
    <x v="2"/>
    <s v="Maharashtra"/>
    <x v="5"/>
    <x v="1"/>
    <x v="2"/>
    <n v="1"/>
    <n v="4800.63"/>
    <x v="4"/>
    <n v="4416.58"/>
    <n v="3609.94"/>
    <n v="806.64"/>
    <s v="Corporate"/>
    <s v="Cash"/>
  </r>
  <r>
    <s v="ORD10914"/>
    <x v="65"/>
    <x v="3"/>
    <s v="Punjab"/>
    <x v="8"/>
    <x v="0"/>
    <x v="1"/>
    <n v="4"/>
    <n v="646.98"/>
    <x v="5"/>
    <n v="2458.52"/>
    <n v="1650.7"/>
    <n v="807.82"/>
    <s v="Online"/>
    <s v="Debit Card"/>
  </r>
  <r>
    <s v="ORD11161"/>
    <x v="66"/>
    <x v="3"/>
    <s v="Uttar Pradesh"/>
    <x v="4"/>
    <x v="0"/>
    <x v="1"/>
    <n v="6"/>
    <n v="732.24"/>
    <x v="3"/>
    <n v="4261.6400000000003"/>
    <n v="3423.25"/>
    <n v="838.39"/>
    <s v="Retail"/>
    <s v="Cash"/>
  </r>
  <r>
    <s v="ORD11186"/>
    <x v="67"/>
    <x v="3"/>
    <s v="Uttar Pradesh"/>
    <x v="6"/>
    <x v="0"/>
    <x v="1"/>
    <n v="5"/>
    <n v="712.74"/>
    <x v="4"/>
    <n v="3278.58"/>
    <n v="2411.75"/>
    <n v="866.83"/>
    <s v="Retail"/>
    <s v="Debit Card"/>
  </r>
  <r>
    <s v="ORD10124"/>
    <x v="68"/>
    <x v="3"/>
    <s v="Delhi"/>
    <x v="5"/>
    <x v="2"/>
    <x v="3"/>
    <n v="1"/>
    <n v="4730.8999999999996"/>
    <x v="1"/>
    <n v="4257.8100000000004"/>
    <n v="3348.7"/>
    <n v="909.11"/>
    <s v="Retail"/>
    <s v="Net Banking"/>
  </r>
  <r>
    <s v="ORD10269"/>
    <x v="69"/>
    <x v="0"/>
    <s v="West Bengal"/>
    <x v="4"/>
    <x v="1"/>
    <x v="2"/>
    <n v="1"/>
    <n v="4809.72"/>
    <x v="1"/>
    <n v="4328.75"/>
    <n v="3385.96"/>
    <n v="942.79"/>
    <s v="Retail"/>
    <s v="Cash"/>
  </r>
  <r>
    <s v="ORD10764"/>
    <x v="70"/>
    <x v="2"/>
    <s v="Goa"/>
    <x v="0"/>
    <x v="1"/>
    <x v="2"/>
    <n v="1"/>
    <n v="4293.25"/>
    <x v="4"/>
    <n v="3949.79"/>
    <n v="2963.49"/>
    <n v="986.3"/>
    <s v="Retail"/>
    <s v="Credit Card"/>
  </r>
  <r>
    <s v="ORD10034"/>
    <x v="71"/>
    <x v="3"/>
    <s v="Uttar Pradesh"/>
    <x v="0"/>
    <x v="0"/>
    <x v="1"/>
    <n v="6"/>
    <n v="725.76"/>
    <x v="2"/>
    <n v="4354.59"/>
    <n v="3291.41"/>
    <n v="1063.18"/>
    <s v="Retail"/>
    <s v="Net Banking"/>
  </r>
  <r>
    <s v="ORD10250"/>
    <x v="72"/>
    <x v="3"/>
    <s v="Uttar Pradesh"/>
    <x v="7"/>
    <x v="0"/>
    <x v="1"/>
    <n v="5"/>
    <n v="697.52"/>
    <x v="5"/>
    <n v="3313.23"/>
    <n v="2188.06"/>
    <n v="1125.17"/>
    <s v="Online"/>
    <s v="Debit Card"/>
  </r>
  <r>
    <s v="ORD10915"/>
    <x v="73"/>
    <x v="1"/>
    <s v="Karnataka"/>
    <x v="0"/>
    <x v="2"/>
    <x v="3"/>
    <n v="1"/>
    <n v="5073.53"/>
    <x v="4"/>
    <n v="4667.6499999999996"/>
    <n v="3533.98"/>
    <n v="1133.67"/>
    <s v="Corporate"/>
    <s v="Net Banking"/>
  </r>
  <r>
    <s v="ORD10621"/>
    <x v="11"/>
    <x v="0"/>
    <s v="Odisha"/>
    <x v="1"/>
    <x v="0"/>
    <x v="1"/>
    <n v="6"/>
    <n v="690.92"/>
    <x v="4"/>
    <n v="3813.88"/>
    <n v="2674.66"/>
    <n v="1139.22"/>
    <s v="Online"/>
    <s v="Cash"/>
  </r>
  <r>
    <s v="ORD10641"/>
    <x v="74"/>
    <x v="3"/>
    <s v="Uttar Pradesh"/>
    <x v="1"/>
    <x v="2"/>
    <x v="3"/>
    <n v="1"/>
    <n v="4945.6899999999996"/>
    <x v="0"/>
    <n v="4203.84"/>
    <n v="3062.63"/>
    <n v="1141.21"/>
    <s v="Retail"/>
    <s v="Cash"/>
  </r>
  <r>
    <s v="ORD10480"/>
    <x v="32"/>
    <x v="3"/>
    <s v="Haryana"/>
    <x v="0"/>
    <x v="1"/>
    <x v="2"/>
    <n v="1"/>
    <n v="4239.63"/>
    <x v="0"/>
    <n v="3603.68"/>
    <n v="2450.48"/>
    <n v="1153.2"/>
    <s v="Corporate"/>
    <s v="UPI"/>
  </r>
  <r>
    <s v="ORD10902"/>
    <x v="75"/>
    <x v="3"/>
    <s v="Haryana"/>
    <x v="0"/>
    <x v="2"/>
    <x v="3"/>
    <n v="1"/>
    <n v="4881.84"/>
    <x v="3"/>
    <n v="4735.3900000000003"/>
    <n v="3572.18"/>
    <n v="1163.21"/>
    <s v="Online"/>
    <s v="Net Banking"/>
  </r>
  <r>
    <s v="ORD10681"/>
    <x v="21"/>
    <x v="3"/>
    <s v="Haryana"/>
    <x v="6"/>
    <x v="1"/>
    <x v="2"/>
    <n v="1"/>
    <n v="4151.6099999999997"/>
    <x v="5"/>
    <n v="3944.03"/>
    <n v="2778.22"/>
    <n v="1165.81"/>
    <s v="Online"/>
    <s v="Net Banking"/>
  </r>
  <r>
    <s v="ORD10001"/>
    <x v="76"/>
    <x v="1"/>
    <s v="Telangana"/>
    <x v="3"/>
    <x v="0"/>
    <x v="1"/>
    <n v="5"/>
    <n v="661.47"/>
    <x v="3"/>
    <n v="3208.15"/>
    <n v="2033.77"/>
    <n v="1174.3800000000001"/>
    <s v="Retail"/>
    <s v="Debit Card"/>
  </r>
  <r>
    <s v="ORD10860"/>
    <x v="77"/>
    <x v="2"/>
    <s v="Goa"/>
    <x v="6"/>
    <x v="0"/>
    <x v="1"/>
    <n v="8"/>
    <n v="741.61"/>
    <x v="2"/>
    <n v="5932.87"/>
    <n v="4693.26"/>
    <n v="1239.6099999999999"/>
    <s v="Retail"/>
    <s v="Net Banking"/>
  </r>
  <r>
    <s v="ORD10671"/>
    <x v="78"/>
    <x v="1"/>
    <s v="Karnataka"/>
    <x v="2"/>
    <x v="1"/>
    <x v="2"/>
    <n v="1"/>
    <n v="4346.63"/>
    <x v="3"/>
    <n v="4216.2299999999996"/>
    <n v="2974.55"/>
    <n v="1241.68"/>
    <s v="Retail"/>
    <s v="Debit Card"/>
  </r>
  <r>
    <s v="ORD10088"/>
    <x v="69"/>
    <x v="1"/>
    <s v="Karnataka"/>
    <x v="0"/>
    <x v="0"/>
    <x v="1"/>
    <n v="6"/>
    <n v="737.7"/>
    <x v="4"/>
    <n v="4072.08"/>
    <n v="2812.06"/>
    <n v="1260.02"/>
    <s v="Corporate"/>
    <s v="Net Banking"/>
  </r>
  <r>
    <s v="ORD10518"/>
    <x v="79"/>
    <x v="3"/>
    <s v="Uttar Pradesh"/>
    <x v="0"/>
    <x v="2"/>
    <x v="3"/>
    <n v="1"/>
    <n v="4789.29"/>
    <x v="5"/>
    <n v="4549.82"/>
    <n v="3289.5"/>
    <n v="1260.32"/>
    <s v="Retail"/>
    <s v="Net Banking"/>
  </r>
  <r>
    <s v="ORD11007"/>
    <x v="80"/>
    <x v="0"/>
    <s v="Odisha"/>
    <x v="2"/>
    <x v="0"/>
    <x v="1"/>
    <n v="6"/>
    <n v="681.53"/>
    <x v="2"/>
    <n v="4089.18"/>
    <n v="2818.06"/>
    <n v="1271.1199999999999"/>
    <s v="Retail"/>
    <s v="Credit Card"/>
  </r>
  <r>
    <s v="ORD10468"/>
    <x v="81"/>
    <x v="3"/>
    <s v="Uttar Pradesh"/>
    <x v="7"/>
    <x v="0"/>
    <x v="1"/>
    <n v="6"/>
    <n v="685.88"/>
    <x v="1"/>
    <n v="3703.76"/>
    <n v="2430.89"/>
    <n v="1272.8699999999999"/>
    <s v="Online"/>
    <s v="Net Banking"/>
  </r>
  <r>
    <s v="ORD10894"/>
    <x v="82"/>
    <x v="3"/>
    <s v="Punjab"/>
    <x v="7"/>
    <x v="0"/>
    <x v="1"/>
    <n v="6"/>
    <n v="702.59"/>
    <x v="1"/>
    <n v="3794.01"/>
    <n v="2501.98"/>
    <n v="1292.03"/>
    <s v="Retail"/>
    <s v="Cash"/>
  </r>
  <r>
    <s v="ORD10702"/>
    <x v="83"/>
    <x v="1"/>
    <s v="Andhra Pradesh"/>
    <x v="6"/>
    <x v="2"/>
    <x v="3"/>
    <n v="1"/>
    <n v="5320.61"/>
    <x v="1"/>
    <n v="4788.55"/>
    <n v="3409.72"/>
    <n v="1378.83"/>
    <s v="Retail"/>
    <s v="Credit Card"/>
  </r>
  <r>
    <s v="ORD10201"/>
    <x v="84"/>
    <x v="0"/>
    <s v="Bihar"/>
    <x v="1"/>
    <x v="3"/>
    <x v="4"/>
    <n v="1"/>
    <n v="8392.9"/>
    <x v="4"/>
    <n v="7721.47"/>
    <n v="6243.24"/>
    <n v="1478.23"/>
    <s v="Online"/>
    <s v="Net Banking"/>
  </r>
  <r>
    <s v="ORD10889"/>
    <x v="85"/>
    <x v="2"/>
    <s v="Gujarat"/>
    <x v="2"/>
    <x v="1"/>
    <x v="2"/>
    <n v="2"/>
    <n v="4504.38"/>
    <x v="4"/>
    <n v="8288.06"/>
    <n v="6795.41"/>
    <n v="1492.65"/>
    <s v="Online"/>
    <s v="UPI"/>
  </r>
  <r>
    <s v="ORD10213"/>
    <x v="86"/>
    <x v="1"/>
    <s v="Andhra Pradesh"/>
    <x v="2"/>
    <x v="0"/>
    <x v="1"/>
    <n v="7"/>
    <n v="742.51"/>
    <x v="1"/>
    <n v="4677.83"/>
    <n v="3168.35"/>
    <n v="1509.48"/>
    <s v="Online"/>
    <s v="Credit Card"/>
  </r>
  <r>
    <s v="ORD10491"/>
    <x v="87"/>
    <x v="0"/>
    <s v="West Bengal"/>
    <x v="5"/>
    <x v="3"/>
    <x v="4"/>
    <n v="1"/>
    <n v="9119.41"/>
    <x v="3"/>
    <n v="8845.83"/>
    <n v="7309.44"/>
    <n v="1536.39"/>
    <s v="Corporate"/>
    <s v="Credit Card"/>
  </r>
  <r>
    <s v="ORD11004"/>
    <x v="88"/>
    <x v="3"/>
    <s v="Punjab"/>
    <x v="2"/>
    <x v="1"/>
    <x v="2"/>
    <n v="1"/>
    <n v="4708.26"/>
    <x v="5"/>
    <n v="4472.84"/>
    <n v="2900.2"/>
    <n v="1572.64"/>
    <s v="Online"/>
    <s v="Credit Card"/>
  </r>
  <r>
    <s v="ORD10637"/>
    <x v="89"/>
    <x v="1"/>
    <s v="Karnataka"/>
    <x v="1"/>
    <x v="0"/>
    <x v="5"/>
    <n v="1"/>
    <n v="8520.17"/>
    <x v="1"/>
    <n v="7668.16"/>
    <n v="6079.52"/>
    <n v="1588.64"/>
    <s v="Corporate"/>
    <s v="Debit Card"/>
  </r>
  <r>
    <s v="ORD10298"/>
    <x v="90"/>
    <x v="0"/>
    <s v="West Bengal"/>
    <x v="0"/>
    <x v="2"/>
    <x v="3"/>
    <n v="1"/>
    <n v="5378.46"/>
    <x v="3"/>
    <n v="5217.1099999999997"/>
    <n v="3615.5"/>
    <n v="1601.61"/>
    <s v="Corporate"/>
    <s v="Debit Card"/>
  </r>
  <r>
    <s v="ORD10995"/>
    <x v="85"/>
    <x v="2"/>
    <s v="Rajasthan"/>
    <x v="4"/>
    <x v="1"/>
    <x v="2"/>
    <n v="1"/>
    <n v="4811.6000000000004"/>
    <x v="5"/>
    <n v="4571.0200000000004"/>
    <n v="2950.85"/>
    <n v="1620.17"/>
    <s v="Online"/>
    <s v="Debit Card"/>
  </r>
  <r>
    <s v="ORD10130"/>
    <x v="15"/>
    <x v="1"/>
    <s v="Tamil Nadu"/>
    <x v="2"/>
    <x v="1"/>
    <x v="2"/>
    <n v="1"/>
    <n v="4759.29"/>
    <x v="4"/>
    <n v="4378.55"/>
    <n v="2756.33"/>
    <n v="1622.22"/>
    <s v="Online"/>
    <s v="UPI"/>
  </r>
  <r>
    <s v="ORD10068"/>
    <x v="91"/>
    <x v="0"/>
    <s v="Bihar"/>
    <x v="7"/>
    <x v="2"/>
    <x v="3"/>
    <n v="1"/>
    <n v="4789.78"/>
    <x v="2"/>
    <n v="4789.78"/>
    <n v="3145.38"/>
    <n v="1644.4"/>
    <s v="Retail"/>
    <s v="Debit Card"/>
  </r>
  <r>
    <s v="ORD10403"/>
    <x v="13"/>
    <x v="3"/>
    <s v="Uttar Pradesh"/>
    <x v="3"/>
    <x v="0"/>
    <x v="5"/>
    <n v="1"/>
    <n v="9274.18"/>
    <x v="5"/>
    <n v="8810.48"/>
    <n v="7164.61"/>
    <n v="1645.87"/>
    <s v="Corporate"/>
    <s v="Net Banking"/>
  </r>
  <r>
    <s v="ORD10236"/>
    <x v="92"/>
    <x v="2"/>
    <s v="Maharashtra"/>
    <x v="4"/>
    <x v="2"/>
    <x v="3"/>
    <n v="1"/>
    <n v="4774.8100000000004"/>
    <x v="5"/>
    <n v="4536.07"/>
    <n v="2860.69"/>
    <n v="1675.38"/>
    <s v="Retail"/>
    <s v="Cash"/>
  </r>
  <r>
    <s v="ORD10865"/>
    <x v="93"/>
    <x v="0"/>
    <s v="Odisha"/>
    <x v="2"/>
    <x v="0"/>
    <x v="1"/>
    <n v="7"/>
    <n v="751.1"/>
    <x v="2"/>
    <n v="5257.68"/>
    <n v="3572.61"/>
    <n v="1685.07"/>
    <s v="Retail"/>
    <s v="Net Banking"/>
  </r>
  <r>
    <s v="ORD10427"/>
    <x v="94"/>
    <x v="1"/>
    <s v="Telangana"/>
    <x v="4"/>
    <x v="0"/>
    <x v="1"/>
    <n v="8"/>
    <n v="658.92"/>
    <x v="4"/>
    <n v="4849.6499999999996"/>
    <n v="3156.14"/>
    <n v="1693.51"/>
    <s v="Corporate"/>
    <s v="Cash"/>
  </r>
  <r>
    <s v="ORD10185"/>
    <x v="95"/>
    <x v="0"/>
    <s v="West Bengal"/>
    <x v="3"/>
    <x v="0"/>
    <x v="1"/>
    <n v="8"/>
    <n v="653.5"/>
    <x v="4"/>
    <n v="4809.74"/>
    <n v="3065.25"/>
    <n v="1744.49"/>
    <s v="Retail"/>
    <s v="Net Banking"/>
  </r>
  <r>
    <s v="ORD10800"/>
    <x v="96"/>
    <x v="0"/>
    <s v="Unknown"/>
    <x v="4"/>
    <x v="0"/>
    <x v="1"/>
    <n v="8"/>
    <n v="669.59"/>
    <x v="1"/>
    <n v="4821.04"/>
    <n v="3027.6"/>
    <n v="1793.44"/>
    <s v="Retail"/>
    <s v="Credit Card"/>
  </r>
  <r>
    <s v="ORD10310"/>
    <x v="54"/>
    <x v="1"/>
    <s v="Karnataka"/>
    <x v="7"/>
    <x v="1"/>
    <x v="2"/>
    <n v="3"/>
    <n v="4180.74"/>
    <x v="5"/>
    <n v="11915.11"/>
    <n v="10088.14"/>
    <n v="1826.97"/>
    <s v="Online"/>
    <s v="Debit Card"/>
  </r>
  <r>
    <s v="ORD10591"/>
    <x v="97"/>
    <x v="2"/>
    <s v="Maharashtra"/>
    <x v="2"/>
    <x v="3"/>
    <x v="4"/>
    <n v="1"/>
    <n v="7904"/>
    <x v="4"/>
    <n v="7271.68"/>
    <n v="5418.97"/>
    <n v="1852.71"/>
    <s v="Retail"/>
    <s v="Debit Card"/>
  </r>
  <r>
    <s v="ORD10880"/>
    <x v="98"/>
    <x v="2"/>
    <s v="Gujarat"/>
    <x v="5"/>
    <x v="3"/>
    <x v="4"/>
    <n v="1"/>
    <n v="8992.7800000000007"/>
    <x v="3"/>
    <n v="8722.99"/>
    <n v="6845.99"/>
    <n v="1877"/>
    <s v="Retail"/>
    <s v="Cash"/>
  </r>
  <r>
    <s v="ORD11164"/>
    <x v="99"/>
    <x v="1"/>
    <s v="Karnataka"/>
    <x v="5"/>
    <x v="2"/>
    <x v="3"/>
    <n v="2"/>
    <n v="4805.45"/>
    <x v="5"/>
    <n v="9130.36"/>
    <n v="7183.3"/>
    <n v="1947.06"/>
    <s v="Retail"/>
    <s v="UPI"/>
  </r>
  <r>
    <s v="ORD10495"/>
    <x v="88"/>
    <x v="0"/>
    <s v="Jharkhand"/>
    <x v="0"/>
    <x v="3"/>
    <x v="6"/>
    <n v="1"/>
    <n v="11362.48"/>
    <x v="5"/>
    <n v="10794.36"/>
    <n v="8840.5400000000009"/>
    <n v="1953.82"/>
    <s v="Online"/>
    <s v="Cash"/>
  </r>
  <r>
    <s v="ORD10208"/>
    <x v="100"/>
    <x v="0"/>
    <s v="Bihar"/>
    <x v="5"/>
    <x v="1"/>
    <x v="2"/>
    <n v="2"/>
    <n v="4736.07"/>
    <x v="1"/>
    <n v="8524.92"/>
    <n v="6563.01"/>
    <n v="1961.91"/>
    <s v="Online"/>
    <s v="Credit Card"/>
  </r>
  <r>
    <s v="ORD10979"/>
    <x v="101"/>
    <x v="2"/>
    <s v="Goa"/>
    <x v="6"/>
    <x v="2"/>
    <x v="3"/>
    <n v="2"/>
    <n v="4956.76"/>
    <x v="3"/>
    <n v="9616.11"/>
    <n v="7639.49"/>
    <n v="1976.62"/>
    <s v="Retail"/>
    <s v="Credit Card"/>
  </r>
  <r>
    <s v="ORD10722"/>
    <x v="102"/>
    <x v="1"/>
    <s v="Andhra Pradesh"/>
    <x v="4"/>
    <x v="0"/>
    <x v="1"/>
    <n v="8"/>
    <n v="702.71"/>
    <x v="3"/>
    <n v="5452.99"/>
    <n v="3430.55"/>
    <n v="2022.44"/>
    <s v="Online"/>
    <s v="Net Banking"/>
  </r>
  <r>
    <s v="ORD10417"/>
    <x v="51"/>
    <x v="3"/>
    <s v="Uttar Pradesh"/>
    <x v="2"/>
    <x v="1"/>
    <x v="2"/>
    <n v="2"/>
    <n v="4638.5"/>
    <x v="3"/>
    <n v="8998.68"/>
    <n v="6929.7"/>
    <n v="2068.98"/>
    <s v="Corporate"/>
    <s v="Cash"/>
  </r>
  <r>
    <s v="ORD10563"/>
    <x v="103"/>
    <x v="3"/>
    <s v="Uttar Pradesh"/>
    <x v="1"/>
    <x v="3"/>
    <x v="4"/>
    <n v="1"/>
    <n v="8699.11"/>
    <x v="5"/>
    <n v="8264.16"/>
    <n v="6172.42"/>
    <n v="2091.7399999999998"/>
    <s v="Corporate"/>
    <s v="Cash"/>
  </r>
  <r>
    <s v="ORD10645"/>
    <x v="104"/>
    <x v="0"/>
    <s v="West Bengal"/>
    <x v="6"/>
    <x v="0"/>
    <x v="5"/>
    <n v="1"/>
    <n v="8621.98"/>
    <x v="0"/>
    <n v="7328.68"/>
    <n v="5223.3599999999997"/>
    <n v="2105.3200000000002"/>
    <s v="Corporate"/>
    <s v="Credit Card"/>
  </r>
  <r>
    <s v="ORD11137"/>
    <x v="104"/>
    <x v="0"/>
    <s v="Bihar"/>
    <x v="4"/>
    <x v="1"/>
    <x v="2"/>
    <n v="3"/>
    <n v="4684.96"/>
    <x v="2"/>
    <n v="14054.87"/>
    <n v="11949.33"/>
    <n v="2105.54"/>
    <s v="Retail"/>
    <s v="Net Banking"/>
  </r>
  <r>
    <s v="ORD10841"/>
    <x v="105"/>
    <x v="0"/>
    <s v="Odisha"/>
    <x v="0"/>
    <x v="2"/>
    <x v="3"/>
    <n v="3"/>
    <n v="4772.91"/>
    <x v="4"/>
    <n v="13173.23"/>
    <n v="11054.57"/>
    <n v="2118.66"/>
    <s v="Online"/>
    <s v="Net Banking"/>
  </r>
  <r>
    <s v="ORD11077"/>
    <x v="64"/>
    <x v="3"/>
    <s v="Haryana"/>
    <x v="4"/>
    <x v="3"/>
    <x v="4"/>
    <n v="1"/>
    <n v="8778.9500000000007"/>
    <x v="1"/>
    <n v="7901.06"/>
    <n v="5721.77"/>
    <n v="2179.29"/>
    <s v="Corporate"/>
    <s v="Credit Card"/>
  </r>
  <r>
    <s v="ORD10207"/>
    <x v="106"/>
    <x v="2"/>
    <s v="Rajasthan"/>
    <x v="5"/>
    <x v="2"/>
    <x v="7"/>
    <n v="1"/>
    <n v="11704.17"/>
    <x v="3"/>
    <n v="11353.04"/>
    <n v="9141.99"/>
    <n v="2211.0500000000002"/>
    <s v="Online"/>
    <s v="Credit Card"/>
  </r>
  <r>
    <s v="ORD10780"/>
    <x v="39"/>
    <x v="1"/>
    <s v="Karnataka"/>
    <x v="7"/>
    <x v="1"/>
    <x v="2"/>
    <n v="3"/>
    <n v="4192.74"/>
    <x v="1"/>
    <n v="11320.39"/>
    <n v="9062.86"/>
    <n v="2257.5300000000002"/>
    <s v="Online"/>
    <s v="Cash"/>
  </r>
  <r>
    <s v="ORD11154"/>
    <x v="91"/>
    <x v="2"/>
    <s v="Gujarat"/>
    <x v="6"/>
    <x v="2"/>
    <x v="7"/>
    <n v="1"/>
    <n v="12646.89"/>
    <x v="2"/>
    <n v="12646.89"/>
    <n v="10372.450000000001"/>
    <n v="2274.44"/>
    <s v="Online"/>
    <s v="Cash"/>
  </r>
  <r>
    <s v="ORD10933"/>
    <x v="107"/>
    <x v="0"/>
    <s v="Jharkhand"/>
    <x v="4"/>
    <x v="1"/>
    <x v="2"/>
    <n v="2"/>
    <n v="4508.26"/>
    <x v="4"/>
    <n v="8295.19"/>
    <n v="5961.35"/>
    <n v="2333.84"/>
    <s v="Corporate"/>
    <s v="Cash"/>
  </r>
  <r>
    <s v="ORD10803"/>
    <x v="108"/>
    <x v="2"/>
    <s v="Rajasthan"/>
    <x v="3"/>
    <x v="3"/>
    <x v="6"/>
    <n v="1"/>
    <n v="11062.52"/>
    <x v="5"/>
    <n v="10509.39"/>
    <n v="8164.82"/>
    <n v="2344.5700000000002"/>
    <s v="Retail"/>
    <s v="Credit Card"/>
  </r>
  <r>
    <s v="ORD10974"/>
    <x v="109"/>
    <x v="0"/>
    <s v="West Bengal"/>
    <x v="3"/>
    <x v="1"/>
    <x v="2"/>
    <n v="3"/>
    <n v="4291.4799999999996"/>
    <x v="3"/>
    <n v="12488.2"/>
    <n v="10100.09"/>
    <n v="2388.11"/>
    <s v="Retail"/>
    <s v="Cash"/>
  </r>
  <r>
    <s v="ORD10983"/>
    <x v="50"/>
    <x v="3"/>
    <s v="Delhi"/>
    <x v="7"/>
    <x v="1"/>
    <x v="2"/>
    <n v="2"/>
    <n v="4216.12"/>
    <x v="4"/>
    <n v="7757.66"/>
    <n v="5342.57"/>
    <n v="2415.09"/>
    <s v="Online"/>
    <s v="Cash"/>
  </r>
  <r>
    <s v="ORD10323"/>
    <x v="97"/>
    <x v="0"/>
    <s v="Jharkhand"/>
    <x v="6"/>
    <x v="2"/>
    <x v="3"/>
    <n v="2"/>
    <n v="4798.71"/>
    <x v="4"/>
    <n v="8829.6200000000008"/>
    <n v="6380.5"/>
    <n v="2449.12"/>
    <s v="Corporate"/>
    <s v="Cash"/>
  </r>
  <r>
    <s v="ORD10009"/>
    <x v="110"/>
    <x v="3"/>
    <s v="Haryana"/>
    <x v="1"/>
    <x v="0"/>
    <x v="5"/>
    <n v="1"/>
    <n v="8371.52"/>
    <x v="3"/>
    <n v="8120.38"/>
    <n v="5668.38"/>
    <n v="2452"/>
    <s v="Corporate"/>
    <s v="Debit Card"/>
  </r>
  <r>
    <s v="ORD10821"/>
    <x v="111"/>
    <x v="1"/>
    <s v="Andhra Pradesh"/>
    <x v="6"/>
    <x v="2"/>
    <x v="7"/>
    <n v="1"/>
    <n v="12395.29"/>
    <x v="1"/>
    <n v="11155.76"/>
    <n v="8663.52"/>
    <n v="2492.2399999999998"/>
    <s v="Retail"/>
    <s v="Net Banking"/>
  </r>
  <r>
    <s v="ORD10024"/>
    <x v="112"/>
    <x v="1"/>
    <s v="Tamil Nadu"/>
    <x v="2"/>
    <x v="1"/>
    <x v="2"/>
    <n v="3"/>
    <n v="4782.2700000000004"/>
    <x v="4"/>
    <n v="13199.07"/>
    <n v="10701.21"/>
    <n v="2497.86"/>
    <s v="Corporate"/>
    <s v="UPI"/>
  </r>
  <r>
    <s v="ORD10644"/>
    <x v="113"/>
    <x v="3"/>
    <s v="Delhi"/>
    <x v="0"/>
    <x v="1"/>
    <x v="2"/>
    <n v="2"/>
    <n v="4633.2"/>
    <x v="4"/>
    <n v="8525.1"/>
    <n v="6022.12"/>
    <n v="2502.98"/>
    <s v="Retail"/>
    <s v="Credit Card"/>
  </r>
  <r>
    <s v="ORD10330"/>
    <x v="114"/>
    <x v="3"/>
    <s v="Haryana"/>
    <x v="0"/>
    <x v="1"/>
    <x v="2"/>
    <n v="2"/>
    <n v="4522.96"/>
    <x v="1"/>
    <n v="8141.33"/>
    <n v="5627.52"/>
    <n v="2513.81"/>
    <s v="Retail"/>
    <s v="UPI"/>
  </r>
  <r>
    <s v="ORD10143"/>
    <x v="115"/>
    <x v="2"/>
    <s v="Gujarat"/>
    <x v="2"/>
    <x v="1"/>
    <x v="2"/>
    <n v="2"/>
    <n v="4621.96"/>
    <x v="2"/>
    <n v="9243.92"/>
    <n v="6728.32"/>
    <n v="2515.6"/>
    <s v="Corporate"/>
    <s v="UPI"/>
  </r>
  <r>
    <s v="ORD10542"/>
    <x v="27"/>
    <x v="1"/>
    <s v="Karnataka"/>
    <x v="1"/>
    <x v="3"/>
    <x v="4"/>
    <n v="2"/>
    <n v="8261.09"/>
    <x v="0"/>
    <n v="14043.85"/>
    <n v="11483.3"/>
    <n v="2560.5500000000002"/>
    <s v="Online"/>
    <s v="Debit Card"/>
  </r>
  <r>
    <s v="ORD10060"/>
    <x v="98"/>
    <x v="0"/>
    <s v="Jharkhand"/>
    <x v="7"/>
    <x v="1"/>
    <x v="2"/>
    <n v="2"/>
    <n v="4376.7"/>
    <x v="4"/>
    <n v="8053.13"/>
    <n v="5457.08"/>
    <n v="2596.0500000000002"/>
    <s v="Retail"/>
    <s v="Debit Card"/>
  </r>
  <r>
    <s v="ORD10612"/>
    <x v="116"/>
    <x v="0"/>
    <s v="Odisha"/>
    <x v="1"/>
    <x v="0"/>
    <x v="8"/>
    <n v="1"/>
    <n v="15766.16"/>
    <x v="5"/>
    <n v="14977.85"/>
    <n v="12377.48"/>
    <n v="2600.37"/>
    <s v="Retail"/>
    <s v="Debit Card"/>
  </r>
  <r>
    <s v="ORD11198"/>
    <x v="60"/>
    <x v="1"/>
    <s v="Telangana"/>
    <x v="7"/>
    <x v="0"/>
    <x v="8"/>
    <n v="1"/>
    <n v="14758.32"/>
    <x v="5"/>
    <n v="14020.4"/>
    <n v="11418.91"/>
    <n v="2601.4899999999998"/>
    <s v="Retail"/>
    <s v="Credit Card"/>
  </r>
  <r>
    <s v="ORD10379"/>
    <x v="117"/>
    <x v="1"/>
    <s v="Telangana"/>
    <x v="5"/>
    <x v="0"/>
    <x v="8"/>
    <n v="1"/>
    <n v="14632.53"/>
    <x v="5"/>
    <n v="13900.9"/>
    <n v="11269.12"/>
    <n v="2631.78"/>
    <s v="Retail"/>
    <s v="Debit Card"/>
  </r>
  <r>
    <s v="ORD10032"/>
    <x v="118"/>
    <x v="3"/>
    <s v="Punjab"/>
    <x v="5"/>
    <x v="0"/>
    <x v="9"/>
    <n v="1"/>
    <n v="13773.36"/>
    <x v="5"/>
    <n v="13084.69"/>
    <n v="10449.040000000001"/>
    <n v="2635.65"/>
    <s v="Retail"/>
    <s v="Cash"/>
  </r>
  <r>
    <s v="ORD10847"/>
    <x v="9"/>
    <x v="3"/>
    <s v="Delhi"/>
    <x v="3"/>
    <x v="2"/>
    <x v="3"/>
    <n v="4"/>
    <n v="5068.97"/>
    <x v="4"/>
    <n v="18653.8"/>
    <n v="16011.62"/>
    <n v="2642.18"/>
    <s v="Retail"/>
    <s v="Debit Card"/>
  </r>
  <r>
    <s v="ORD11185"/>
    <x v="119"/>
    <x v="3"/>
    <s v="Haryana"/>
    <x v="4"/>
    <x v="1"/>
    <x v="2"/>
    <n v="2"/>
    <n v="4687.6000000000004"/>
    <x v="5"/>
    <n v="8906.44"/>
    <n v="6254.94"/>
    <n v="2651.5"/>
    <s v="Online"/>
    <s v="Credit Card"/>
  </r>
  <r>
    <s v="ORD10688"/>
    <x v="93"/>
    <x v="1"/>
    <s v="Karnataka"/>
    <x v="7"/>
    <x v="1"/>
    <x v="10"/>
    <n v="1"/>
    <n v="17065.669999999998"/>
    <x v="3"/>
    <n v="16553.7"/>
    <n v="13899.15"/>
    <n v="2654.55"/>
    <s v="Retail"/>
    <s v="UPI"/>
  </r>
  <r>
    <s v="ORD10617"/>
    <x v="120"/>
    <x v="3"/>
    <s v="Delhi"/>
    <x v="1"/>
    <x v="2"/>
    <x v="7"/>
    <n v="1"/>
    <n v="11728.76"/>
    <x v="5"/>
    <n v="11142.32"/>
    <n v="8471"/>
    <n v="2671.32"/>
    <s v="Corporate"/>
    <s v="Cash"/>
  </r>
  <r>
    <s v="ORD10251"/>
    <x v="121"/>
    <x v="1"/>
    <s v="Karnataka"/>
    <x v="7"/>
    <x v="0"/>
    <x v="5"/>
    <n v="1"/>
    <n v="9010.7199999999993"/>
    <x v="4"/>
    <n v="8289.86"/>
    <n v="5607.34"/>
    <n v="2682.52"/>
    <s v="Corporate"/>
    <s v="Debit Card"/>
  </r>
  <r>
    <s v="ORD10291"/>
    <x v="62"/>
    <x v="1"/>
    <s v="Andhra Pradesh"/>
    <x v="3"/>
    <x v="3"/>
    <x v="6"/>
    <n v="1"/>
    <n v="10199.040000000001"/>
    <x v="4"/>
    <n v="9383.1200000000008"/>
    <n v="6654.64"/>
    <n v="2728.48"/>
    <s v="Retail"/>
    <s v="Debit Card"/>
  </r>
  <r>
    <s v="ORD11080"/>
    <x v="33"/>
    <x v="4"/>
    <s v="Bihar"/>
    <x v="4"/>
    <x v="1"/>
    <x v="2"/>
    <n v="3"/>
    <n v="4381"/>
    <x v="3"/>
    <n v="12748.71"/>
    <n v="9985.23"/>
    <n v="2763.48"/>
    <s v="Corporate"/>
    <s v="Cash"/>
  </r>
  <r>
    <s v="ORD10908"/>
    <x v="122"/>
    <x v="3"/>
    <s v="Uttar Pradesh"/>
    <x v="7"/>
    <x v="1"/>
    <x v="10"/>
    <n v="1"/>
    <n v="18008.189999999999"/>
    <x v="2"/>
    <n v="18008.189999999999"/>
    <n v="15237.38"/>
    <n v="2770.81"/>
    <s v="Online"/>
    <s v="UPI"/>
  </r>
  <r>
    <s v="ORD10751"/>
    <x v="94"/>
    <x v="1"/>
    <s v="Karnataka"/>
    <x v="0"/>
    <x v="2"/>
    <x v="3"/>
    <n v="3"/>
    <n v="4751.26"/>
    <x v="1"/>
    <n v="12828.41"/>
    <n v="10029.31"/>
    <n v="2799.1"/>
    <s v="Retail"/>
    <s v="Credit Card"/>
  </r>
  <r>
    <s v="ORD11199"/>
    <x v="123"/>
    <x v="1"/>
    <s v="Telangana"/>
    <x v="3"/>
    <x v="1"/>
    <x v="2"/>
    <n v="3"/>
    <n v="4319.0600000000004"/>
    <x v="5"/>
    <n v="12309.32"/>
    <n v="9504.91"/>
    <n v="2804.41"/>
    <s v="Online"/>
    <s v="Debit Card"/>
  </r>
  <r>
    <s v="ORD11178"/>
    <x v="34"/>
    <x v="2"/>
    <s v="Gujarat"/>
    <x v="7"/>
    <x v="2"/>
    <x v="3"/>
    <n v="2"/>
    <n v="4870.12"/>
    <x v="5"/>
    <n v="9253.24"/>
    <n v="6440.74"/>
    <n v="2812.5"/>
    <s v="Retail"/>
    <s v="Debit Card"/>
  </r>
  <r>
    <s v="ORD10744"/>
    <x v="87"/>
    <x v="2"/>
    <s v="Maharashtra"/>
    <x v="6"/>
    <x v="2"/>
    <x v="3"/>
    <n v="2"/>
    <n v="5111.51"/>
    <x v="2"/>
    <n v="10223.02"/>
    <n v="7394.06"/>
    <n v="2828.96"/>
    <s v="Online"/>
    <s v="Net Banking"/>
  </r>
  <r>
    <s v="ORD10562"/>
    <x v="124"/>
    <x v="1"/>
    <s v="Andhra Pradesh"/>
    <x v="3"/>
    <x v="1"/>
    <x v="2"/>
    <n v="3"/>
    <n v="4257.76"/>
    <x v="3"/>
    <n v="12390.08"/>
    <n v="9528.7800000000007"/>
    <n v="2861.3"/>
    <s v="Online"/>
    <s v="Net Banking"/>
  </r>
  <r>
    <s v="ORD10325"/>
    <x v="125"/>
    <x v="3"/>
    <s v="Delhi"/>
    <x v="3"/>
    <x v="0"/>
    <x v="5"/>
    <n v="1"/>
    <n v="8654.74"/>
    <x v="3"/>
    <n v="8395.1"/>
    <n v="5528.27"/>
    <n v="2866.83"/>
    <s v="Online"/>
    <s v="Net Banking"/>
  </r>
  <r>
    <s v="ORD10223"/>
    <x v="126"/>
    <x v="2"/>
    <s v="Rajasthan"/>
    <x v="2"/>
    <x v="3"/>
    <x v="6"/>
    <n v="1"/>
    <n v="10342.23"/>
    <x v="4"/>
    <n v="9514.85"/>
    <n v="6641.6"/>
    <n v="2873.25"/>
    <s v="Retail"/>
    <s v="UPI"/>
  </r>
  <r>
    <s v="ORD10703"/>
    <x v="127"/>
    <x v="2"/>
    <s v="Gujarat"/>
    <x v="2"/>
    <x v="2"/>
    <x v="3"/>
    <n v="3"/>
    <n v="5287.07"/>
    <x v="4"/>
    <n v="14592.32"/>
    <n v="11718.85"/>
    <n v="2873.47"/>
    <s v="Retail"/>
    <s v="UPI"/>
  </r>
  <r>
    <s v="ORD10312"/>
    <x v="128"/>
    <x v="2"/>
    <s v="Maharashtra"/>
    <x v="5"/>
    <x v="2"/>
    <x v="3"/>
    <n v="2"/>
    <n v="5163.6400000000003"/>
    <x v="5"/>
    <n v="9810.92"/>
    <n v="6898.7"/>
    <n v="2912.22"/>
    <s v="Retail"/>
    <s v="Debit Card"/>
  </r>
  <r>
    <s v="ORD10986"/>
    <x v="129"/>
    <x v="2"/>
    <s v="Rajasthan"/>
    <x v="4"/>
    <x v="3"/>
    <x v="4"/>
    <n v="1"/>
    <n v="8166.8"/>
    <x v="3"/>
    <n v="7921.8"/>
    <n v="4986.1499999999996"/>
    <n v="2935.65"/>
    <s v="Retail"/>
    <s v="Net Banking"/>
  </r>
  <r>
    <s v="ORD10277"/>
    <x v="130"/>
    <x v="1"/>
    <s v="Karnataka"/>
    <x v="5"/>
    <x v="1"/>
    <x v="2"/>
    <n v="2"/>
    <n v="4694.51"/>
    <x v="1"/>
    <n v="8450.1299999999992"/>
    <n v="5482.86"/>
    <n v="2967.27"/>
    <s v="Corporate"/>
    <s v="Cash"/>
  </r>
  <r>
    <s v="ORD10283"/>
    <x v="126"/>
    <x v="1"/>
    <s v="Tamil Nadu"/>
    <x v="1"/>
    <x v="0"/>
    <x v="5"/>
    <n v="1"/>
    <n v="9620.07"/>
    <x v="5"/>
    <n v="9139.07"/>
    <n v="6171.25"/>
    <n v="2967.82"/>
    <s v="Retail"/>
    <s v="Credit Card"/>
  </r>
  <r>
    <s v="ORD11096"/>
    <x v="131"/>
    <x v="0"/>
    <s v="Odisha"/>
    <x v="5"/>
    <x v="0"/>
    <x v="8"/>
    <n v="1"/>
    <n v="15351.68"/>
    <x v="3"/>
    <n v="14891.13"/>
    <n v="11914.78"/>
    <n v="2976.35"/>
    <s v="Retail"/>
    <s v="Cash"/>
  </r>
  <r>
    <s v="ORD10557"/>
    <x v="132"/>
    <x v="3"/>
    <s v="Punjab"/>
    <x v="6"/>
    <x v="1"/>
    <x v="10"/>
    <n v="1"/>
    <n v="18799.86"/>
    <x v="1"/>
    <n v="16919.87"/>
    <n v="13921.12"/>
    <n v="2998.75"/>
    <s v="Corporate"/>
    <s v="Net Banking"/>
  </r>
  <r>
    <s v="ORD10997"/>
    <x v="133"/>
    <x v="1"/>
    <s v="Andhra Pradesh"/>
    <x v="3"/>
    <x v="1"/>
    <x v="2"/>
    <n v="4"/>
    <n v="4332.29"/>
    <x v="5"/>
    <n v="16462.71"/>
    <n v="13457.16"/>
    <n v="3005.55"/>
    <s v="Retail"/>
    <s v="Debit Card"/>
  </r>
  <r>
    <s v="ORD10172"/>
    <x v="50"/>
    <x v="1"/>
    <s v="Telangana"/>
    <x v="4"/>
    <x v="2"/>
    <x v="3"/>
    <n v="3"/>
    <n v="5139.4399999999996"/>
    <x v="5"/>
    <n v="14647.41"/>
    <n v="11617.47"/>
    <n v="3029.94"/>
    <s v="Online"/>
    <s v="Net Banking"/>
  </r>
  <r>
    <s v="ORD10750"/>
    <x v="40"/>
    <x v="3"/>
    <s v="Uttar Pradesh"/>
    <x v="6"/>
    <x v="3"/>
    <x v="4"/>
    <n v="2"/>
    <n v="8088.06"/>
    <x v="1"/>
    <n v="14558.52"/>
    <n v="11487.81"/>
    <n v="3070.71"/>
    <s v="Retail"/>
    <s v="Credit Card"/>
  </r>
  <r>
    <s v="ORD10716"/>
    <x v="40"/>
    <x v="0"/>
    <s v="West Bengal"/>
    <x v="3"/>
    <x v="1"/>
    <x v="10"/>
    <n v="1"/>
    <n v="16568.39"/>
    <x v="2"/>
    <n v="16568.39"/>
    <n v="13488.5"/>
    <n v="3079.89"/>
    <s v="Corporate"/>
    <s v="UPI"/>
  </r>
  <r>
    <s v="ORD10566"/>
    <x v="134"/>
    <x v="0"/>
    <s v="Odisha"/>
    <x v="7"/>
    <x v="2"/>
    <x v="3"/>
    <n v="3"/>
    <n v="4908.05"/>
    <x v="1"/>
    <n v="13251.73"/>
    <n v="10157.32"/>
    <n v="3094.41"/>
    <s v="Online"/>
    <s v="Debit Card"/>
  </r>
  <r>
    <s v="ORD10309"/>
    <x v="58"/>
    <x v="3"/>
    <s v="Delhi"/>
    <x v="6"/>
    <x v="1"/>
    <x v="10"/>
    <n v="1"/>
    <n v="19252.78"/>
    <x v="5"/>
    <n v="18290.14"/>
    <n v="15193.92"/>
    <n v="3096.22"/>
    <s v="Retail"/>
    <s v="Debit Card"/>
  </r>
  <r>
    <s v="ORD11143"/>
    <x v="6"/>
    <x v="1"/>
    <s v="Telangana"/>
    <x v="4"/>
    <x v="2"/>
    <x v="7"/>
    <n v="1"/>
    <n v="11860.14"/>
    <x v="2"/>
    <n v="11860.14"/>
    <n v="8758.2099999999991"/>
    <n v="3101.93"/>
    <s v="Retail"/>
    <s v="Credit Card"/>
  </r>
  <r>
    <s v="ORD10274"/>
    <x v="135"/>
    <x v="0"/>
    <s v="Odisha"/>
    <x v="2"/>
    <x v="2"/>
    <x v="3"/>
    <n v="4"/>
    <n v="4634.41"/>
    <x v="4"/>
    <n v="17054.61"/>
    <n v="13943.75"/>
    <n v="3110.86"/>
    <s v="Corporate"/>
    <s v="Net Banking"/>
  </r>
  <r>
    <s v="ORD10869"/>
    <x v="41"/>
    <x v="3"/>
    <s v="Uttar Pradesh"/>
    <x v="7"/>
    <x v="2"/>
    <x v="3"/>
    <n v="2"/>
    <n v="4810.8100000000004"/>
    <x v="5"/>
    <n v="9140.5300000000007"/>
    <n v="6024.21"/>
    <n v="3116.32"/>
    <s v="Corporate"/>
    <s v="Cash"/>
  </r>
  <r>
    <s v="ORD10074"/>
    <x v="136"/>
    <x v="2"/>
    <s v="Goa"/>
    <x v="4"/>
    <x v="1"/>
    <x v="11"/>
    <n v="1"/>
    <n v="20961.61"/>
    <x v="5"/>
    <n v="19913.53"/>
    <n v="16774.12"/>
    <n v="3139.41"/>
    <s v="Corporate"/>
    <s v="Cash"/>
  </r>
  <r>
    <s v="ORD10457"/>
    <x v="48"/>
    <x v="0"/>
    <s v="Bihar"/>
    <x v="6"/>
    <x v="2"/>
    <x v="3"/>
    <n v="3"/>
    <n v="4879.88"/>
    <x v="3"/>
    <n v="14200.46"/>
    <n v="11039.68"/>
    <n v="3160.78"/>
    <s v="Corporate"/>
    <s v="Cash"/>
  </r>
  <r>
    <s v="ORD10598"/>
    <x v="137"/>
    <x v="0"/>
    <s v="Jharkhand"/>
    <x v="1"/>
    <x v="1"/>
    <x v="2"/>
    <n v="3"/>
    <n v="4333.82"/>
    <x v="0"/>
    <n v="11051.23"/>
    <n v="7867.33"/>
    <n v="3183.9"/>
    <s v="Retail"/>
    <s v="Cash"/>
  </r>
  <r>
    <s v="ORD10708"/>
    <x v="39"/>
    <x v="2"/>
    <s v="Gujarat"/>
    <x v="0"/>
    <x v="0"/>
    <x v="5"/>
    <n v="1"/>
    <n v="8962.23"/>
    <x v="5"/>
    <n v="8514.1200000000008"/>
    <n v="5293.26"/>
    <n v="3220.86"/>
    <s v="Online"/>
    <s v="Debit Card"/>
  </r>
  <r>
    <s v="ORD10523"/>
    <x v="138"/>
    <x v="2"/>
    <s v="Maharashtra"/>
    <x v="4"/>
    <x v="2"/>
    <x v="3"/>
    <n v="3"/>
    <n v="4874.62"/>
    <x v="1"/>
    <n v="13161.48"/>
    <n v="9926.5499999999993"/>
    <n v="3234.93"/>
    <s v="Online"/>
    <s v="Credit Card"/>
  </r>
  <r>
    <s v="ORD11191"/>
    <x v="139"/>
    <x v="1"/>
    <s v="Tamil Nadu"/>
    <x v="1"/>
    <x v="1"/>
    <x v="10"/>
    <n v="1"/>
    <n v="16842.580000000002"/>
    <x v="5"/>
    <n v="16000.45"/>
    <n v="12738.93"/>
    <n v="3261.52"/>
    <s v="Corporate"/>
    <s v="Net Banking"/>
  </r>
  <r>
    <s v="ORD10769"/>
    <x v="140"/>
    <x v="2"/>
    <s v="Gujarat"/>
    <x v="0"/>
    <x v="1"/>
    <x v="10"/>
    <n v="1"/>
    <n v="17287.45"/>
    <x v="1"/>
    <n v="15558.7"/>
    <n v="12274.96"/>
    <n v="3283.74"/>
    <s v="Corporate"/>
    <s v="Net Banking"/>
  </r>
  <r>
    <s v="ORD10808"/>
    <x v="98"/>
    <x v="1"/>
    <s v="Tamil Nadu"/>
    <x v="7"/>
    <x v="1"/>
    <x v="11"/>
    <n v="1"/>
    <n v="21157.55"/>
    <x v="1"/>
    <n v="19041.79"/>
    <n v="15752.09"/>
    <n v="3289.7"/>
    <s v="Retail"/>
    <s v="Net Banking"/>
  </r>
  <r>
    <s v="ORD10100"/>
    <x v="141"/>
    <x v="3"/>
    <s v="Uttar Pradesh"/>
    <x v="6"/>
    <x v="2"/>
    <x v="7"/>
    <n v="1"/>
    <n v="11993.02"/>
    <x v="4"/>
    <n v="11033.58"/>
    <n v="7725.92"/>
    <n v="3307.66"/>
    <s v="Corporate"/>
    <s v="UPI"/>
  </r>
  <r>
    <s v="ORD11031"/>
    <x v="142"/>
    <x v="0"/>
    <s v="Odisha"/>
    <x v="1"/>
    <x v="2"/>
    <x v="3"/>
    <n v="3"/>
    <n v="4827.88"/>
    <x v="2"/>
    <n v="14483.65"/>
    <n v="11152.48"/>
    <n v="3331.17"/>
    <s v="Retail"/>
    <s v="Credit Card"/>
  </r>
  <r>
    <s v="ORD11117"/>
    <x v="143"/>
    <x v="3"/>
    <s v="Haryana"/>
    <x v="5"/>
    <x v="3"/>
    <x v="4"/>
    <n v="2"/>
    <n v="8374.5300000000007"/>
    <x v="1"/>
    <n v="15074.15"/>
    <n v="11737.34"/>
    <n v="3336.81"/>
    <s v="Corporate"/>
    <s v="Net Banking"/>
  </r>
  <r>
    <s v="ORD10749"/>
    <x v="144"/>
    <x v="1"/>
    <s v="Karnataka"/>
    <x v="6"/>
    <x v="2"/>
    <x v="3"/>
    <n v="3"/>
    <n v="5221.87"/>
    <x v="5"/>
    <n v="14882.32"/>
    <n v="11533.53"/>
    <n v="3348.79"/>
    <s v="Corporate"/>
    <s v="Cash"/>
  </r>
  <r>
    <s v="ORD10494"/>
    <x v="145"/>
    <x v="0"/>
    <s v="Odisha"/>
    <x v="3"/>
    <x v="2"/>
    <x v="7"/>
    <n v="2"/>
    <n v="11463.38"/>
    <x v="3"/>
    <n v="22238.95"/>
    <n v="18863"/>
    <n v="3375.95"/>
    <s v="Online"/>
    <s v="Credit Card"/>
  </r>
  <r>
    <s v="ORD10777"/>
    <x v="146"/>
    <x v="2"/>
    <s v="Maharashtra"/>
    <x v="5"/>
    <x v="1"/>
    <x v="11"/>
    <n v="1"/>
    <n v="22047.29"/>
    <x v="4"/>
    <n v="20283.509999999998"/>
    <n v="16906.810000000001"/>
    <n v="3376.7"/>
    <s v="Online"/>
    <s v="Debit Card"/>
  </r>
  <r>
    <s v="ORD10017"/>
    <x v="147"/>
    <x v="3"/>
    <s v="Uttar Pradesh"/>
    <x v="6"/>
    <x v="1"/>
    <x v="2"/>
    <n v="4"/>
    <n v="4848.0600000000004"/>
    <x v="5"/>
    <n v="18422.650000000001"/>
    <n v="15031.84"/>
    <n v="3390.81"/>
    <s v="Online"/>
    <s v="Net Banking"/>
  </r>
  <r>
    <s v="ORD10589"/>
    <x v="97"/>
    <x v="3"/>
    <s v="Delhi"/>
    <x v="5"/>
    <x v="0"/>
    <x v="8"/>
    <n v="1"/>
    <n v="15775.21"/>
    <x v="3"/>
    <n v="15301.95"/>
    <n v="11882.69"/>
    <n v="3419.26"/>
    <s v="Corporate"/>
    <s v="Cash"/>
  </r>
  <r>
    <s v="ORD10560"/>
    <x v="148"/>
    <x v="3"/>
    <s v="Uttar Pradesh"/>
    <x v="2"/>
    <x v="2"/>
    <x v="3"/>
    <n v="3"/>
    <n v="4979.55"/>
    <x v="5"/>
    <n v="14191.71"/>
    <n v="10772.01"/>
    <n v="3419.7"/>
    <s v="Retail"/>
    <s v="Credit Card"/>
  </r>
  <r>
    <s v="ORD10492"/>
    <x v="148"/>
    <x v="1"/>
    <s v="Telangana"/>
    <x v="5"/>
    <x v="3"/>
    <x v="6"/>
    <n v="1"/>
    <n v="11562.54"/>
    <x v="1"/>
    <n v="10406.290000000001"/>
    <n v="6949.45"/>
    <n v="3456.84"/>
    <s v="Corporate"/>
    <s v="Credit Card"/>
  </r>
  <r>
    <s v="ORD10460"/>
    <x v="142"/>
    <x v="3"/>
    <s v="Punjab"/>
    <x v="4"/>
    <x v="2"/>
    <x v="7"/>
    <n v="1"/>
    <n v="11505.75"/>
    <x v="2"/>
    <n v="11505.75"/>
    <n v="8013.59"/>
    <n v="3492.16"/>
    <s v="Online"/>
    <s v="Cash"/>
  </r>
  <r>
    <s v="ORD10320"/>
    <x v="149"/>
    <x v="3"/>
    <s v="Haryana"/>
    <x v="1"/>
    <x v="1"/>
    <x v="2"/>
    <n v="3"/>
    <n v="4318.24"/>
    <x v="2"/>
    <n v="12954.73"/>
    <n v="9458.84"/>
    <n v="3495.89"/>
    <s v="Corporate"/>
    <s v="Debit Card"/>
  </r>
  <r>
    <s v="ORD10010"/>
    <x v="29"/>
    <x v="0"/>
    <s v="Bihar"/>
    <x v="0"/>
    <x v="3"/>
    <x v="6"/>
    <n v="1"/>
    <n v="11390.24"/>
    <x v="3"/>
    <n v="11048.54"/>
    <n v="7529.1"/>
    <n v="3519.44"/>
    <s v="Corporate"/>
    <s v="Credit Card"/>
  </r>
  <r>
    <s v="ORD10886"/>
    <x v="150"/>
    <x v="1"/>
    <s v="Telangana"/>
    <x v="3"/>
    <x v="1"/>
    <x v="2"/>
    <n v="3"/>
    <n v="4266.8599999999997"/>
    <x v="4"/>
    <n v="11776.53"/>
    <n v="8253.7099999999991"/>
    <n v="3522.82"/>
    <s v="Retail"/>
    <s v="Cash"/>
  </r>
  <r>
    <s v="ORD10038"/>
    <x v="151"/>
    <x v="1"/>
    <s v="Tamil Nadu"/>
    <x v="6"/>
    <x v="3"/>
    <x v="6"/>
    <n v="1"/>
    <n v="11811.7"/>
    <x v="1"/>
    <n v="10630.53"/>
    <n v="7090.46"/>
    <n v="3540.07"/>
    <s v="Retail"/>
    <s v="Credit Card"/>
  </r>
  <r>
    <s v="ORD11153"/>
    <x v="90"/>
    <x v="2"/>
    <s v="Maharashtra"/>
    <x v="5"/>
    <x v="2"/>
    <x v="3"/>
    <n v="3"/>
    <n v="5357.67"/>
    <x v="4"/>
    <n v="14787.17"/>
    <n v="11223.13"/>
    <n v="3564.04"/>
    <s v="Corporate"/>
    <s v="UPI"/>
  </r>
  <r>
    <s v="ORD10916"/>
    <x v="152"/>
    <x v="0"/>
    <s v="West Bengal"/>
    <x v="2"/>
    <x v="1"/>
    <x v="10"/>
    <n v="1"/>
    <n v="18156.45"/>
    <x v="3"/>
    <n v="17611.759999999998"/>
    <n v="13964.44"/>
    <n v="3647.32"/>
    <s v="Retail"/>
    <s v="Cash"/>
  </r>
  <r>
    <s v="ORD10707"/>
    <x v="153"/>
    <x v="3"/>
    <s v="Uttar Pradesh"/>
    <x v="0"/>
    <x v="2"/>
    <x v="3"/>
    <n v="2"/>
    <n v="5074.3900000000003"/>
    <x v="5"/>
    <n v="9641.33"/>
    <n v="5988.53"/>
    <n v="3652.8"/>
    <s v="Corporate"/>
    <s v="UPI"/>
  </r>
  <r>
    <s v="ORD10096"/>
    <x v="154"/>
    <x v="3"/>
    <s v="Punjab"/>
    <x v="7"/>
    <x v="1"/>
    <x v="10"/>
    <n v="1"/>
    <n v="17349.28"/>
    <x v="5"/>
    <n v="16481.82"/>
    <n v="12795.51"/>
    <n v="3686.31"/>
    <s v="Retail"/>
    <s v="Credit Card"/>
  </r>
  <r>
    <s v="ORD10422"/>
    <x v="10"/>
    <x v="2"/>
    <s v="Goa"/>
    <x v="4"/>
    <x v="2"/>
    <x v="3"/>
    <n v="3"/>
    <n v="4665.33"/>
    <x v="1"/>
    <n v="12596.4"/>
    <n v="8794.7800000000007"/>
    <n v="3801.62"/>
    <s v="Corporate"/>
    <s v="Net Banking"/>
  </r>
  <r>
    <s v="ORD10459"/>
    <x v="111"/>
    <x v="1"/>
    <s v="Telangana"/>
    <x v="4"/>
    <x v="2"/>
    <x v="3"/>
    <n v="5"/>
    <n v="4952.43"/>
    <x v="3"/>
    <n v="24019.29"/>
    <n v="20149.07"/>
    <n v="3870.22"/>
    <s v="Corporate"/>
    <s v="UPI"/>
  </r>
  <r>
    <s v="ORD10791"/>
    <x v="155"/>
    <x v="3"/>
    <s v="Uttar Pradesh"/>
    <x v="2"/>
    <x v="1"/>
    <x v="2"/>
    <n v="6"/>
    <n v="4328.67"/>
    <x v="1"/>
    <n v="23374.79"/>
    <n v="19495.439999999999"/>
    <n v="3879.35"/>
    <s v="Retail"/>
    <s v="Cash"/>
  </r>
  <r>
    <s v="ORD10603"/>
    <x v="3"/>
    <x v="1"/>
    <s v="Telangana"/>
    <x v="4"/>
    <x v="0"/>
    <x v="5"/>
    <n v="3"/>
    <n v="9024.8700000000008"/>
    <x v="2"/>
    <n v="27074.62"/>
    <n v="23183.95"/>
    <n v="3890.67"/>
    <s v="Retail"/>
    <s v="UPI"/>
  </r>
  <r>
    <s v="ORD10463"/>
    <x v="106"/>
    <x v="3"/>
    <s v="Uttar Pradesh"/>
    <x v="5"/>
    <x v="0"/>
    <x v="5"/>
    <n v="2"/>
    <n v="8907.83"/>
    <x v="4"/>
    <n v="16390.41"/>
    <n v="12481.57"/>
    <n v="3908.84"/>
    <s v="Corporate"/>
    <s v="Debit Card"/>
  </r>
  <r>
    <s v="ORD10229"/>
    <x v="156"/>
    <x v="1"/>
    <s v="Telangana"/>
    <x v="2"/>
    <x v="2"/>
    <x v="7"/>
    <n v="1"/>
    <n v="11615.84"/>
    <x v="4"/>
    <n v="10686.58"/>
    <n v="6749.16"/>
    <n v="3937.42"/>
    <s v="Online"/>
    <s v="Credit Card"/>
  </r>
  <r>
    <s v="ORD11035"/>
    <x v="157"/>
    <x v="2"/>
    <s v="Goa"/>
    <x v="1"/>
    <x v="3"/>
    <x v="4"/>
    <n v="2"/>
    <n v="8061.31"/>
    <x v="5"/>
    <n v="15316.48"/>
    <n v="11314.34"/>
    <n v="4002.14"/>
    <s v="Online"/>
    <s v="Cash"/>
  </r>
  <r>
    <s v="ORD10149"/>
    <x v="154"/>
    <x v="2"/>
    <s v="Gujarat"/>
    <x v="6"/>
    <x v="0"/>
    <x v="5"/>
    <n v="2"/>
    <n v="9169.7000000000007"/>
    <x v="1"/>
    <n v="16505.46"/>
    <n v="12493.75"/>
    <n v="4011.71"/>
    <s v="Retail"/>
    <s v="UPI"/>
  </r>
  <r>
    <s v="ORD10462"/>
    <x v="158"/>
    <x v="3"/>
    <s v="Punjab"/>
    <x v="1"/>
    <x v="1"/>
    <x v="2"/>
    <n v="3"/>
    <n v="4722.04"/>
    <x v="4"/>
    <n v="13032.84"/>
    <n v="9005.42"/>
    <n v="4027.42"/>
    <s v="Corporate"/>
    <s v="Debit Card"/>
  </r>
  <r>
    <s v="ORD10301"/>
    <x v="159"/>
    <x v="1"/>
    <s v="Tamil Nadu"/>
    <x v="3"/>
    <x v="0"/>
    <x v="9"/>
    <n v="2"/>
    <n v="14628.62"/>
    <x v="4"/>
    <n v="26916.65"/>
    <n v="22839.67"/>
    <n v="4076.98"/>
    <s v="Corporate"/>
    <s v="UPI"/>
  </r>
  <r>
    <s v="ORD10091"/>
    <x v="100"/>
    <x v="2"/>
    <s v="Rajasthan"/>
    <x v="6"/>
    <x v="0"/>
    <x v="5"/>
    <n v="3"/>
    <n v="8630.17"/>
    <x v="4"/>
    <n v="23819.26"/>
    <n v="19659.63"/>
    <n v="4159.63"/>
    <s v="Retail"/>
    <s v="Credit Card"/>
  </r>
  <r>
    <s v="ORD11190"/>
    <x v="160"/>
    <x v="2"/>
    <s v="Goa"/>
    <x v="4"/>
    <x v="2"/>
    <x v="7"/>
    <n v="1"/>
    <n v="12151.14"/>
    <x v="5"/>
    <n v="11543.58"/>
    <n v="7379.53"/>
    <n v="4164.05"/>
    <s v="Corporate"/>
    <s v="Net Banking"/>
  </r>
  <r>
    <s v="ORD10578"/>
    <x v="32"/>
    <x v="0"/>
    <s v="Bihar"/>
    <x v="4"/>
    <x v="1"/>
    <x v="2"/>
    <n v="4"/>
    <n v="4752.6099999999997"/>
    <x v="3"/>
    <n v="18440.14"/>
    <n v="14267.27"/>
    <n v="4172.87"/>
    <s v="Corporate"/>
    <s v="Cash"/>
  </r>
  <r>
    <s v="ORD11192"/>
    <x v="161"/>
    <x v="2"/>
    <s v="Goa"/>
    <x v="1"/>
    <x v="1"/>
    <x v="2"/>
    <n v="7"/>
    <n v="4224.58"/>
    <x v="3"/>
    <n v="28684.9"/>
    <n v="24463.78"/>
    <n v="4221.12"/>
    <s v="Retail"/>
    <s v="UPI"/>
  </r>
  <r>
    <s v="ORD10662"/>
    <x v="162"/>
    <x v="2"/>
    <s v="Rajasthan"/>
    <x v="1"/>
    <x v="1"/>
    <x v="12"/>
    <n v="1"/>
    <n v="32222.2"/>
    <x v="4"/>
    <n v="29644.42"/>
    <n v="25376.01"/>
    <n v="4268.41"/>
    <s v="Retail"/>
    <s v="Net Banking"/>
  </r>
  <r>
    <s v="ORD10343"/>
    <x v="163"/>
    <x v="0"/>
    <s v="Odisha"/>
    <x v="5"/>
    <x v="2"/>
    <x v="3"/>
    <n v="3"/>
    <n v="4816.75"/>
    <x v="3"/>
    <n v="14016.75"/>
    <n v="9746.1"/>
    <n v="4270.6499999999996"/>
    <s v="Corporate"/>
    <s v="Credit Card"/>
  </r>
  <r>
    <s v="ORD10854"/>
    <x v="164"/>
    <x v="2"/>
    <s v="Rajasthan"/>
    <x v="2"/>
    <x v="1"/>
    <x v="2"/>
    <n v="4"/>
    <n v="4636.26"/>
    <x v="4"/>
    <n v="17061.419999999998"/>
    <n v="12781.61"/>
    <n v="4279.8100000000004"/>
    <s v="Retail"/>
    <s v="Credit Card"/>
  </r>
  <r>
    <s v="ORD10190"/>
    <x v="39"/>
    <x v="3"/>
    <s v="Uttar Pradesh"/>
    <x v="6"/>
    <x v="3"/>
    <x v="4"/>
    <n v="3"/>
    <n v="8733.18"/>
    <x v="3"/>
    <n v="25413.55"/>
    <n v="21119.279999999999"/>
    <n v="4294.2700000000004"/>
    <s v="Online"/>
    <s v="Credit Card"/>
  </r>
  <r>
    <s v="ORD10990"/>
    <x v="165"/>
    <x v="0"/>
    <s v="Jharkhand"/>
    <x v="5"/>
    <x v="0"/>
    <x v="9"/>
    <n v="1"/>
    <n v="14692.24"/>
    <x v="1"/>
    <n v="13223.01"/>
    <n v="8880.59"/>
    <n v="4342.42"/>
    <s v="Corporate"/>
    <s v="Debit Card"/>
  </r>
  <r>
    <s v="ORD10181"/>
    <x v="166"/>
    <x v="0"/>
    <s v="West Bengal"/>
    <x v="4"/>
    <x v="1"/>
    <x v="10"/>
    <n v="1"/>
    <n v="16876.04"/>
    <x v="5"/>
    <n v="16032.24"/>
    <n v="11688.31"/>
    <n v="4343.93"/>
    <s v="Retail"/>
    <s v="Cash"/>
  </r>
  <r>
    <s v="ORD10898"/>
    <x v="28"/>
    <x v="1"/>
    <s v="Karnataka"/>
    <x v="1"/>
    <x v="1"/>
    <x v="2"/>
    <n v="3"/>
    <n v="4494.7299999999996"/>
    <x v="5"/>
    <n v="12809.97"/>
    <n v="8393.84"/>
    <n v="4416.13"/>
    <s v="Online"/>
    <s v="Net Banking"/>
  </r>
  <r>
    <s v="ORD10210"/>
    <x v="167"/>
    <x v="1"/>
    <s v="Telangana"/>
    <x v="3"/>
    <x v="0"/>
    <x v="8"/>
    <n v="1"/>
    <n v="16153.24"/>
    <x v="3"/>
    <n v="15668.64"/>
    <n v="11233.7"/>
    <n v="4434.9399999999996"/>
    <s v="Retail"/>
    <s v="UPI"/>
  </r>
  <r>
    <s v="ORD10583"/>
    <x v="168"/>
    <x v="1"/>
    <s v="Andhra Pradesh"/>
    <x v="7"/>
    <x v="1"/>
    <x v="10"/>
    <n v="1"/>
    <n v="18214.8"/>
    <x v="5"/>
    <n v="17304.060000000001"/>
    <n v="12860.07"/>
    <n v="4443.99"/>
    <s v="Retail"/>
    <s v="Debit Card"/>
  </r>
  <r>
    <s v="ORD10918"/>
    <x v="161"/>
    <x v="0"/>
    <s v="West Bengal"/>
    <x v="0"/>
    <x v="1"/>
    <x v="2"/>
    <n v="4"/>
    <n v="4483.13"/>
    <x v="3"/>
    <n v="17394.54"/>
    <n v="12934.29"/>
    <n v="4460.25"/>
    <s v="Online"/>
    <s v="Cash"/>
  </r>
  <r>
    <s v="ORD11196"/>
    <x v="155"/>
    <x v="3"/>
    <s v="Punjab"/>
    <x v="3"/>
    <x v="1"/>
    <x v="2"/>
    <n v="5"/>
    <n v="4482.16"/>
    <x v="5"/>
    <n v="21290.28"/>
    <n v="16820.580000000002"/>
    <n v="4469.7"/>
    <s v="Corporate"/>
    <s v="Cash"/>
  </r>
  <r>
    <s v="ORD10192"/>
    <x v="64"/>
    <x v="3"/>
    <s v="Delhi"/>
    <x v="0"/>
    <x v="0"/>
    <x v="9"/>
    <n v="2"/>
    <n v="13358.27"/>
    <x v="5"/>
    <n v="25380.7"/>
    <n v="20857.07"/>
    <n v="4523.63"/>
    <s v="Corporate"/>
    <s v="Cash"/>
  </r>
  <r>
    <s v="ORD10249"/>
    <x v="99"/>
    <x v="2"/>
    <s v="Maharashtra"/>
    <x v="0"/>
    <x v="3"/>
    <x v="4"/>
    <n v="3"/>
    <n v="9028.23"/>
    <x v="4"/>
    <n v="24917.91"/>
    <n v="20393.060000000001"/>
    <n v="4524.8500000000004"/>
    <s v="Retail"/>
    <s v="Net Banking"/>
  </r>
  <r>
    <s v="ORD10877"/>
    <x v="169"/>
    <x v="2"/>
    <s v="Rajasthan"/>
    <x v="2"/>
    <x v="2"/>
    <x v="3"/>
    <n v="3"/>
    <n v="4606.9399999999996"/>
    <x v="1"/>
    <n v="12438.73"/>
    <n v="7909.91"/>
    <n v="4528.82"/>
    <s v="Corporate"/>
    <s v="Credit Card"/>
  </r>
  <r>
    <s v="ORD11087"/>
    <x v="93"/>
    <x v="3"/>
    <s v="Delhi"/>
    <x v="2"/>
    <x v="2"/>
    <x v="3"/>
    <n v="3"/>
    <n v="4711.3500000000004"/>
    <x v="2"/>
    <n v="14134.05"/>
    <n v="9595.18"/>
    <n v="4538.87"/>
    <s v="Retail"/>
    <s v="UPI"/>
  </r>
  <r>
    <s v="ORD10458"/>
    <x v="170"/>
    <x v="3"/>
    <s v="Uttar Pradesh"/>
    <x v="6"/>
    <x v="3"/>
    <x v="6"/>
    <n v="2"/>
    <n v="10952.53"/>
    <x v="2"/>
    <n v="21905.06"/>
    <n v="17257.71"/>
    <n v="4647.3500000000004"/>
    <s v="Corporate"/>
    <s v="Cash"/>
  </r>
  <r>
    <s v="ORD10334"/>
    <x v="48"/>
    <x v="1"/>
    <s v="Andhra Pradesh"/>
    <x v="4"/>
    <x v="2"/>
    <x v="3"/>
    <n v="5"/>
    <n v="5211.84"/>
    <x v="4"/>
    <n v="23974.47"/>
    <n v="19311.84"/>
    <n v="4662.63"/>
    <s v="Retail"/>
    <s v="UPI"/>
  </r>
  <r>
    <s v="ORD10455"/>
    <x v="171"/>
    <x v="3"/>
    <s v="Punjab"/>
    <x v="1"/>
    <x v="3"/>
    <x v="6"/>
    <n v="2"/>
    <n v="11268"/>
    <x v="5"/>
    <n v="21409.21"/>
    <n v="16745.91"/>
    <n v="4663.3"/>
    <s v="Corporate"/>
    <s v="Net Banking"/>
  </r>
  <r>
    <s v="ORD11114"/>
    <x v="172"/>
    <x v="1"/>
    <s v="Andhra Pradesh"/>
    <x v="1"/>
    <x v="1"/>
    <x v="12"/>
    <n v="1"/>
    <n v="30369.97"/>
    <x v="1"/>
    <n v="27332.97"/>
    <n v="22611.73"/>
    <n v="4721.24"/>
    <s v="Retail"/>
    <s v="Debit Card"/>
  </r>
  <r>
    <s v="ORD10199"/>
    <x v="154"/>
    <x v="0"/>
    <s v="Bihar"/>
    <x v="3"/>
    <x v="1"/>
    <x v="11"/>
    <n v="1"/>
    <n v="22480.45"/>
    <x v="2"/>
    <n v="22480.45"/>
    <n v="17689.86"/>
    <n v="4790.59"/>
    <s v="Online"/>
    <s v="Cash"/>
  </r>
  <r>
    <s v="ORD10496"/>
    <x v="173"/>
    <x v="1"/>
    <s v="Tamil Nadu"/>
    <x v="6"/>
    <x v="1"/>
    <x v="12"/>
    <n v="1"/>
    <n v="32102.71"/>
    <x v="1"/>
    <n v="28892.44"/>
    <n v="24067.19"/>
    <n v="4825.25"/>
    <s v="Corporate"/>
    <s v="Debit Card"/>
  </r>
  <r>
    <s v="ORD11093"/>
    <x v="174"/>
    <x v="2"/>
    <s v="Gujarat"/>
    <x v="6"/>
    <x v="3"/>
    <x v="4"/>
    <n v="4"/>
    <n v="8814.64"/>
    <x v="5"/>
    <n v="33495.64"/>
    <n v="28652.76"/>
    <n v="4842.88"/>
    <s v="Retail"/>
    <s v="Cash"/>
  </r>
  <r>
    <s v="ORD10595"/>
    <x v="175"/>
    <x v="1"/>
    <s v="Andhra Pradesh"/>
    <x v="4"/>
    <x v="3"/>
    <x v="13"/>
    <n v="1"/>
    <n v="31031.77"/>
    <x v="3"/>
    <n v="30100.82"/>
    <n v="25238.09"/>
    <n v="4862.7299999999996"/>
    <s v="Retail"/>
    <s v="Net Banking"/>
  </r>
  <r>
    <s v="ORD10204"/>
    <x v="162"/>
    <x v="1"/>
    <s v="Andhra Pradesh"/>
    <x v="0"/>
    <x v="0"/>
    <x v="5"/>
    <n v="4"/>
    <n v="8351.77"/>
    <x v="1"/>
    <n v="30066.38"/>
    <n v="25203.25"/>
    <n v="4863.13"/>
    <s v="Online"/>
    <s v="UPI"/>
  </r>
  <r>
    <s v="ORD10347"/>
    <x v="44"/>
    <x v="1"/>
    <s v="Telangana"/>
    <x v="0"/>
    <x v="1"/>
    <x v="2"/>
    <n v="5"/>
    <n v="4779.6899999999996"/>
    <x v="1"/>
    <n v="21508.62"/>
    <n v="16587.650000000001"/>
    <n v="4920.97"/>
    <s v="Corporate"/>
    <s v="UPI"/>
  </r>
  <r>
    <s v="ORD10183"/>
    <x v="164"/>
    <x v="3"/>
    <s v="Uttar Pradesh"/>
    <x v="1"/>
    <x v="0"/>
    <x v="8"/>
    <n v="1"/>
    <n v="15741.32"/>
    <x v="2"/>
    <n v="15741.32"/>
    <n v="10815.05"/>
    <n v="4926.2700000000004"/>
    <s v="Retail"/>
    <s v="Net Banking"/>
  </r>
  <r>
    <s v="ORD10078"/>
    <x v="176"/>
    <x v="1"/>
    <s v="Tamil Nadu"/>
    <x v="6"/>
    <x v="0"/>
    <x v="8"/>
    <n v="1"/>
    <n v="15496.75"/>
    <x v="4"/>
    <n v="14257.01"/>
    <n v="9329.08"/>
    <n v="4927.93"/>
    <s v="Corporate"/>
    <s v="Credit Card"/>
  </r>
  <r>
    <s v="ORD10454"/>
    <x v="177"/>
    <x v="3"/>
    <s v="Delhi"/>
    <x v="1"/>
    <x v="2"/>
    <x v="7"/>
    <n v="2"/>
    <n v="12596.1"/>
    <x v="3"/>
    <n v="24436.43"/>
    <n v="19441.009999999998"/>
    <n v="4995.42"/>
    <s v="Online"/>
    <s v="Debit Card"/>
  </r>
  <r>
    <s v="ORD10288"/>
    <x v="178"/>
    <x v="1"/>
    <s v="Andhra Pradesh"/>
    <x v="4"/>
    <x v="3"/>
    <x v="4"/>
    <n v="2"/>
    <n v="8468.58"/>
    <x v="4"/>
    <n v="15582.19"/>
    <n v="10585.94"/>
    <n v="4996.25"/>
    <s v="Corporate"/>
    <s v="UPI"/>
  </r>
  <r>
    <s v="ORD10848"/>
    <x v="179"/>
    <x v="0"/>
    <s v="Bihar"/>
    <x v="4"/>
    <x v="0"/>
    <x v="5"/>
    <n v="2"/>
    <n v="9641.93"/>
    <x v="1"/>
    <n v="17355.47"/>
    <n v="12349.11"/>
    <n v="5006.3599999999997"/>
    <s v="Online"/>
    <s v="Net Banking"/>
  </r>
  <r>
    <s v="ORD10544"/>
    <x v="180"/>
    <x v="1"/>
    <s v="Andhra Pradesh"/>
    <x v="3"/>
    <x v="2"/>
    <x v="3"/>
    <n v="5"/>
    <n v="4877.75"/>
    <x v="1"/>
    <n v="21949.89"/>
    <n v="16902.55"/>
    <n v="5047.34"/>
    <s v="Online"/>
    <s v="Credit Card"/>
  </r>
  <r>
    <s v="ORD10552"/>
    <x v="89"/>
    <x v="3"/>
    <s v="Haryana"/>
    <x v="5"/>
    <x v="3"/>
    <x v="14"/>
    <n v="1"/>
    <n v="33266.160000000003"/>
    <x v="2"/>
    <n v="33266.160000000003"/>
    <n v="28197.89"/>
    <n v="5068.2700000000004"/>
    <s v="Retail"/>
    <s v="Net Banking"/>
  </r>
  <r>
    <s v="ORD10072"/>
    <x v="21"/>
    <x v="1"/>
    <s v="Tamil Nadu"/>
    <x v="5"/>
    <x v="1"/>
    <x v="11"/>
    <n v="1"/>
    <n v="21539.69"/>
    <x v="5"/>
    <n v="20462.71"/>
    <n v="15381.1"/>
    <n v="5081.6099999999997"/>
    <s v="Online"/>
    <s v="Cash"/>
  </r>
  <r>
    <s v="ORD10360"/>
    <x v="181"/>
    <x v="3"/>
    <s v="Uttar Pradesh"/>
    <x v="5"/>
    <x v="1"/>
    <x v="10"/>
    <n v="1"/>
    <n v="18487.61"/>
    <x v="1"/>
    <n v="16638.849999999999"/>
    <n v="11538.25"/>
    <n v="5100.6000000000004"/>
    <s v="Online"/>
    <s v="Net Banking"/>
  </r>
  <r>
    <s v="ORD10043"/>
    <x v="131"/>
    <x v="2"/>
    <s v="Goa"/>
    <x v="5"/>
    <x v="2"/>
    <x v="3"/>
    <n v="5"/>
    <n v="4834.57"/>
    <x v="3"/>
    <n v="23447.66"/>
    <n v="18322.11"/>
    <n v="5125.55"/>
    <s v="Online"/>
    <s v="UPI"/>
  </r>
  <r>
    <s v="ORD10615"/>
    <x v="182"/>
    <x v="3"/>
    <s v="Punjab"/>
    <x v="3"/>
    <x v="1"/>
    <x v="2"/>
    <n v="4"/>
    <n v="4396.37"/>
    <x v="1"/>
    <n v="15826.93"/>
    <n v="10700.36"/>
    <n v="5126.57"/>
    <s v="Retail"/>
    <s v="UPI"/>
  </r>
  <r>
    <s v="ORD10839"/>
    <x v="105"/>
    <x v="3"/>
    <s v="Haryana"/>
    <x v="3"/>
    <x v="1"/>
    <x v="11"/>
    <n v="1"/>
    <n v="21505.59"/>
    <x v="2"/>
    <n v="21505.59"/>
    <n v="16375.21"/>
    <n v="5130.38"/>
    <s v="Retail"/>
    <s v="Cash"/>
  </r>
  <r>
    <s v="ORD11113"/>
    <x v="183"/>
    <x v="0"/>
    <s v="Jharkhand"/>
    <x v="4"/>
    <x v="1"/>
    <x v="10"/>
    <n v="2"/>
    <n v="18411.88"/>
    <x v="5"/>
    <n v="34982.57"/>
    <n v="29841.34"/>
    <n v="5141.2299999999996"/>
    <s v="Retail"/>
    <s v="Net Banking"/>
  </r>
  <r>
    <s v="ORD10193"/>
    <x v="98"/>
    <x v="0"/>
    <s v="Bihar"/>
    <x v="3"/>
    <x v="1"/>
    <x v="2"/>
    <n v="6"/>
    <n v="4768.79"/>
    <x v="4"/>
    <n v="26323.73"/>
    <n v="21129.25"/>
    <n v="5194.4799999999996"/>
    <s v="Retail"/>
    <s v="Credit Card"/>
  </r>
  <r>
    <s v="ORD11148"/>
    <x v="184"/>
    <x v="0"/>
    <s v="Odisha"/>
    <x v="0"/>
    <x v="3"/>
    <x v="4"/>
    <n v="2"/>
    <n v="8857.76"/>
    <x v="4"/>
    <n v="16298.28"/>
    <n v="11066.55"/>
    <n v="5231.7299999999996"/>
    <s v="Corporate"/>
    <s v="Debit Card"/>
  </r>
  <r>
    <s v="ORD10969"/>
    <x v="185"/>
    <x v="1"/>
    <s v="Tamil Nadu"/>
    <x v="5"/>
    <x v="1"/>
    <x v="2"/>
    <n v="5"/>
    <n v="4269.01"/>
    <x v="4"/>
    <n v="19637.439999999999"/>
    <n v="14363.32"/>
    <n v="5274.12"/>
    <s v="Retail"/>
    <s v="Debit Card"/>
  </r>
  <r>
    <s v="ORD10836"/>
    <x v="144"/>
    <x v="3"/>
    <s v="Punjab"/>
    <x v="1"/>
    <x v="2"/>
    <x v="3"/>
    <n v="5"/>
    <n v="5151.2"/>
    <x v="5"/>
    <n v="24468.2"/>
    <n v="19184.59"/>
    <n v="5283.61"/>
    <s v="Online"/>
    <s v="Cash"/>
  </r>
  <r>
    <s v="ORD10980"/>
    <x v="87"/>
    <x v="3"/>
    <s v="Punjab"/>
    <x v="7"/>
    <x v="1"/>
    <x v="10"/>
    <n v="1"/>
    <n v="18057.59"/>
    <x v="1"/>
    <n v="16251.84"/>
    <n v="10964.83"/>
    <n v="5287.01"/>
    <s v="Retail"/>
    <s v="Credit Card"/>
  </r>
  <r>
    <s v="ORD10679"/>
    <x v="186"/>
    <x v="1"/>
    <s v="Tamil Nadu"/>
    <x v="4"/>
    <x v="2"/>
    <x v="3"/>
    <n v="7"/>
    <n v="4844.6000000000004"/>
    <x v="2"/>
    <n v="33912.230000000003"/>
    <n v="28616.28"/>
    <n v="5295.95"/>
    <s v="Online"/>
    <s v="UPI"/>
  </r>
  <r>
    <s v="ORD10840"/>
    <x v="85"/>
    <x v="1"/>
    <s v="Telangana"/>
    <x v="0"/>
    <x v="1"/>
    <x v="2"/>
    <n v="3"/>
    <n v="4794.6499999999996"/>
    <x v="2"/>
    <n v="14383.94"/>
    <n v="9087.7199999999993"/>
    <n v="5296.22"/>
    <s v="Online"/>
    <s v="Credit Card"/>
  </r>
  <r>
    <s v="ORD10790"/>
    <x v="187"/>
    <x v="2"/>
    <s v="Rajasthan"/>
    <x v="7"/>
    <x v="2"/>
    <x v="15"/>
    <n v="1"/>
    <n v="33387.46"/>
    <x v="2"/>
    <n v="33387.46"/>
    <n v="28083.55"/>
    <n v="5303.91"/>
    <s v="Corporate"/>
    <s v="Net Banking"/>
  </r>
  <r>
    <s v="ORD10489"/>
    <x v="188"/>
    <x v="1"/>
    <s v="Telangana"/>
    <x v="3"/>
    <x v="1"/>
    <x v="2"/>
    <n v="6"/>
    <n v="4843.8"/>
    <x v="1"/>
    <n v="26156.51"/>
    <n v="20846.169999999998"/>
    <n v="5310.34"/>
    <s v="Retail"/>
    <s v="Credit Card"/>
  </r>
  <r>
    <s v="ORD10430"/>
    <x v="180"/>
    <x v="2"/>
    <s v="Rajasthan"/>
    <x v="5"/>
    <x v="2"/>
    <x v="7"/>
    <n v="2"/>
    <n v="11607.68"/>
    <x v="1"/>
    <n v="20893.82"/>
    <n v="15577.83"/>
    <n v="5315.99"/>
    <s v="Corporate"/>
    <s v="Net Banking"/>
  </r>
  <r>
    <s v="ORD11112"/>
    <x v="189"/>
    <x v="1"/>
    <s v="Andhra Pradesh"/>
    <x v="3"/>
    <x v="2"/>
    <x v="3"/>
    <n v="5"/>
    <n v="4784"/>
    <x v="2"/>
    <n v="23920"/>
    <n v="18569.5"/>
    <n v="5350.5"/>
    <s v="Online"/>
    <s v="Credit Card"/>
  </r>
  <r>
    <s v="ORD10950"/>
    <x v="190"/>
    <x v="2"/>
    <s v="Goa"/>
    <x v="7"/>
    <x v="0"/>
    <x v="5"/>
    <n v="2"/>
    <n v="9333.76"/>
    <x v="3"/>
    <n v="18107.490000000002"/>
    <n v="12753.57"/>
    <n v="5353.92"/>
    <s v="Retail"/>
    <s v="Debit Card"/>
  </r>
  <r>
    <s v="ORD11110"/>
    <x v="114"/>
    <x v="0"/>
    <s v="Jharkhand"/>
    <x v="5"/>
    <x v="1"/>
    <x v="2"/>
    <n v="6"/>
    <n v="4324.97"/>
    <x v="3"/>
    <n v="25171.3"/>
    <n v="19778.61"/>
    <n v="5392.69"/>
    <s v="Corporate"/>
    <s v="Net Banking"/>
  </r>
  <r>
    <s v="ORD10989"/>
    <x v="191"/>
    <x v="1"/>
    <s v="Karnataka"/>
    <x v="7"/>
    <x v="1"/>
    <x v="11"/>
    <n v="1"/>
    <n v="23181.21"/>
    <x v="0"/>
    <n v="19704.03"/>
    <n v="14290.89"/>
    <n v="5413.14"/>
    <s v="Online"/>
    <s v="Credit Card"/>
  </r>
  <r>
    <s v="ORD10264"/>
    <x v="15"/>
    <x v="0"/>
    <s v="Bihar"/>
    <x v="1"/>
    <x v="2"/>
    <x v="3"/>
    <n v="5"/>
    <n v="5082.79"/>
    <x v="5"/>
    <n v="24143.27"/>
    <n v="18722.53"/>
    <n v="5420.74"/>
    <s v="Retail"/>
    <s v="Credit Card"/>
  </r>
  <r>
    <s v="ORD10348"/>
    <x v="192"/>
    <x v="2"/>
    <s v="Rajasthan"/>
    <x v="7"/>
    <x v="1"/>
    <x v="2"/>
    <n v="7"/>
    <n v="4857.2299999999996"/>
    <x v="1"/>
    <n v="30600.57"/>
    <n v="25177.200000000001"/>
    <n v="5423.37"/>
    <s v="Online"/>
    <s v="Cash"/>
  </r>
  <r>
    <s v="ORD10465"/>
    <x v="175"/>
    <x v="1"/>
    <s v="Karnataka"/>
    <x v="5"/>
    <x v="1"/>
    <x v="11"/>
    <n v="1"/>
    <n v="23359.32"/>
    <x v="5"/>
    <n v="22191.360000000001"/>
    <n v="16765.61"/>
    <n v="5425.75"/>
    <s v="Online"/>
    <s v="Cash"/>
  </r>
  <r>
    <s v="ORD11091"/>
    <x v="170"/>
    <x v="1"/>
    <s v="Telangana"/>
    <x v="1"/>
    <x v="3"/>
    <x v="4"/>
    <n v="3"/>
    <n v="8671.99"/>
    <x v="5"/>
    <n v="24715.17"/>
    <n v="19251.25"/>
    <n v="5463.92"/>
    <s v="Online"/>
    <s v="Credit Card"/>
  </r>
  <r>
    <s v="ORD10922"/>
    <x v="114"/>
    <x v="3"/>
    <s v="Uttar Pradesh"/>
    <x v="4"/>
    <x v="1"/>
    <x v="11"/>
    <n v="1"/>
    <n v="20316.52"/>
    <x v="5"/>
    <n v="19300.689999999999"/>
    <n v="13781.18"/>
    <n v="5519.51"/>
    <s v="Online"/>
    <s v="Cash"/>
  </r>
  <r>
    <s v="ORD11171"/>
    <x v="193"/>
    <x v="1"/>
    <s v="Andhra Pradesh"/>
    <x v="6"/>
    <x v="2"/>
    <x v="3"/>
    <n v="4"/>
    <n v="4986.03"/>
    <x v="1"/>
    <n v="17949.71"/>
    <n v="12393.96"/>
    <n v="5555.75"/>
    <s v="Online"/>
    <s v="Debit Card"/>
  </r>
  <r>
    <s v="ORD10601"/>
    <x v="82"/>
    <x v="0"/>
    <s v="Bihar"/>
    <x v="1"/>
    <x v="2"/>
    <x v="15"/>
    <n v="1"/>
    <n v="35792.269999999997"/>
    <x v="3"/>
    <n v="34718.5"/>
    <n v="29148.34"/>
    <n v="5570.16"/>
    <s v="Corporate"/>
    <s v="Credit Card"/>
  </r>
  <r>
    <s v="ORD10324"/>
    <x v="87"/>
    <x v="2"/>
    <s v="Gujarat"/>
    <x v="4"/>
    <x v="2"/>
    <x v="7"/>
    <n v="2"/>
    <n v="11082.07"/>
    <x v="3"/>
    <n v="21499.22"/>
    <n v="15923"/>
    <n v="5576.22"/>
    <s v="Corporate"/>
    <s v="Net Banking"/>
  </r>
  <r>
    <s v="ORD10923"/>
    <x v="83"/>
    <x v="0"/>
    <s v="West Bengal"/>
    <x v="7"/>
    <x v="1"/>
    <x v="2"/>
    <n v="6"/>
    <n v="4445.88"/>
    <x v="5"/>
    <n v="25341.51"/>
    <n v="19748.93"/>
    <n v="5592.58"/>
    <s v="Retail"/>
    <s v="Net Banking"/>
  </r>
  <r>
    <s v="ORD10655"/>
    <x v="41"/>
    <x v="3"/>
    <s v="Punjab"/>
    <x v="7"/>
    <x v="0"/>
    <x v="5"/>
    <n v="4"/>
    <n v="9318.89"/>
    <x v="1"/>
    <n v="33547.99"/>
    <n v="27898.26"/>
    <n v="5649.73"/>
    <s v="Retail"/>
    <s v="Debit Card"/>
  </r>
  <r>
    <s v="ORD11123"/>
    <x v="35"/>
    <x v="2"/>
    <s v="Maharashtra"/>
    <x v="3"/>
    <x v="2"/>
    <x v="3"/>
    <n v="7"/>
    <n v="5017.46"/>
    <x v="3"/>
    <n v="34068.54"/>
    <n v="28416.13"/>
    <n v="5652.41"/>
    <s v="Online"/>
    <s v="Credit Card"/>
  </r>
  <r>
    <s v="ORD10375"/>
    <x v="132"/>
    <x v="2"/>
    <s v="Rajasthan"/>
    <x v="4"/>
    <x v="1"/>
    <x v="10"/>
    <n v="1"/>
    <n v="18787.34"/>
    <x v="1"/>
    <n v="16908.599999999999"/>
    <n v="11250.87"/>
    <n v="5657.73"/>
    <s v="Retail"/>
    <s v="UPI"/>
  </r>
  <r>
    <s v="ORD10394"/>
    <x v="194"/>
    <x v="2"/>
    <s v="Rajasthan"/>
    <x v="5"/>
    <x v="0"/>
    <x v="9"/>
    <n v="3"/>
    <n v="13398.52"/>
    <x v="4"/>
    <n v="36979.9"/>
    <n v="31271.83"/>
    <n v="5708.07"/>
    <s v="Online"/>
    <s v="Cash"/>
  </r>
  <r>
    <s v="ORD11149"/>
    <x v="68"/>
    <x v="0"/>
    <s v="Bihar"/>
    <x v="3"/>
    <x v="0"/>
    <x v="5"/>
    <n v="3"/>
    <n v="9279.69"/>
    <x v="1"/>
    <n v="25055.15"/>
    <n v="19344.97"/>
    <n v="5710.18"/>
    <s v="Retail"/>
    <s v="Net Banking"/>
  </r>
  <r>
    <s v="ORD10493"/>
    <x v="3"/>
    <x v="1"/>
    <s v="Andhra Pradesh"/>
    <x v="2"/>
    <x v="2"/>
    <x v="7"/>
    <n v="2"/>
    <n v="11361.73"/>
    <x v="3"/>
    <n v="22041.75"/>
    <n v="16328.59"/>
    <n v="5713.16"/>
    <s v="Corporate"/>
    <s v="UPI"/>
  </r>
  <r>
    <s v="ORD10389"/>
    <x v="98"/>
    <x v="1"/>
    <s v="Tamil Nadu"/>
    <x v="4"/>
    <x v="1"/>
    <x v="10"/>
    <n v="1"/>
    <n v="18552.990000000002"/>
    <x v="5"/>
    <n v="17625.34"/>
    <n v="11885.92"/>
    <n v="5739.42"/>
    <s v="Corporate"/>
    <s v="UPI"/>
  </r>
  <r>
    <s v="ORD10611"/>
    <x v="195"/>
    <x v="4"/>
    <s v="Delhi"/>
    <x v="6"/>
    <x v="3"/>
    <x v="4"/>
    <n v="5"/>
    <n v="8284.68"/>
    <x v="0"/>
    <n v="35209.879999999997"/>
    <n v="29462.42"/>
    <n v="5747.46"/>
    <s v="Corporate"/>
    <s v="Net Banking"/>
  </r>
  <r>
    <s v="ORD10481"/>
    <x v="196"/>
    <x v="0"/>
    <s v="West Bengal"/>
    <x v="5"/>
    <x v="2"/>
    <x v="3"/>
    <n v="6"/>
    <n v="4756.57"/>
    <x v="1"/>
    <n v="25685.48"/>
    <n v="19924.21"/>
    <n v="5761.27"/>
    <s v="Retail"/>
    <s v="Credit Card"/>
  </r>
  <r>
    <s v="ORD10512"/>
    <x v="144"/>
    <x v="0"/>
    <s v="West Bengal"/>
    <x v="2"/>
    <x v="1"/>
    <x v="2"/>
    <n v="8"/>
    <n v="4371.8900000000003"/>
    <x v="5"/>
    <n v="33226.35"/>
    <n v="27441.79"/>
    <n v="5784.56"/>
    <s v="Retail"/>
    <s v="Credit Card"/>
  </r>
  <r>
    <s v="ORD10133"/>
    <x v="36"/>
    <x v="3"/>
    <s v="Uttar Pradesh"/>
    <x v="1"/>
    <x v="3"/>
    <x v="4"/>
    <n v="3"/>
    <n v="9038.86"/>
    <x v="4"/>
    <n v="24947.26"/>
    <n v="19159.12"/>
    <n v="5788.14"/>
    <s v="Corporate"/>
    <s v="Credit Card"/>
  </r>
  <r>
    <s v="ORD10239"/>
    <x v="31"/>
    <x v="0"/>
    <s v="West Bengal"/>
    <x v="6"/>
    <x v="1"/>
    <x v="2"/>
    <n v="7"/>
    <n v="4182.8599999999997"/>
    <x v="4"/>
    <n v="26937.599999999999"/>
    <n v="21140.13"/>
    <n v="5797.47"/>
    <s v="Retail"/>
    <s v="Net Banking"/>
  </r>
  <r>
    <s v="ORD10890"/>
    <x v="112"/>
    <x v="3"/>
    <s v="Uttar Pradesh"/>
    <x v="0"/>
    <x v="3"/>
    <x v="13"/>
    <n v="1"/>
    <n v="30877.09"/>
    <x v="4"/>
    <n v="28406.92"/>
    <n v="22566.48"/>
    <n v="5840.44"/>
    <s v="Online"/>
    <s v="Net Banking"/>
  </r>
  <r>
    <s v="ORD10526"/>
    <x v="197"/>
    <x v="0"/>
    <s v="Bihar"/>
    <x v="3"/>
    <x v="1"/>
    <x v="2"/>
    <n v="6"/>
    <n v="4481.3900000000003"/>
    <x v="3"/>
    <n v="26081.71"/>
    <n v="20030.47"/>
    <n v="6051.24"/>
    <s v="Retail"/>
    <s v="Cash"/>
  </r>
  <r>
    <s v="ORD11105"/>
    <x v="57"/>
    <x v="2"/>
    <s v="Goa"/>
    <x v="4"/>
    <x v="2"/>
    <x v="15"/>
    <n v="1"/>
    <n v="34799.480000000003"/>
    <x v="2"/>
    <n v="34799.480000000003"/>
    <n v="28719.16"/>
    <n v="6080.32"/>
    <s v="Corporate"/>
    <s v="Credit Card"/>
  </r>
  <r>
    <s v="ORD10387"/>
    <x v="198"/>
    <x v="0"/>
    <s v="Bihar"/>
    <x v="0"/>
    <x v="1"/>
    <x v="2"/>
    <n v="6"/>
    <n v="4294.58"/>
    <x v="2"/>
    <n v="25767.49"/>
    <n v="19654.5"/>
    <n v="6112.99"/>
    <s v="Retail"/>
    <s v="Debit Card"/>
  </r>
  <r>
    <s v="ORD10531"/>
    <x v="175"/>
    <x v="2"/>
    <s v="Goa"/>
    <x v="7"/>
    <x v="1"/>
    <x v="10"/>
    <n v="2"/>
    <n v="18869.3"/>
    <x v="5"/>
    <n v="35851.67"/>
    <n v="29709.85"/>
    <n v="6141.82"/>
    <s v="Online"/>
    <s v="UPI"/>
  </r>
  <r>
    <s v="ORD11084"/>
    <x v="167"/>
    <x v="1"/>
    <s v="Karnataka"/>
    <x v="7"/>
    <x v="3"/>
    <x v="14"/>
    <n v="1"/>
    <n v="34212.36"/>
    <x v="4"/>
    <n v="31475.37"/>
    <n v="25290.73"/>
    <n v="6184.64"/>
    <s v="Corporate"/>
    <s v="Cash"/>
  </r>
  <r>
    <s v="ORD11095"/>
    <x v="199"/>
    <x v="2"/>
    <s v="Gujarat"/>
    <x v="7"/>
    <x v="2"/>
    <x v="3"/>
    <n v="8"/>
    <n v="5063.6899999999996"/>
    <x v="1"/>
    <n v="36458.559999999998"/>
    <n v="30197.14"/>
    <n v="6261.42"/>
    <s v="Corporate"/>
    <s v="Credit Card"/>
  </r>
  <r>
    <s v="ORD10014"/>
    <x v="95"/>
    <x v="1"/>
    <s v="Tamil Nadu"/>
    <x v="3"/>
    <x v="1"/>
    <x v="11"/>
    <n v="1"/>
    <n v="21946.6"/>
    <x v="4"/>
    <n v="20190.87"/>
    <n v="13823.86"/>
    <n v="6367.01"/>
    <s v="Online"/>
    <s v="UPI"/>
  </r>
  <r>
    <s v="ORD10477"/>
    <x v="107"/>
    <x v="2"/>
    <s v="Rajasthan"/>
    <x v="5"/>
    <x v="3"/>
    <x v="6"/>
    <n v="4"/>
    <n v="10945.07"/>
    <x v="4"/>
    <n v="40277.86"/>
    <n v="33886.81"/>
    <n v="6391.05"/>
    <s v="Online"/>
    <s v="Net Banking"/>
  </r>
  <r>
    <s v="ORD10944"/>
    <x v="200"/>
    <x v="1"/>
    <s v="Karnataka"/>
    <x v="3"/>
    <x v="2"/>
    <x v="3"/>
    <n v="5"/>
    <n v="5027.51"/>
    <x v="1"/>
    <n v="22623.79"/>
    <n v="16208.62"/>
    <n v="6415.17"/>
    <s v="Retail"/>
    <s v="Net Banking"/>
  </r>
  <r>
    <s v="ORD10406"/>
    <x v="29"/>
    <x v="1"/>
    <s v="Andhra Pradesh"/>
    <x v="4"/>
    <x v="2"/>
    <x v="3"/>
    <n v="4"/>
    <n v="5379.04"/>
    <x v="5"/>
    <n v="20440.349999999999"/>
    <n v="14023.25"/>
    <n v="6417.1"/>
    <s v="Corporate"/>
    <s v="Net Banking"/>
  </r>
  <r>
    <s v="ORD10270"/>
    <x v="201"/>
    <x v="2"/>
    <s v="Maharashtra"/>
    <x v="1"/>
    <x v="1"/>
    <x v="11"/>
    <n v="1"/>
    <n v="22619.9"/>
    <x v="1"/>
    <n v="20357.91"/>
    <n v="13936.05"/>
    <n v="6421.86"/>
    <s v="Online"/>
    <s v="Net Banking"/>
  </r>
  <r>
    <s v="ORD10120"/>
    <x v="202"/>
    <x v="1"/>
    <s v="Tamil Nadu"/>
    <x v="4"/>
    <x v="1"/>
    <x v="11"/>
    <n v="1"/>
    <n v="22210.65"/>
    <x v="2"/>
    <n v="22210.65"/>
    <n v="15778.6"/>
    <n v="6432.05"/>
    <s v="Online"/>
    <s v="Debit Card"/>
  </r>
  <r>
    <s v="ORD10619"/>
    <x v="203"/>
    <x v="1"/>
    <s v="Telangana"/>
    <x v="5"/>
    <x v="3"/>
    <x v="4"/>
    <n v="3"/>
    <n v="8234.94"/>
    <x v="3"/>
    <n v="23963.66"/>
    <n v="17506.93"/>
    <n v="6456.73"/>
    <s v="Corporate"/>
    <s v="Debit Card"/>
  </r>
  <r>
    <s v="ORD10178"/>
    <x v="204"/>
    <x v="0"/>
    <s v="Jharkhand"/>
    <x v="3"/>
    <x v="1"/>
    <x v="2"/>
    <n v="7"/>
    <n v="4298.9799999999996"/>
    <x v="3"/>
    <n v="29190.06"/>
    <n v="22691.58"/>
    <n v="6498.48"/>
    <s v="Online"/>
    <s v="Cash"/>
  </r>
  <r>
    <s v="ORD10362"/>
    <x v="75"/>
    <x v="3"/>
    <s v="Uttar Pradesh"/>
    <x v="6"/>
    <x v="1"/>
    <x v="2"/>
    <n v="6"/>
    <n v="4154.7700000000004"/>
    <x v="1"/>
    <n v="22435.78"/>
    <n v="15878.77"/>
    <n v="6557.01"/>
    <s v="Retail"/>
    <s v="Net Banking"/>
  </r>
  <r>
    <s v="ORD10231"/>
    <x v="31"/>
    <x v="1"/>
    <s v="Telangana"/>
    <x v="7"/>
    <x v="3"/>
    <x v="6"/>
    <n v="4"/>
    <n v="10322.280000000001"/>
    <x v="2"/>
    <n v="41289.129999999997"/>
    <n v="34613.11"/>
    <n v="6676.02"/>
    <s v="Online"/>
    <s v="Credit Card"/>
  </r>
  <r>
    <s v="ORD10812"/>
    <x v="205"/>
    <x v="1"/>
    <s v="Andhra Pradesh"/>
    <x v="3"/>
    <x v="2"/>
    <x v="3"/>
    <n v="4"/>
    <n v="4624.78"/>
    <x v="3"/>
    <n v="17944.13"/>
    <n v="11266.62"/>
    <n v="6677.51"/>
    <s v="Online"/>
    <s v="Debit Card"/>
  </r>
  <r>
    <s v="ORD10594"/>
    <x v="206"/>
    <x v="0"/>
    <s v="Bihar"/>
    <x v="3"/>
    <x v="2"/>
    <x v="3"/>
    <n v="6"/>
    <n v="4656.5600000000004"/>
    <x v="5"/>
    <n v="26542.38"/>
    <n v="19863.04"/>
    <n v="6679.34"/>
    <s v="Corporate"/>
    <s v="Cash"/>
  </r>
  <r>
    <s v="ORD11072"/>
    <x v="207"/>
    <x v="0"/>
    <s v="Bihar"/>
    <x v="0"/>
    <x v="2"/>
    <x v="16"/>
    <n v="1"/>
    <n v="40805.839999999997"/>
    <x v="5"/>
    <n v="38765.550000000003"/>
    <n v="32047.82"/>
    <n v="6717.73"/>
    <s v="Online"/>
    <s v="Debit Card"/>
  </r>
  <r>
    <s v="ORD10618"/>
    <x v="208"/>
    <x v="2"/>
    <s v="Gujarat"/>
    <x v="2"/>
    <x v="1"/>
    <x v="12"/>
    <n v="1"/>
    <n v="29199.84"/>
    <x v="5"/>
    <n v="27739.85"/>
    <n v="21011.98"/>
    <n v="6727.87"/>
    <s v="Online"/>
    <s v="Cash"/>
  </r>
  <r>
    <s v="ORD10602"/>
    <x v="209"/>
    <x v="1"/>
    <s v="Tamil Nadu"/>
    <x v="2"/>
    <x v="2"/>
    <x v="15"/>
    <n v="1"/>
    <n v="36708.22"/>
    <x v="5"/>
    <n v="34872.800000000003"/>
    <n v="28132.46"/>
    <n v="6740.34"/>
    <s v="Retail"/>
    <s v="Net Banking"/>
  </r>
  <r>
    <s v="ORD11109"/>
    <x v="210"/>
    <x v="2"/>
    <s v="Rajasthan"/>
    <x v="2"/>
    <x v="3"/>
    <x v="4"/>
    <n v="3"/>
    <n v="8412.74"/>
    <x v="5"/>
    <n v="23976.32"/>
    <n v="17196.72"/>
    <n v="6779.6"/>
    <s v="Corporate"/>
    <s v="Net Banking"/>
  </r>
  <r>
    <s v="ORD11036"/>
    <x v="211"/>
    <x v="3"/>
    <s v="Punjab"/>
    <x v="7"/>
    <x v="2"/>
    <x v="16"/>
    <n v="1"/>
    <n v="41700.050000000003"/>
    <x v="1"/>
    <n v="37530.04"/>
    <n v="30727.13"/>
    <n v="6802.91"/>
    <s v="Retail"/>
    <s v="Debit Card"/>
  </r>
  <r>
    <s v="ORD10154"/>
    <x v="62"/>
    <x v="3"/>
    <s v="Punjab"/>
    <x v="4"/>
    <x v="0"/>
    <x v="8"/>
    <n v="3"/>
    <n v="15101.67"/>
    <x v="0"/>
    <n v="38509.269999999997"/>
    <n v="31705.46"/>
    <n v="6803.81"/>
    <s v="Online"/>
    <s v="UPI"/>
  </r>
  <r>
    <s v="ORD10238"/>
    <x v="55"/>
    <x v="1"/>
    <s v="Andhra Pradesh"/>
    <x v="6"/>
    <x v="2"/>
    <x v="3"/>
    <n v="5"/>
    <n v="4806.54"/>
    <x v="4"/>
    <n v="22110.080000000002"/>
    <n v="15282.81"/>
    <n v="6827.27"/>
    <s v="Online"/>
    <s v="Credit Card"/>
  </r>
  <r>
    <s v="ORD10766"/>
    <x v="212"/>
    <x v="2"/>
    <s v="Goa"/>
    <x v="4"/>
    <x v="1"/>
    <x v="12"/>
    <n v="1"/>
    <n v="27870.63"/>
    <x v="5"/>
    <n v="26477.1"/>
    <n v="19629.97"/>
    <n v="6847.13"/>
    <s v="Online"/>
    <s v="Credit Card"/>
  </r>
  <r>
    <s v="ORD10704"/>
    <x v="69"/>
    <x v="3"/>
    <s v="Punjab"/>
    <x v="6"/>
    <x v="2"/>
    <x v="3"/>
    <n v="4"/>
    <n v="5382.28"/>
    <x v="3"/>
    <n v="20883.259999999998"/>
    <n v="14027"/>
    <n v="6856.26"/>
    <s v="Retail"/>
    <s v="Net Banking"/>
  </r>
  <r>
    <s v="ORD10850"/>
    <x v="213"/>
    <x v="2"/>
    <s v="Rajasthan"/>
    <x v="2"/>
    <x v="1"/>
    <x v="2"/>
    <n v="6"/>
    <n v="4231.2299999999996"/>
    <x v="5"/>
    <n v="24118.03"/>
    <n v="17259.25"/>
    <n v="6858.78"/>
    <s v="Online"/>
    <s v="Debit Card"/>
  </r>
  <r>
    <s v="ORD10319"/>
    <x v="14"/>
    <x v="1"/>
    <s v="Unknown"/>
    <x v="7"/>
    <x v="1"/>
    <x v="11"/>
    <n v="1"/>
    <n v="22600.78"/>
    <x v="4"/>
    <n v="20792.72"/>
    <n v="13909.62"/>
    <n v="6883.1"/>
    <s v="Retail"/>
    <s v="Net Banking"/>
  </r>
  <r>
    <s v="ORD10169"/>
    <x v="26"/>
    <x v="2"/>
    <s v="Goa"/>
    <x v="1"/>
    <x v="3"/>
    <x v="4"/>
    <n v="4"/>
    <n v="8668.08"/>
    <x v="2"/>
    <n v="34672.31"/>
    <n v="27781.71"/>
    <n v="6890.6"/>
    <s v="Corporate"/>
    <s v="Net Banking"/>
  </r>
  <r>
    <s v="ORD10079"/>
    <x v="214"/>
    <x v="1"/>
    <s v="Karnataka"/>
    <x v="1"/>
    <x v="1"/>
    <x v="2"/>
    <n v="7"/>
    <n v="4412.75"/>
    <x v="5"/>
    <n v="29344.799999999999"/>
    <n v="22447.3"/>
    <n v="6897.5"/>
    <s v="Online"/>
    <s v="Cash"/>
  </r>
  <r>
    <s v="ORD11182"/>
    <x v="183"/>
    <x v="2"/>
    <s v="Gujarat"/>
    <x v="7"/>
    <x v="2"/>
    <x v="3"/>
    <n v="4"/>
    <n v="5207.13"/>
    <x v="3"/>
    <n v="20203.66"/>
    <n v="13258.89"/>
    <n v="6944.77"/>
    <s v="Retail"/>
    <s v="Cash"/>
  </r>
  <r>
    <s v="ORD10736"/>
    <x v="215"/>
    <x v="3"/>
    <s v="Haryana"/>
    <x v="1"/>
    <x v="3"/>
    <x v="4"/>
    <n v="3"/>
    <n v="8555.43"/>
    <x v="0"/>
    <n v="21816.35"/>
    <n v="14862.25"/>
    <n v="6954.1"/>
    <s v="Online"/>
    <s v="Net Banking"/>
  </r>
  <r>
    <s v="ORD11020"/>
    <x v="208"/>
    <x v="0"/>
    <s v="West Bengal"/>
    <x v="4"/>
    <x v="2"/>
    <x v="17"/>
    <n v="1"/>
    <n v="50746.8"/>
    <x v="1"/>
    <n v="45672.12"/>
    <n v="38693.870000000003"/>
    <n v="6978.25"/>
    <s v="Retail"/>
    <s v="Net Banking"/>
  </r>
  <r>
    <s v="ORD10142"/>
    <x v="96"/>
    <x v="1"/>
    <s v="Telangana"/>
    <x v="5"/>
    <x v="1"/>
    <x v="2"/>
    <n v="5"/>
    <n v="4374.1400000000003"/>
    <x v="4"/>
    <n v="20121.03"/>
    <n v="13107.03"/>
    <n v="7014"/>
    <s v="Retail"/>
    <s v="Debit Card"/>
  </r>
  <r>
    <s v="ORD10351"/>
    <x v="21"/>
    <x v="0"/>
    <s v="Jharkhand"/>
    <x v="7"/>
    <x v="1"/>
    <x v="11"/>
    <n v="2"/>
    <n v="22223.15"/>
    <x v="4"/>
    <n v="40890.6"/>
    <n v="33835.5"/>
    <n v="7055.1"/>
    <s v="Retail"/>
    <s v="Net Banking"/>
  </r>
  <r>
    <s v="ORD10281"/>
    <x v="13"/>
    <x v="0"/>
    <s v="Jharkhand"/>
    <x v="5"/>
    <x v="0"/>
    <x v="8"/>
    <n v="3"/>
    <n v="15541.51"/>
    <x v="4"/>
    <n v="42894.55"/>
    <n v="35819.440000000002"/>
    <n v="7075.11"/>
    <s v="Online"/>
    <s v="Cash"/>
  </r>
  <r>
    <s v="ORD10653"/>
    <x v="41"/>
    <x v="0"/>
    <s v="Jharkhand"/>
    <x v="7"/>
    <x v="1"/>
    <x v="2"/>
    <n v="5"/>
    <n v="4817.3"/>
    <x v="2"/>
    <n v="24086.48"/>
    <n v="16969.78"/>
    <n v="7116.7"/>
    <s v="Retail"/>
    <s v="UPI"/>
  </r>
  <r>
    <s v="ORD10449"/>
    <x v="78"/>
    <x v="1"/>
    <s v="Karnataka"/>
    <x v="6"/>
    <x v="2"/>
    <x v="16"/>
    <n v="1"/>
    <n v="44936.160000000003"/>
    <x v="0"/>
    <n v="38195.730000000003"/>
    <n v="30982.71"/>
    <n v="7213.02"/>
    <s v="Retail"/>
    <s v="UPI"/>
  </r>
  <r>
    <s v="ORD10341"/>
    <x v="216"/>
    <x v="0"/>
    <s v="West Bengal"/>
    <x v="7"/>
    <x v="0"/>
    <x v="5"/>
    <n v="4"/>
    <n v="8482.07"/>
    <x v="4"/>
    <n v="31214.01"/>
    <n v="24000.880000000001"/>
    <n v="7213.13"/>
    <s v="Retail"/>
    <s v="Net Banking"/>
  </r>
  <r>
    <s v="ORD10475"/>
    <x v="217"/>
    <x v="0"/>
    <s v="Jharkhand"/>
    <x v="7"/>
    <x v="0"/>
    <x v="9"/>
    <n v="3"/>
    <n v="14309.91"/>
    <x v="3"/>
    <n v="41641.82"/>
    <n v="34409.599999999999"/>
    <n v="7232.22"/>
    <s v="Corporate"/>
    <s v="Net Banking"/>
  </r>
  <r>
    <s v="ORD10724"/>
    <x v="218"/>
    <x v="2"/>
    <s v="Rajasthan"/>
    <x v="4"/>
    <x v="1"/>
    <x v="12"/>
    <n v="1"/>
    <n v="28774.78"/>
    <x v="1"/>
    <n v="25897.3"/>
    <n v="18641.38"/>
    <n v="7255.92"/>
    <s v="Retail"/>
    <s v="Debit Card"/>
  </r>
  <r>
    <s v="ORD10913"/>
    <x v="219"/>
    <x v="1"/>
    <s v="Tamil Nadu"/>
    <x v="2"/>
    <x v="3"/>
    <x v="4"/>
    <n v="7"/>
    <n v="8112.56"/>
    <x v="1"/>
    <n v="51109.15"/>
    <n v="43795.42"/>
    <n v="7313.73"/>
    <s v="Retail"/>
    <s v="Cash"/>
  </r>
  <r>
    <s v="ORD10689"/>
    <x v="61"/>
    <x v="0"/>
    <s v="Jharkhand"/>
    <x v="2"/>
    <x v="1"/>
    <x v="12"/>
    <n v="1"/>
    <n v="30211.34"/>
    <x v="5"/>
    <n v="28700.78"/>
    <n v="21377.14"/>
    <n v="7323.64"/>
    <s v="Online"/>
    <s v="Credit Card"/>
  </r>
  <r>
    <s v="ORD10525"/>
    <x v="153"/>
    <x v="2"/>
    <s v="Rajasthan"/>
    <x v="0"/>
    <x v="2"/>
    <x v="7"/>
    <n v="2"/>
    <n v="12420.93"/>
    <x v="3"/>
    <n v="24096.6"/>
    <n v="16768.62"/>
    <n v="7327.98"/>
    <s v="Retail"/>
    <s v="Net Banking"/>
  </r>
  <r>
    <s v="ORD10941"/>
    <x v="17"/>
    <x v="1"/>
    <s v="Andhra Pradesh"/>
    <x v="6"/>
    <x v="3"/>
    <x v="4"/>
    <n v="4"/>
    <n v="7946.52"/>
    <x v="4"/>
    <n v="29243.200000000001"/>
    <n v="21865.38"/>
    <n v="7377.82"/>
    <s v="Online"/>
    <s v="Debit Card"/>
  </r>
  <r>
    <s v="ORD10582"/>
    <x v="62"/>
    <x v="3"/>
    <s v="Delhi"/>
    <x v="4"/>
    <x v="1"/>
    <x v="12"/>
    <n v="1"/>
    <n v="30545.68"/>
    <x v="3"/>
    <n v="29629.31"/>
    <n v="22250.44"/>
    <n v="7378.87"/>
    <s v="Online"/>
    <s v="Net Banking"/>
  </r>
  <r>
    <s v="ORD10322"/>
    <x v="52"/>
    <x v="3"/>
    <s v="Haryana"/>
    <x v="2"/>
    <x v="1"/>
    <x v="12"/>
    <n v="1"/>
    <n v="32019.68"/>
    <x v="4"/>
    <n v="29458.11"/>
    <n v="22070.01"/>
    <n v="7388.1"/>
    <s v="Online"/>
    <s v="Cash"/>
  </r>
  <r>
    <s v="ORD10404"/>
    <x v="38"/>
    <x v="1"/>
    <s v="Karnataka"/>
    <x v="6"/>
    <x v="1"/>
    <x v="2"/>
    <n v="5"/>
    <n v="4822.74"/>
    <x v="3"/>
    <n v="23390.29"/>
    <n v="15986.88"/>
    <n v="7403.41"/>
    <s v="Retail"/>
    <s v="UPI"/>
  </r>
  <r>
    <s v="ORD11181"/>
    <x v="63"/>
    <x v="3"/>
    <s v="Punjab"/>
    <x v="4"/>
    <x v="3"/>
    <x v="4"/>
    <n v="3"/>
    <n v="8513.69"/>
    <x v="3"/>
    <n v="24774.85"/>
    <n v="17352.96"/>
    <n v="7421.89"/>
    <s v="Corporate"/>
    <s v="Cash"/>
  </r>
  <r>
    <s v="ORD10031"/>
    <x v="220"/>
    <x v="1"/>
    <s v="Telangana"/>
    <x v="5"/>
    <x v="1"/>
    <x v="2"/>
    <n v="7"/>
    <n v="4201.45"/>
    <x v="2"/>
    <n v="29410.15"/>
    <n v="21984.83"/>
    <n v="7425.32"/>
    <s v="Corporate"/>
    <s v="Net Banking"/>
  </r>
  <r>
    <s v="ORD10953"/>
    <x v="221"/>
    <x v="1"/>
    <s v="Andhra Pradesh"/>
    <x v="1"/>
    <x v="2"/>
    <x v="3"/>
    <n v="8"/>
    <n v="4739.3500000000004"/>
    <x v="4"/>
    <n v="34881.599999999999"/>
    <n v="27447.14"/>
    <n v="7434.46"/>
    <s v="Corporate"/>
    <s v="Debit Card"/>
  </r>
  <r>
    <s v="ORD10905"/>
    <x v="143"/>
    <x v="3"/>
    <s v="Punjab"/>
    <x v="0"/>
    <x v="2"/>
    <x v="7"/>
    <n v="4"/>
    <n v="12286.23"/>
    <x v="5"/>
    <n v="46687.69"/>
    <n v="39222.5"/>
    <n v="7465.19"/>
    <s v="Retail"/>
    <s v="Credit Card"/>
  </r>
  <r>
    <s v="ORD10605"/>
    <x v="222"/>
    <x v="2"/>
    <s v="Maharashtra"/>
    <x v="1"/>
    <x v="1"/>
    <x v="2"/>
    <n v="8"/>
    <n v="4851.37"/>
    <x v="5"/>
    <n v="36870.410000000003"/>
    <n v="29342.47"/>
    <n v="7527.94"/>
    <s v="Retail"/>
    <s v="Debit Card"/>
  </r>
  <r>
    <s v="ORD10940"/>
    <x v="223"/>
    <x v="3"/>
    <s v="Haryana"/>
    <x v="2"/>
    <x v="3"/>
    <x v="6"/>
    <n v="4"/>
    <n v="10545.19"/>
    <x v="5"/>
    <n v="40071.72"/>
    <n v="32501.56"/>
    <n v="7570.16"/>
    <s v="Corporate"/>
    <s v="Debit Card"/>
  </r>
  <r>
    <s v="ORD10573"/>
    <x v="113"/>
    <x v="2"/>
    <s v="Goa"/>
    <x v="1"/>
    <x v="2"/>
    <x v="3"/>
    <n v="8"/>
    <n v="5328.9"/>
    <x v="1"/>
    <n v="38368.050000000003"/>
    <n v="30786.84"/>
    <n v="7581.21"/>
    <s v="Corporate"/>
    <s v="Credit Card"/>
  </r>
  <r>
    <s v="ORD10627"/>
    <x v="224"/>
    <x v="3"/>
    <s v="Delhi"/>
    <x v="6"/>
    <x v="0"/>
    <x v="5"/>
    <n v="6"/>
    <n v="8981.82"/>
    <x v="4"/>
    <n v="49579.64"/>
    <n v="41998.16"/>
    <n v="7581.48"/>
    <s v="Corporate"/>
    <s v="Debit Card"/>
  </r>
  <r>
    <s v="ORD11162"/>
    <x v="225"/>
    <x v="1"/>
    <s v="Telangana"/>
    <x v="3"/>
    <x v="2"/>
    <x v="15"/>
    <n v="1"/>
    <n v="35546.06"/>
    <x v="1"/>
    <n v="31991.46"/>
    <n v="24366.639999999999"/>
    <n v="7624.82"/>
    <s v="Corporate"/>
    <s v="UPI"/>
  </r>
  <r>
    <s v="ORD10829"/>
    <x v="105"/>
    <x v="3"/>
    <s v="Delhi"/>
    <x v="0"/>
    <x v="1"/>
    <x v="12"/>
    <n v="1"/>
    <n v="30322.22"/>
    <x v="5"/>
    <n v="28806.11"/>
    <n v="21145.74"/>
    <n v="7660.37"/>
    <s v="Corporate"/>
    <s v="Cash"/>
  </r>
  <r>
    <s v="ORD10804"/>
    <x v="42"/>
    <x v="1"/>
    <s v="Telangana"/>
    <x v="7"/>
    <x v="3"/>
    <x v="4"/>
    <n v="6"/>
    <n v="8815.35"/>
    <x v="5"/>
    <n v="50247.48"/>
    <n v="42549.17"/>
    <n v="7698.31"/>
    <s v="Retail"/>
    <s v="UPI"/>
  </r>
  <r>
    <s v="ORD10924"/>
    <x v="61"/>
    <x v="2"/>
    <s v="Gujarat"/>
    <x v="7"/>
    <x v="0"/>
    <x v="9"/>
    <n v="2"/>
    <n v="14761.07"/>
    <x v="0"/>
    <n v="25093.82"/>
    <n v="17320.41"/>
    <n v="7773.41"/>
    <s v="Online"/>
    <s v="Debit Card"/>
  </r>
  <r>
    <s v="ORD10147"/>
    <x v="171"/>
    <x v="1"/>
    <s v="Telangana"/>
    <x v="1"/>
    <x v="2"/>
    <x v="7"/>
    <n v="2"/>
    <n v="11697.89"/>
    <x v="5"/>
    <n v="22226"/>
    <n v="14450.86"/>
    <n v="7775.14"/>
    <s v="Retail"/>
    <s v="Credit Card"/>
  </r>
  <r>
    <s v="ORD10599"/>
    <x v="27"/>
    <x v="1"/>
    <s v="Telangana"/>
    <x v="0"/>
    <x v="2"/>
    <x v="3"/>
    <n v="6"/>
    <n v="5191.1400000000003"/>
    <x v="2"/>
    <n v="31146.87"/>
    <n v="23356.95"/>
    <n v="7789.92"/>
    <s v="Corporate"/>
    <s v="Credit Card"/>
  </r>
  <r>
    <s v="ORD10135"/>
    <x v="151"/>
    <x v="2"/>
    <s v="Rajasthan"/>
    <x v="6"/>
    <x v="1"/>
    <x v="10"/>
    <n v="2"/>
    <n v="17823.189999999999"/>
    <x v="4"/>
    <n v="32794.67"/>
    <n v="25002.23"/>
    <n v="7792.44"/>
    <s v="Retail"/>
    <s v="Cash"/>
  </r>
  <r>
    <s v="ORD10538"/>
    <x v="188"/>
    <x v="1"/>
    <s v="Tamil Nadu"/>
    <x v="1"/>
    <x v="1"/>
    <x v="10"/>
    <n v="3"/>
    <n v="19266.98"/>
    <x v="5"/>
    <n v="54910.9"/>
    <n v="47066.87"/>
    <n v="7844.03"/>
    <s v="Retail"/>
    <s v="Cash"/>
  </r>
  <r>
    <s v="ORD10856"/>
    <x v="211"/>
    <x v="0"/>
    <s v="Jharkhand"/>
    <x v="7"/>
    <x v="1"/>
    <x v="10"/>
    <n v="3"/>
    <n v="19313.990000000002"/>
    <x v="4"/>
    <n v="53306.61"/>
    <n v="45454.21"/>
    <n v="7852.4"/>
    <s v="Online"/>
    <s v="UPI"/>
  </r>
  <r>
    <s v="ORD10318"/>
    <x v="221"/>
    <x v="1"/>
    <s v="Tamil Nadu"/>
    <x v="2"/>
    <x v="1"/>
    <x v="10"/>
    <n v="3"/>
    <n v="16802.79"/>
    <x v="1"/>
    <n v="45367.53"/>
    <n v="37506.1"/>
    <n v="7861.43"/>
    <s v="Corporate"/>
    <s v="UPI"/>
  </r>
  <r>
    <s v="ORD10338"/>
    <x v="145"/>
    <x v="3"/>
    <s v="Uttar Pradesh"/>
    <x v="5"/>
    <x v="3"/>
    <x v="13"/>
    <n v="1"/>
    <n v="32312.2"/>
    <x v="5"/>
    <n v="30696.59"/>
    <n v="22813.96"/>
    <n v="7882.63"/>
    <s v="Retail"/>
    <s v="Cash"/>
  </r>
  <r>
    <s v="ORD10533"/>
    <x v="55"/>
    <x v="1"/>
    <s v="Tamil Nadu"/>
    <x v="7"/>
    <x v="2"/>
    <x v="7"/>
    <n v="3"/>
    <n v="12701.9"/>
    <x v="5"/>
    <n v="36200.410000000003"/>
    <n v="28300.36"/>
    <n v="7900.05"/>
    <s v="Corporate"/>
    <s v="Net Banking"/>
  </r>
  <r>
    <s v="ORD10424"/>
    <x v="68"/>
    <x v="1"/>
    <s v="Tamil Nadu"/>
    <x v="1"/>
    <x v="1"/>
    <x v="11"/>
    <n v="1"/>
    <n v="22191.34"/>
    <x v="2"/>
    <n v="22191.34"/>
    <n v="14249.14"/>
    <n v="7942.2"/>
    <s v="Online"/>
    <s v="Debit Card"/>
  </r>
  <r>
    <s v="ORD10062"/>
    <x v="226"/>
    <x v="2"/>
    <s v="Gujarat"/>
    <x v="5"/>
    <x v="1"/>
    <x v="2"/>
    <n v="6"/>
    <n v="4226.8599999999997"/>
    <x v="5"/>
    <n v="24093.09"/>
    <n v="16130.81"/>
    <n v="7962.28"/>
    <s v="Retail"/>
    <s v="Credit Card"/>
  </r>
  <r>
    <s v="ORD11090"/>
    <x v="227"/>
    <x v="0"/>
    <s v="Odisha"/>
    <x v="4"/>
    <x v="3"/>
    <x v="4"/>
    <n v="5"/>
    <n v="7917.17"/>
    <x v="2"/>
    <n v="39585.870000000003"/>
    <n v="31616.98"/>
    <n v="7968.89"/>
    <s v="Retail"/>
    <s v="Net Banking"/>
  </r>
  <r>
    <s v="ORD10830"/>
    <x v="2"/>
    <x v="1"/>
    <s v="Telangana"/>
    <x v="1"/>
    <x v="0"/>
    <x v="9"/>
    <n v="2"/>
    <n v="14840.83"/>
    <x v="5"/>
    <n v="28197.58"/>
    <n v="20208.25"/>
    <n v="7989.33"/>
    <s v="Retail"/>
    <s v="UPI"/>
  </r>
  <r>
    <s v="ORD10414"/>
    <x v="108"/>
    <x v="0"/>
    <s v="Jharkhand"/>
    <x v="1"/>
    <x v="2"/>
    <x v="3"/>
    <n v="7"/>
    <n v="5151.2700000000004"/>
    <x v="1"/>
    <n v="32453"/>
    <n v="24452.87"/>
    <n v="8000.13"/>
    <s v="Corporate"/>
    <s v="Credit Card"/>
  </r>
  <r>
    <s v="ORD10167"/>
    <x v="228"/>
    <x v="2"/>
    <s v="Rajasthan"/>
    <x v="2"/>
    <x v="1"/>
    <x v="10"/>
    <n v="2"/>
    <n v="19317.96"/>
    <x v="3"/>
    <n v="37476.839999999997"/>
    <n v="29441.85"/>
    <n v="8034.99"/>
    <s v="Corporate"/>
    <s v="UPI"/>
  </r>
  <r>
    <s v="ORD10773"/>
    <x v="128"/>
    <x v="0"/>
    <s v="Bihar"/>
    <x v="1"/>
    <x v="2"/>
    <x v="3"/>
    <n v="8"/>
    <n v="4777.67"/>
    <x v="1"/>
    <n v="34399.19"/>
    <n v="26349.919999999998"/>
    <n v="8049.27"/>
    <s v="Retail"/>
    <s v="Cash"/>
  </r>
  <r>
    <s v="ORD10359"/>
    <x v="229"/>
    <x v="0"/>
    <s v="Jharkhand"/>
    <x v="7"/>
    <x v="0"/>
    <x v="9"/>
    <n v="3"/>
    <n v="12947.26"/>
    <x v="1"/>
    <n v="34957.599999999999"/>
    <n v="26897.47"/>
    <n v="8060.13"/>
    <s v="Corporate"/>
    <s v="Cash"/>
  </r>
  <r>
    <s v="ORD10734"/>
    <x v="205"/>
    <x v="0"/>
    <s v="Bihar"/>
    <x v="4"/>
    <x v="3"/>
    <x v="14"/>
    <n v="1"/>
    <n v="30941.94"/>
    <x v="5"/>
    <n v="29394.85"/>
    <n v="21319.11"/>
    <n v="8075.74"/>
    <s v="Retail"/>
    <s v="Credit Card"/>
  </r>
  <r>
    <s v="ORD10895"/>
    <x v="230"/>
    <x v="3"/>
    <s v="Punjab"/>
    <x v="1"/>
    <x v="1"/>
    <x v="2"/>
    <n v="7"/>
    <n v="4329.54"/>
    <x v="5"/>
    <n v="28791.42"/>
    <n v="20693.509999999998"/>
    <n v="8097.91"/>
    <s v="Retail"/>
    <s v="Credit Card"/>
  </r>
  <r>
    <s v="ORD11101"/>
    <x v="10"/>
    <x v="0"/>
    <s v="West Bengal"/>
    <x v="2"/>
    <x v="2"/>
    <x v="7"/>
    <n v="2"/>
    <n v="12182.78"/>
    <x v="4"/>
    <n v="22416.32"/>
    <n v="14241.96"/>
    <n v="8174.36"/>
    <s v="Retail"/>
    <s v="Debit Card"/>
  </r>
  <r>
    <s v="ORD10150"/>
    <x v="231"/>
    <x v="0"/>
    <s v="West Bengal"/>
    <x v="1"/>
    <x v="1"/>
    <x v="2"/>
    <n v="8"/>
    <n v="4608.8900000000003"/>
    <x v="2"/>
    <n v="36871.1"/>
    <n v="28681.4"/>
    <n v="8189.7"/>
    <s v="Retail"/>
    <s v="UPI"/>
  </r>
  <r>
    <s v="ORD11169"/>
    <x v="232"/>
    <x v="3"/>
    <s v="Haryana"/>
    <x v="4"/>
    <x v="1"/>
    <x v="11"/>
    <n v="2"/>
    <n v="23161.45"/>
    <x v="3"/>
    <n v="44933.21"/>
    <n v="36731.440000000002"/>
    <n v="8201.77"/>
    <s v="Online"/>
    <s v="Net Banking"/>
  </r>
  <r>
    <s v="ORD10432"/>
    <x v="179"/>
    <x v="0"/>
    <s v="Odisha"/>
    <x v="5"/>
    <x v="2"/>
    <x v="3"/>
    <n v="5"/>
    <n v="4616.75"/>
    <x v="3"/>
    <n v="22391.22"/>
    <n v="14188.23"/>
    <n v="8202.99"/>
    <s v="Online"/>
    <s v="UPI"/>
  </r>
  <r>
    <s v="ORD10723"/>
    <x v="106"/>
    <x v="1"/>
    <s v="Tamil Nadu"/>
    <x v="5"/>
    <x v="1"/>
    <x v="2"/>
    <n v="6"/>
    <n v="4743.6099999999997"/>
    <x v="4"/>
    <n v="26184.75"/>
    <n v="17965.439999999999"/>
    <n v="8219.31"/>
    <s v="Retail"/>
    <s v="Cash"/>
  </r>
  <r>
    <s v="ORD10203"/>
    <x v="136"/>
    <x v="0"/>
    <s v="Bihar"/>
    <x v="0"/>
    <x v="0"/>
    <x v="9"/>
    <n v="2"/>
    <n v="14790.11"/>
    <x v="3"/>
    <n v="28692.81"/>
    <n v="20385.080000000002"/>
    <n v="8307.73"/>
    <s v="Retail"/>
    <s v="UPI"/>
  </r>
  <r>
    <s v="ORD10295"/>
    <x v="233"/>
    <x v="2"/>
    <s v="Maharashtra"/>
    <x v="2"/>
    <x v="0"/>
    <x v="5"/>
    <n v="4"/>
    <n v="8996.4599999999991"/>
    <x v="3"/>
    <n v="34906.25"/>
    <n v="26594.07"/>
    <n v="8312.18"/>
    <s v="Retail"/>
    <s v="Net Banking"/>
  </r>
  <r>
    <s v="ORD11082"/>
    <x v="136"/>
    <x v="2"/>
    <s v="Rajasthan"/>
    <x v="6"/>
    <x v="3"/>
    <x v="4"/>
    <n v="3"/>
    <n v="8909.3700000000008"/>
    <x v="5"/>
    <n v="25391.71"/>
    <n v="17035.89"/>
    <n v="8355.82"/>
    <s v="Online"/>
    <s v="Debit Card"/>
  </r>
  <r>
    <s v="ORD11002"/>
    <x v="234"/>
    <x v="3"/>
    <s v="Haryana"/>
    <x v="7"/>
    <x v="3"/>
    <x v="13"/>
    <n v="1"/>
    <n v="29809.85"/>
    <x v="5"/>
    <n v="28319.360000000001"/>
    <n v="19957.25"/>
    <n v="8362.11"/>
    <s v="Online"/>
    <s v="Cash"/>
  </r>
  <r>
    <s v="ORD10366"/>
    <x v="148"/>
    <x v="2"/>
    <s v="Gujarat"/>
    <x v="6"/>
    <x v="2"/>
    <x v="3"/>
    <n v="8"/>
    <n v="5124.84"/>
    <x v="5"/>
    <n v="38948.81"/>
    <n v="30570.51"/>
    <n v="8378.2999999999993"/>
    <s v="Retail"/>
    <s v="Credit Card"/>
  </r>
  <r>
    <s v="ORD10762"/>
    <x v="74"/>
    <x v="4"/>
    <s v="West Bengal"/>
    <x v="0"/>
    <x v="3"/>
    <x v="18"/>
    <n v="1"/>
    <n v="29664.55"/>
    <x v="5"/>
    <n v="28181.32"/>
    <n v="19792.080000000002"/>
    <n v="8389.24"/>
    <s v="Online"/>
    <s v="Cash"/>
  </r>
  <r>
    <s v="ORD10036"/>
    <x v="11"/>
    <x v="1"/>
    <s v="Karnataka"/>
    <x v="2"/>
    <x v="0"/>
    <x v="5"/>
    <n v="4"/>
    <n v="8819.44"/>
    <x v="4"/>
    <n v="32455.55"/>
    <n v="24041.54"/>
    <n v="8414.01"/>
    <s v="Corporate"/>
    <s v="Cash"/>
  </r>
  <r>
    <s v="ORD10036"/>
    <x v="11"/>
    <x v="1"/>
    <s v="Karnataka"/>
    <x v="2"/>
    <x v="0"/>
    <x v="5"/>
    <n v="4"/>
    <n v="8819.44"/>
    <x v="4"/>
    <n v="32455.55"/>
    <n v="24041.54"/>
    <n v="8414.01"/>
    <s v="Corporate"/>
    <s v="Cash"/>
  </r>
  <r>
    <s v="ORD10658"/>
    <x v="223"/>
    <x v="0"/>
    <s v="Bihar"/>
    <x v="2"/>
    <x v="0"/>
    <x v="8"/>
    <n v="4"/>
    <n v="15458.65"/>
    <x v="1"/>
    <n v="55651.15"/>
    <n v="47168.11"/>
    <n v="8483.0400000000009"/>
    <s v="Online"/>
    <s v="Credit Card"/>
  </r>
  <r>
    <s v="ORD10746"/>
    <x v="179"/>
    <x v="3"/>
    <s v="Delhi"/>
    <x v="7"/>
    <x v="1"/>
    <x v="12"/>
    <n v="1"/>
    <n v="29139.52"/>
    <x v="1"/>
    <n v="26225.57"/>
    <n v="17723.669999999998"/>
    <n v="8501.9"/>
    <s v="Retail"/>
    <s v="Debit Card"/>
  </r>
  <r>
    <s v="ORD10049"/>
    <x v="235"/>
    <x v="2"/>
    <s v="Goa"/>
    <x v="0"/>
    <x v="3"/>
    <x v="4"/>
    <n v="7"/>
    <n v="9031.9500000000007"/>
    <x v="5"/>
    <n v="60062.5"/>
    <n v="51552.34"/>
    <n v="8510.16"/>
    <s v="Retail"/>
    <s v="Debit Card"/>
  </r>
  <r>
    <s v="ORD10893"/>
    <x v="52"/>
    <x v="3"/>
    <s v="Haryana"/>
    <x v="0"/>
    <x v="1"/>
    <x v="11"/>
    <n v="2"/>
    <n v="22872.69"/>
    <x v="3"/>
    <n v="44373.02"/>
    <n v="35789.1"/>
    <n v="8583.92"/>
    <s v="Online"/>
    <s v="Credit Card"/>
  </r>
  <r>
    <s v="ORD10476"/>
    <x v="32"/>
    <x v="3"/>
    <s v="Haryana"/>
    <x v="6"/>
    <x v="0"/>
    <x v="8"/>
    <n v="2"/>
    <n v="14764.3"/>
    <x v="5"/>
    <n v="28052.18"/>
    <n v="19465.12"/>
    <n v="8587.06"/>
    <s v="Corporate"/>
    <s v="Cash"/>
  </r>
  <r>
    <s v="ORD10217"/>
    <x v="236"/>
    <x v="2"/>
    <s v="Rajasthan"/>
    <x v="7"/>
    <x v="2"/>
    <x v="17"/>
    <n v="1"/>
    <n v="44416.39"/>
    <x v="5"/>
    <n v="42195.57"/>
    <n v="33580.6"/>
    <n v="8614.9699999999993"/>
    <s v="Retail"/>
    <s v="Net Banking"/>
  </r>
  <r>
    <s v="ORD10173"/>
    <x v="2"/>
    <x v="2"/>
    <s v="Rajasthan"/>
    <x v="0"/>
    <x v="1"/>
    <x v="11"/>
    <n v="2"/>
    <n v="21027.119999999999"/>
    <x v="0"/>
    <n v="35746.11"/>
    <n v="27078.75"/>
    <n v="8667.36"/>
    <s v="Online"/>
    <s v="UPI"/>
  </r>
  <r>
    <s v="ORD10878"/>
    <x v="237"/>
    <x v="1"/>
    <s v="Karnataka"/>
    <x v="3"/>
    <x v="3"/>
    <x v="13"/>
    <n v="1"/>
    <n v="29558.5"/>
    <x v="4"/>
    <n v="27193.82"/>
    <n v="18490.93"/>
    <n v="8702.89"/>
    <s v="Online"/>
    <s v="Cash"/>
  </r>
  <r>
    <s v="ORD10697"/>
    <x v="238"/>
    <x v="0"/>
    <s v="Bihar"/>
    <x v="5"/>
    <x v="2"/>
    <x v="15"/>
    <n v="1"/>
    <n v="37262.589999999997"/>
    <x v="4"/>
    <n v="34281.58"/>
    <n v="25487.279999999999"/>
    <n v="8794.2999999999993"/>
    <s v="Online"/>
    <s v="Net Banking"/>
  </r>
  <r>
    <s v="ORD11116"/>
    <x v="134"/>
    <x v="2"/>
    <s v="Gujarat"/>
    <x v="6"/>
    <x v="3"/>
    <x v="6"/>
    <n v="3"/>
    <n v="11714.34"/>
    <x v="0"/>
    <n v="29871.57"/>
    <n v="21030.1"/>
    <n v="8841.4699999999993"/>
    <s v="Retail"/>
    <s v="Net Banking"/>
  </r>
  <r>
    <s v="ORD10007"/>
    <x v="214"/>
    <x v="1"/>
    <s v="Karnataka"/>
    <x v="3"/>
    <x v="3"/>
    <x v="18"/>
    <n v="1"/>
    <n v="27018.59"/>
    <x v="5"/>
    <n v="25667.66"/>
    <n v="16782.080000000002"/>
    <n v="8885.58"/>
    <s v="Retail"/>
    <s v="UPI"/>
  </r>
  <r>
    <s v="ORD11052"/>
    <x v="61"/>
    <x v="1"/>
    <s v="Telangana"/>
    <x v="0"/>
    <x v="1"/>
    <x v="2"/>
    <n v="8"/>
    <n v="4817.0200000000004"/>
    <x v="5"/>
    <n v="36609.39"/>
    <n v="27571.5"/>
    <n v="9037.89"/>
    <s v="Online"/>
    <s v="Cash"/>
  </r>
  <r>
    <s v="ORD10220"/>
    <x v="130"/>
    <x v="2"/>
    <s v="Gujarat"/>
    <x v="2"/>
    <x v="2"/>
    <x v="7"/>
    <n v="5"/>
    <n v="11686.73"/>
    <x v="3"/>
    <n v="56680.66"/>
    <n v="47632.72"/>
    <n v="9047.94"/>
    <s v="Online"/>
    <s v="Net Banking"/>
  </r>
  <r>
    <s v="ORD10350"/>
    <x v="239"/>
    <x v="1"/>
    <s v="Tamil Nadu"/>
    <x v="5"/>
    <x v="3"/>
    <x v="4"/>
    <n v="3"/>
    <n v="8372.18"/>
    <x v="2"/>
    <n v="25116.53"/>
    <n v="16055.83"/>
    <n v="9060.7000000000007"/>
    <s v="Retail"/>
    <s v="Credit Card"/>
  </r>
  <r>
    <s v="ORD10729"/>
    <x v="240"/>
    <x v="3"/>
    <s v="Haryana"/>
    <x v="0"/>
    <x v="3"/>
    <x v="6"/>
    <n v="3"/>
    <n v="10680.48"/>
    <x v="4"/>
    <n v="29478.11"/>
    <n v="20311.96"/>
    <n v="9166.15"/>
    <s v="Retail"/>
    <s v="Credit Card"/>
  </r>
  <r>
    <s v="ORD10600"/>
    <x v="130"/>
    <x v="3"/>
    <s v="Punjab"/>
    <x v="7"/>
    <x v="0"/>
    <x v="8"/>
    <n v="2"/>
    <n v="14859.61"/>
    <x v="2"/>
    <n v="29719.22"/>
    <n v="20501.5"/>
    <n v="9217.7199999999993"/>
    <s v="Online"/>
    <s v="Credit Card"/>
  </r>
  <r>
    <s v="ORD10058"/>
    <x v="170"/>
    <x v="0"/>
    <s v="Odisha"/>
    <x v="6"/>
    <x v="1"/>
    <x v="10"/>
    <n v="2"/>
    <n v="17569.689999999999"/>
    <x v="4"/>
    <n v="32328.23"/>
    <n v="23086.84"/>
    <n v="9241.39"/>
    <s v="Retail"/>
    <s v="Credit Card"/>
  </r>
  <r>
    <s v="ORD10461"/>
    <x v="241"/>
    <x v="1"/>
    <s v="Andhra Pradesh"/>
    <x v="6"/>
    <x v="0"/>
    <x v="8"/>
    <n v="4"/>
    <n v="14777.68"/>
    <x v="5"/>
    <n v="56155.17"/>
    <n v="46899.56"/>
    <n v="9255.61"/>
    <s v="Retail"/>
    <s v="Net Banking"/>
  </r>
  <r>
    <s v="ORD10111"/>
    <x v="242"/>
    <x v="0"/>
    <s v="Bihar"/>
    <x v="7"/>
    <x v="3"/>
    <x v="6"/>
    <n v="6"/>
    <n v="11199.6"/>
    <x v="3"/>
    <n v="65181.7"/>
    <n v="55918.11"/>
    <n v="9263.59"/>
    <s v="Retail"/>
    <s v="Cash"/>
  </r>
  <r>
    <s v="ORD10996"/>
    <x v="243"/>
    <x v="3"/>
    <s v="Uttar Pradesh"/>
    <x v="6"/>
    <x v="1"/>
    <x v="19"/>
    <n v="1"/>
    <n v="61853"/>
    <x v="5"/>
    <n v="58760.35"/>
    <n v="49479.95"/>
    <n v="9280.4"/>
    <s v="Corporate"/>
    <s v="Credit Card"/>
  </r>
  <r>
    <s v="ORD10332"/>
    <x v="244"/>
    <x v="1"/>
    <s v="Karnataka"/>
    <x v="5"/>
    <x v="2"/>
    <x v="7"/>
    <n v="5"/>
    <n v="11836.29"/>
    <x v="4"/>
    <n v="54446.95"/>
    <n v="45144.82"/>
    <n v="9302.1299999999992"/>
    <s v="Corporate"/>
    <s v="Credit Card"/>
  </r>
  <r>
    <s v="ORD10452"/>
    <x v="245"/>
    <x v="2"/>
    <s v="Gujarat"/>
    <x v="7"/>
    <x v="3"/>
    <x v="4"/>
    <n v="5"/>
    <n v="8050.53"/>
    <x v="2"/>
    <n v="40252.629999999997"/>
    <n v="30922.35"/>
    <n v="9330.2800000000007"/>
    <s v="Corporate"/>
    <s v="Cash"/>
  </r>
  <r>
    <s v="ORD10554"/>
    <x v="206"/>
    <x v="3"/>
    <s v="Punjab"/>
    <x v="0"/>
    <x v="0"/>
    <x v="5"/>
    <n v="4"/>
    <n v="9269.5499999999993"/>
    <x v="1"/>
    <n v="33370.39"/>
    <n v="24032.49"/>
    <n v="9337.9"/>
    <s v="Retail"/>
    <s v="Credit Card"/>
  </r>
  <r>
    <s v="ORD11079"/>
    <x v="246"/>
    <x v="3"/>
    <s v="Uttar Pradesh"/>
    <x v="3"/>
    <x v="3"/>
    <x v="18"/>
    <n v="1"/>
    <n v="28796.85"/>
    <x v="5"/>
    <n v="27357.01"/>
    <n v="18018.72"/>
    <n v="9338.2900000000009"/>
    <s v="Retail"/>
    <s v="Net Banking"/>
  </r>
  <r>
    <s v="ORD10745"/>
    <x v="88"/>
    <x v="3"/>
    <s v="Punjab"/>
    <x v="6"/>
    <x v="0"/>
    <x v="5"/>
    <n v="4"/>
    <n v="8859.4500000000007"/>
    <x v="3"/>
    <n v="34374.65"/>
    <n v="24957.5"/>
    <n v="9417.15"/>
    <s v="Retail"/>
    <s v="Net Banking"/>
  </r>
  <r>
    <s v="ORD10026"/>
    <x v="26"/>
    <x v="0"/>
    <s v="West Bengal"/>
    <x v="7"/>
    <x v="1"/>
    <x v="2"/>
    <n v="7"/>
    <n v="4833.8100000000004"/>
    <x v="1"/>
    <n v="30452.98"/>
    <n v="21032.89"/>
    <n v="9420.09"/>
    <s v="Retail"/>
    <s v="Credit Card"/>
  </r>
  <r>
    <s v="ORD10026"/>
    <x v="26"/>
    <x v="0"/>
    <s v="West Bengal"/>
    <x v="7"/>
    <x v="1"/>
    <x v="2"/>
    <n v="7"/>
    <n v="4833.8100000000004"/>
    <x v="1"/>
    <n v="30452.98"/>
    <n v="21032.89"/>
    <n v="9420.09"/>
    <s v="Retail"/>
    <s v="Credit Card"/>
  </r>
  <r>
    <s v="ORD11000"/>
    <x v="12"/>
    <x v="1"/>
    <s v="Andhra Pradesh"/>
    <x v="2"/>
    <x v="3"/>
    <x v="13"/>
    <n v="1"/>
    <n v="29171.71"/>
    <x v="2"/>
    <n v="29171.71"/>
    <n v="19745.23"/>
    <n v="9426.48"/>
    <s v="Retail"/>
    <s v="Net Banking"/>
  </r>
  <r>
    <s v="ORD10504"/>
    <x v="247"/>
    <x v="3"/>
    <s v="Delhi"/>
    <x v="4"/>
    <x v="2"/>
    <x v="17"/>
    <n v="1"/>
    <n v="47468.99"/>
    <x v="3"/>
    <n v="46044.92"/>
    <n v="36560.89"/>
    <n v="9484.0300000000007"/>
    <s v="Online"/>
    <s v="Debit Card"/>
  </r>
  <r>
    <s v="ORD10473"/>
    <x v="248"/>
    <x v="1"/>
    <s v="Tamil Nadu"/>
    <x v="1"/>
    <x v="0"/>
    <x v="9"/>
    <n v="2"/>
    <n v="13425.6"/>
    <x v="3"/>
    <n v="26045.66"/>
    <n v="16546.400000000001"/>
    <n v="9499.26"/>
    <s v="Online"/>
    <s v="Debit Card"/>
  </r>
  <r>
    <s v="ORD10747"/>
    <x v="249"/>
    <x v="3"/>
    <s v="Punjab"/>
    <x v="0"/>
    <x v="0"/>
    <x v="9"/>
    <n v="4"/>
    <n v="14164.62"/>
    <x v="3"/>
    <n v="54958.73"/>
    <n v="45439.33"/>
    <n v="9519.4"/>
    <s v="Retail"/>
    <s v="Cash"/>
  </r>
  <r>
    <s v="ORD10242"/>
    <x v="228"/>
    <x v="2"/>
    <s v="Gujarat"/>
    <x v="6"/>
    <x v="2"/>
    <x v="15"/>
    <n v="1"/>
    <n v="37122.519999999997"/>
    <x v="5"/>
    <n v="35266.400000000001"/>
    <n v="25664.23"/>
    <n v="9602.17"/>
    <s v="Corporate"/>
    <s v="Credit Card"/>
  </r>
  <r>
    <s v="ORD10156"/>
    <x v="31"/>
    <x v="2"/>
    <s v="Rajasthan"/>
    <x v="3"/>
    <x v="3"/>
    <x v="4"/>
    <n v="4"/>
    <n v="9118.34"/>
    <x v="4"/>
    <n v="33555.480000000003"/>
    <n v="23865.26"/>
    <n v="9690.2199999999993"/>
    <s v="Online"/>
    <s v="Debit Card"/>
  </r>
  <r>
    <s v="ORD10182"/>
    <x v="188"/>
    <x v="1"/>
    <s v="Andhra Pradesh"/>
    <x v="4"/>
    <x v="1"/>
    <x v="10"/>
    <n v="2"/>
    <n v="17930.93"/>
    <x v="5"/>
    <n v="34068.769999999997"/>
    <n v="24348.07"/>
    <n v="9720.7000000000007"/>
    <s v="Online"/>
    <s v="Cash"/>
  </r>
  <r>
    <s v="ORD10683"/>
    <x v="184"/>
    <x v="3"/>
    <s v="Punjab"/>
    <x v="4"/>
    <x v="3"/>
    <x v="14"/>
    <n v="1"/>
    <n v="30807.89"/>
    <x v="3"/>
    <n v="29883.65"/>
    <n v="20158.23"/>
    <n v="9725.42"/>
    <s v="Retail"/>
    <s v="UPI"/>
  </r>
  <r>
    <s v="ORD11006"/>
    <x v="59"/>
    <x v="2"/>
    <s v="Maharashtra"/>
    <x v="5"/>
    <x v="2"/>
    <x v="3"/>
    <n v="6"/>
    <n v="4986.6499999999996"/>
    <x v="5"/>
    <n v="28423.9"/>
    <n v="18676.73"/>
    <n v="9747.17"/>
    <s v="Retail"/>
    <s v="UPI"/>
  </r>
  <r>
    <s v="ORD10792"/>
    <x v="250"/>
    <x v="1"/>
    <s v="Andhra Pradesh"/>
    <x v="0"/>
    <x v="0"/>
    <x v="8"/>
    <n v="2"/>
    <n v="14478.1"/>
    <x v="5"/>
    <n v="27508.39"/>
    <n v="17734.849999999999"/>
    <n v="9773.5400000000009"/>
    <s v="Retail"/>
    <s v="Cash"/>
  </r>
  <r>
    <s v="ORD10033"/>
    <x v="251"/>
    <x v="3"/>
    <s v="Haryana"/>
    <x v="1"/>
    <x v="0"/>
    <x v="8"/>
    <n v="2"/>
    <n v="15996.51"/>
    <x v="5"/>
    <n v="30393.37"/>
    <n v="20593"/>
    <n v="9800.3700000000008"/>
    <s v="Online"/>
    <s v="Cash"/>
  </r>
  <r>
    <s v="ORD10431"/>
    <x v="90"/>
    <x v="1"/>
    <s v="Karnataka"/>
    <x v="5"/>
    <x v="3"/>
    <x v="6"/>
    <n v="4"/>
    <n v="11405.19"/>
    <x v="5"/>
    <n v="43339.72"/>
    <n v="33537.65"/>
    <n v="9802.07"/>
    <s v="Online"/>
    <s v="Net Banking"/>
  </r>
  <r>
    <s v="ORD11102"/>
    <x v="36"/>
    <x v="0"/>
    <s v="West Bengal"/>
    <x v="6"/>
    <x v="0"/>
    <x v="9"/>
    <n v="3"/>
    <n v="14746.39"/>
    <x v="4"/>
    <n v="40700.03"/>
    <n v="30873.5"/>
    <n v="9826.5300000000007"/>
    <s v="Online"/>
    <s v="Net Banking"/>
  </r>
  <r>
    <s v="ORD10868"/>
    <x v="252"/>
    <x v="0"/>
    <s v="Bihar"/>
    <x v="6"/>
    <x v="0"/>
    <x v="8"/>
    <n v="5"/>
    <n v="14664.39"/>
    <x v="0"/>
    <n v="62323.65"/>
    <n v="52445.55"/>
    <n v="9878.1"/>
    <s v="Corporate"/>
    <s v="Credit Card"/>
  </r>
  <r>
    <s v="ORD10386"/>
    <x v="87"/>
    <x v="0"/>
    <s v="Bihar"/>
    <x v="7"/>
    <x v="3"/>
    <x v="18"/>
    <n v="2"/>
    <n v="27224.04"/>
    <x v="2"/>
    <n v="54448.08"/>
    <n v="44558.8"/>
    <n v="9889.2800000000007"/>
    <s v="Online"/>
    <s v="Credit Card"/>
  </r>
  <r>
    <s v="ORD10131"/>
    <x v="27"/>
    <x v="3"/>
    <s v="Delhi"/>
    <x v="2"/>
    <x v="1"/>
    <x v="10"/>
    <n v="4"/>
    <n v="17556.53"/>
    <x v="4"/>
    <n v="64608.02"/>
    <n v="54651.73"/>
    <n v="9956.2900000000009"/>
    <s v="Corporate"/>
    <s v="UPI"/>
  </r>
  <r>
    <s v="ORD10470"/>
    <x v="31"/>
    <x v="0"/>
    <s v="Bihar"/>
    <x v="2"/>
    <x v="2"/>
    <x v="7"/>
    <n v="6"/>
    <n v="11421.37"/>
    <x v="1"/>
    <n v="61675.41"/>
    <n v="51697.599999999999"/>
    <n v="9977.81"/>
    <s v="Online"/>
    <s v="Net Banking"/>
  </r>
  <r>
    <s v="ORD10450"/>
    <x v="253"/>
    <x v="3"/>
    <s v="Punjab"/>
    <x v="3"/>
    <x v="0"/>
    <x v="8"/>
    <n v="2"/>
    <n v="16027.32"/>
    <x v="2"/>
    <n v="32054.65"/>
    <n v="22073.35"/>
    <n v="9981.2999999999993"/>
    <s v="Retail"/>
    <s v="UPI"/>
  </r>
  <r>
    <s v="ORD10565"/>
    <x v="162"/>
    <x v="2"/>
    <s v="Gujarat"/>
    <x v="0"/>
    <x v="2"/>
    <x v="7"/>
    <n v="5"/>
    <n v="12287.15"/>
    <x v="1"/>
    <n v="55292.160000000003"/>
    <n v="45271.26"/>
    <n v="10020.9"/>
    <s v="Corporate"/>
    <s v="Credit Card"/>
  </r>
  <r>
    <s v="ORD10194"/>
    <x v="159"/>
    <x v="3"/>
    <s v="Delhi"/>
    <x v="5"/>
    <x v="0"/>
    <x v="8"/>
    <n v="4"/>
    <n v="14038.03"/>
    <x v="5"/>
    <n v="53344.5"/>
    <n v="43316.639999999999"/>
    <n v="10027.86"/>
    <s v="Online"/>
    <s v="Debit Card"/>
  </r>
  <r>
    <s v="ORD10254"/>
    <x v="195"/>
    <x v="0"/>
    <s v="West Bengal"/>
    <x v="3"/>
    <x v="3"/>
    <x v="4"/>
    <n v="6"/>
    <n v="8895.09"/>
    <x v="2"/>
    <n v="53370.559999999998"/>
    <n v="43262.74"/>
    <n v="10107.82"/>
    <s v="Corporate"/>
    <s v="Credit Card"/>
  </r>
  <r>
    <s v="ORD10030"/>
    <x v="135"/>
    <x v="1"/>
    <s v="Tamil Nadu"/>
    <x v="2"/>
    <x v="1"/>
    <x v="12"/>
    <n v="2"/>
    <n v="27746.400000000001"/>
    <x v="2"/>
    <n v="55492.800000000003"/>
    <n v="45361.15"/>
    <n v="10131.65"/>
    <s v="Corporate"/>
    <s v="Cash"/>
  </r>
  <r>
    <s v="ORD10663"/>
    <x v="27"/>
    <x v="0"/>
    <s v="Jharkhand"/>
    <x v="5"/>
    <x v="2"/>
    <x v="3"/>
    <n v="7"/>
    <n v="4879.1000000000004"/>
    <x v="1"/>
    <n v="30738.31"/>
    <n v="20582.2"/>
    <n v="10156.11"/>
    <s v="Online"/>
    <s v="Debit Card"/>
  </r>
  <r>
    <s v="ORD10287"/>
    <x v="75"/>
    <x v="2"/>
    <s v="Rajasthan"/>
    <x v="3"/>
    <x v="1"/>
    <x v="12"/>
    <n v="2"/>
    <n v="27668.11"/>
    <x v="1"/>
    <n v="49802.6"/>
    <n v="39628.400000000001"/>
    <n v="10174.200000000001"/>
    <s v="Online"/>
    <s v="Debit Card"/>
  </r>
  <r>
    <s v="ORD10391"/>
    <x v="153"/>
    <x v="3"/>
    <s v="Punjab"/>
    <x v="1"/>
    <x v="2"/>
    <x v="3"/>
    <n v="6"/>
    <n v="5052.55"/>
    <x v="3"/>
    <n v="29405.84"/>
    <n v="19216.830000000002"/>
    <n v="10189.01"/>
    <s v="Online"/>
    <s v="Debit Card"/>
  </r>
  <r>
    <s v="ORD10423"/>
    <x v="254"/>
    <x v="1"/>
    <s v="Telangana"/>
    <x v="3"/>
    <x v="2"/>
    <x v="17"/>
    <n v="1"/>
    <n v="50546.06"/>
    <x v="1"/>
    <n v="45491.45"/>
    <n v="35299.050000000003"/>
    <n v="10192.4"/>
    <s v="Online"/>
    <s v="Debit Card"/>
  </r>
  <r>
    <s v="ORD10212"/>
    <x v="173"/>
    <x v="0"/>
    <s v="Odisha"/>
    <x v="5"/>
    <x v="1"/>
    <x v="10"/>
    <n v="3"/>
    <n v="17882.61"/>
    <x v="2"/>
    <n v="53647.83"/>
    <n v="43385.36"/>
    <n v="10262.469999999999"/>
    <s v="Retail"/>
    <s v="Net Banking"/>
  </r>
  <r>
    <s v="ORD10372"/>
    <x v="255"/>
    <x v="2"/>
    <s v="Goa"/>
    <x v="7"/>
    <x v="3"/>
    <x v="6"/>
    <n v="5"/>
    <n v="10943.8"/>
    <x v="5"/>
    <n v="51983.06"/>
    <n v="41718.39"/>
    <n v="10264.67"/>
    <s v="Corporate"/>
    <s v="Credit Card"/>
  </r>
  <r>
    <s v="ORD10328"/>
    <x v="82"/>
    <x v="1"/>
    <s v="Tamil Nadu"/>
    <x v="7"/>
    <x v="3"/>
    <x v="4"/>
    <n v="5"/>
    <n v="8354.11"/>
    <x v="5"/>
    <n v="39682.04"/>
    <n v="29394.54"/>
    <n v="10287.5"/>
    <s v="Corporate"/>
    <s v="Cash"/>
  </r>
  <r>
    <s v="ORD10040"/>
    <x v="231"/>
    <x v="0"/>
    <s v="Odisha"/>
    <x v="0"/>
    <x v="3"/>
    <x v="13"/>
    <n v="1"/>
    <n v="31456.71"/>
    <x v="3"/>
    <n v="30513.01"/>
    <n v="20217.48"/>
    <n v="10295.530000000001"/>
    <s v="Corporate"/>
    <s v="Debit Card"/>
  </r>
  <r>
    <s v="ORD10197"/>
    <x v="246"/>
    <x v="0"/>
    <s v="Jharkhand"/>
    <x v="2"/>
    <x v="2"/>
    <x v="3"/>
    <n v="6"/>
    <n v="4930.1000000000004"/>
    <x v="4"/>
    <n v="27214.14"/>
    <n v="16893.79"/>
    <n v="10320.35"/>
    <s v="Retail"/>
    <s v="Net Banking"/>
  </r>
  <r>
    <s v="ORD10307"/>
    <x v="197"/>
    <x v="2"/>
    <s v="Gujarat"/>
    <x v="6"/>
    <x v="3"/>
    <x v="6"/>
    <n v="3"/>
    <n v="11642.92"/>
    <x v="3"/>
    <n v="33880.9"/>
    <n v="23525.17"/>
    <n v="10355.73"/>
    <s v="Retail"/>
    <s v="Debit Card"/>
  </r>
  <r>
    <s v="ORD10541"/>
    <x v="256"/>
    <x v="0"/>
    <s v="Bihar"/>
    <x v="1"/>
    <x v="3"/>
    <x v="13"/>
    <n v="2"/>
    <n v="30046.35"/>
    <x v="1"/>
    <n v="54083.43"/>
    <n v="43723.51"/>
    <n v="10359.92"/>
    <s v="Corporate"/>
    <s v="Net Banking"/>
  </r>
  <r>
    <s v="ORD10137"/>
    <x v="257"/>
    <x v="0"/>
    <s v="West Bengal"/>
    <x v="7"/>
    <x v="2"/>
    <x v="7"/>
    <n v="3"/>
    <n v="11196.53"/>
    <x v="5"/>
    <n v="31910.11"/>
    <n v="21473.42"/>
    <n v="10436.69"/>
    <s v="Retail"/>
    <s v="Net Banking"/>
  </r>
  <r>
    <s v="ORD10936"/>
    <x v="206"/>
    <x v="3"/>
    <s v="Delhi"/>
    <x v="0"/>
    <x v="1"/>
    <x v="2"/>
    <n v="8"/>
    <n v="4162.96"/>
    <x v="2"/>
    <n v="33303.660000000003"/>
    <n v="22837.64"/>
    <n v="10466.02"/>
    <s v="Corporate"/>
    <s v="Debit Card"/>
  </r>
  <r>
    <s v="ORD10057"/>
    <x v="250"/>
    <x v="1"/>
    <s v="Andhra Pradesh"/>
    <x v="1"/>
    <x v="2"/>
    <x v="3"/>
    <n v="6"/>
    <n v="5301.32"/>
    <x v="5"/>
    <n v="30217.54"/>
    <n v="19706.78"/>
    <n v="10510.76"/>
    <s v="Corporate"/>
    <s v="Cash"/>
  </r>
  <r>
    <s v="ORD10140"/>
    <x v="258"/>
    <x v="3"/>
    <s v="Delhi"/>
    <x v="4"/>
    <x v="0"/>
    <x v="8"/>
    <n v="3"/>
    <n v="15662.4"/>
    <x v="5"/>
    <n v="44637.84"/>
    <n v="34123.19"/>
    <n v="10514.65"/>
    <s v="Retail"/>
    <s v="Credit Card"/>
  </r>
  <r>
    <s v="ORD10042"/>
    <x v="154"/>
    <x v="1"/>
    <s v="Andhra Pradesh"/>
    <x v="1"/>
    <x v="1"/>
    <x v="11"/>
    <n v="3"/>
    <n v="21609.99"/>
    <x v="2"/>
    <n v="64829.97"/>
    <n v="54281.59"/>
    <n v="10548.38"/>
    <s v="Retail"/>
    <s v="Net Banking"/>
  </r>
  <r>
    <s v="ORD10042"/>
    <x v="154"/>
    <x v="1"/>
    <s v="Andhra Pradesh"/>
    <x v="1"/>
    <x v="1"/>
    <x v="11"/>
    <n v="3"/>
    <n v="21609.99"/>
    <x v="2"/>
    <n v="64829.97"/>
    <n v="54281.59"/>
    <n v="10548.38"/>
    <s v="Retail"/>
    <s v="Net Banking"/>
  </r>
  <r>
    <s v="ORD11047"/>
    <x v="138"/>
    <x v="1"/>
    <s v="Andhra Pradesh"/>
    <x v="1"/>
    <x v="0"/>
    <x v="9"/>
    <n v="6"/>
    <n v="13078.1"/>
    <x v="0"/>
    <n v="66698.31"/>
    <n v="56101.120000000003"/>
    <n v="10597.19"/>
    <s v="Retail"/>
    <s v="Net Banking"/>
  </r>
  <r>
    <s v="ORD10187"/>
    <x v="31"/>
    <x v="3"/>
    <s v="Unknown"/>
    <x v="7"/>
    <x v="3"/>
    <x v="14"/>
    <n v="1"/>
    <n v="31395.53"/>
    <x v="3"/>
    <n v="30453.67"/>
    <n v="19768.47"/>
    <n v="10685.2"/>
    <s v="Online"/>
    <s v="UPI"/>
  </r>
  <r>
    <s v="ORD10144"/>
    <x v="259"/>
    <x v="4"/>
    <s v="Punjab"/>
    <x v="5"/>
    <x v="2"/>
    <x v="7"/>
    <n v="5"/>
    <n v="11724.93"/>
    <x v="5"/>
    <n v="55693.4"/>
    <n v="44979.64"/>
    <n v="10713.76"/>
    <s v="Online"/>
    <s v="Net Banking"/>
  </r>
  <r>
    <s v="ORD10632"/>
    <x v="260"/>
    <x v="3"/>
    <s v="Punjab"/>
    <x v="4"/>
    <x v="3"/>
    <x v="6"/>
    <n v="6"/>
    <n v="10394.299999999999"/>
    <x v="3"/>
    <n v="60494.82"/>
    <n v="49734.39"/>
    <n v="10760.43"/>
    <s v="Online"/>
    <s v="Net Banking"/>
  </r>
  <r>
    <s v="ORD10666"/>
    <x v="3"/>
    <x v="3"/>
    <s v="Delhi"/>
    <x v="3"/>
    <x v="3"/>
    <x v="6"/>
    <n v="5"/>
    <n v="10227.969999999999"/>
    <x v="4"/>
    <n v="47048.639999999999"/>
    <n v="36209.519999999997"/>
    <n v="10839.12"/>
    <s v="Online"/>
    <s v="Cash"/>
  </r>
  <r>
    <s v="ORD10051"/>
    <x v="59"/>
    <x v="3"/>
    <s v="Delhi"/>
    <x v="7"/>
    <x v="1"/>
    <x v="10"/>
    <n v="2"/>
    <n v="17678.21"/>
    <x v="3"/>
    <n v="34295.730000000003"/>
    <n v="23452.28"/>
    <n v="10843.45"/>
    <s v="Online"/>
    <s v="Debit Card"/>
  </r>
  <r>
    <s v="ORD11016"/>
    <x v="261"/>
    <x v="1"/>
    <s v="Tamil Nadu"/>
    <x v="2"/>
    <x v="0"/>
    <x v="5"/>
    <n v="4"/>
    <n v="9427.9"/>
    <x v="5"/>
    <n v="35826.03"/>
    <n v="24950.42"/>
    <n v="10875.61"/>
    <s v="Online"/>
    <s v="Cash"/>
  </r>
  <r>
    <s v="ORD10884"/>
    <x v="49"/>
    <x v="1"/>
    <s v="Karnataka"/>
    <x v="6"/>
    <x v="1"/>
    <x v="10"/>
    <n v="3"/>
    <n v="18156.009999999998"/>
    <x v="5"/>
    <n v="51744.63"/>
    <n v="40862.089999999997"/>
    <n v="10882.54"/>
    <s v="Corporate"/>
    <s v="Credit Card"/>
  </r>
  <r>
    <s v="ORD11100"/>
    <x v="149"/>
    <x v="2"/>
    <s v="Maharashtra"/>
    <x v="3"/>
    <x v="2"/>
    <x v="3"/>
    <n v="8"/>
    <n v="4704.5600000000004"/>
    <x v="3"/>
    <n v="36507.370000000003"/>
    <n v="25621.25"/>
    <n v="10886.12"/>
    <s v="Retail"/>
    <s v="Net Banking"/>
  </r>
  <r>
    <s v="ORD10221"/>
    <x v="112"/>
    <x v="2"/>
    <s v="Gujarat"/>
    <x v="3"/>
    <x v="0"/>
    <x v="8"/>
    <n v="5"/>
    <n v="14410.37"/>
    <x v="1"/>
    <n v="64846.68"/>
    <n v="53897.79"/>
    <n v="10948.89"/>
    <s v="Retail"/>
    <s v="Cash"/>
  </r>
  <r>
    <s v="ORD10536"/>
    <x v="114"/>
    <x v="2"/>
    <s v="Rajasthan"/>
    <x v="5"/>
    <x v="1"/>
    <x v="2"/>
    <n v="8"/>
    <n v="4663.3500000000004"/>
    <x v="1"/>
    <n v="33576.129999999997"/>
    <n v="22595.759999999998"/>
    <n v="10980.37"/>
    <s v="Corporate"/>
    <s v="Net Banking"/>
  </r>
  <r>
    <s v="ORD10755"/>
    <x v="11"/>
    <x v="0"/>
    <s v="Bihar"/>
    <x v="5"/>
    <x v="2"/>
    <x v="16"/>
    <n v="1"/>
    <n v="39241.58"/>
    <x v="5"/>
    <n v="37279.5"/>
    <n v="26296.6"/>
    <n v="10982.9"/>
    <s v="Online"/>
    <s v="Cash"/>
  </r>
  <r>
    <s v="ORD10384"/>
    <x v="138"/>
    <x v="0"/>
    <s v="Jharkhand"/>
    <x v="1"/>
    <x v="3"/>
    <x v="4"/>
    <n v="6"/>
    <n v="8480.7099999999991"/>
    <x v="2"/>
    <n v="50884.27"/>
    <n v="39878.86"/>
    <n v="11005.41"/>
    <s v="Retail"/>
    <s v="UPI"/>
  </r>
  <r>
    <s v="ORD11147"/>
    <x v="145"/>
    <x v="3"/>
    <s v="Uttar Pradesh"/>
    <x v="6"/>
    <x v="3"/>
    <x v="4"/>
    <n v="6"/>
    <n v="8191.39"/>
    <x v="3"/>
    <n v="47673.89"/>
    <n v="36563.74"/>
    <n v="11110.15"/>
    <s v="Corporate"/>
    <s v="Net Banking"/>
  </r>
  <r>
    <s v="ORD10883"/>
    <x v="147"/>
    <x v="0"/>
    <s v="Odisha"/>
    <x v="5"/>
    <x v="2"/>
    <x v="15"/>
    <n v="2"/>
    <n v="35658.81"/>
    <x v="5"/>
    <n v="67751.740000000005"/>
    <n v="56591.58"/>
    <n v="11160.16"/>
    <s v="Online"/>
    <s v="Credit Card"/>
  </r>
  <r>
    <s v="ORD10082"/>
    <x v="81"/>
    <x v="0"/>
    <s v="Jharkhand"/>
    <x v="5"/>
    <x v="3"/>
    <x v="4"/>
    <n v="8"/>
    <n v="7851.31"/>
    <x v="4"/>
    <n v="57785.65"/>
    <n v="46523.18"/>
    <n v="11262.47"/>
    <s v="Corporate"/>
    <s v="Debit Card"/>
  </r>
  <r>
    <s v="ORD10815"/>
    <x v="1"/>
    <x v="0"/>
    <s v="West Bengal"/>
    <x v="5"/>
    <x v="2"/>
    <x v="15"/>
    <n v="1"/>
    <n v="38656.04"/>
    <x v="4"/>
    <n v="35563.56"/>
    <n v="24264.74"/>
    <n v="11298.82"/>
    <s v="Online"/>
    <s v="Net Banking"/>
  </r>
  <r>
    <s v="ORD10825"/>
    <x v="202"/>
    <x v="1"/>
    <s v="Karnataka"/>
    <x v="4"/>
    <x v="1"/>
    <x v="2"/>
    <n v="8"/>
    <n v="4305.8500000000004"/>
    <x v="5"/>
    <n v="32724.44"/>
    <n v="21345.42"/>
    <n v="11379.02"/>
    <s v="Online"/>
    <s v="Net Banking"/>
  </r>
  <r>
    <s v="ORD10117"/>
    <x v="86"/>
    <x v="2"/>
    <s v="Rajasthan"/>
    <x v="7"/>
    <x v="0"/>
    <x v="9"/>
    <n v="5"/>
    <n v="13478.14"/>
    <x v="1"/>
    <n v="60651.64"/>
    <n v="49211.66"/>
    <n v="11439.98"/>
    <s v="Retail"/>
    <s v="Debit Card"/>
  </r>
  <r>
    <s v="ORD10876"/>
    <x v="168"/>
    <x v="0"/>
    <s v="West Bengal"/>
    <x v="5"/>
    <x v="1"/>
    <x v="19"/>
    <n v="1"/>
    <n v="64691.37"/>
    <x v="1"/>
    <n v="58222.23"/>
    <n v="46756.63"/>
    <n v="11465.6"/>
    <s v="Corporate"/>
    <s v="Debit Card"/>
  </r>
  <r>
    <s v="ORD11034"/>
    <x v="262"/>
    <x v="3"/>
    <s v="Punjab"/>
    <x v="7"/>
    <x v="0"/>
    <x v="5"/>
    <n v="5"/>
    <n v="8955.7999999999993"/>
    <x v="1"/>
    <n v="40301.08"/>
    <n v="28832.28"/>
    <n v="11468.8"/>
    <s v="Retail"/>
    <s v="Net Banking"/>
  </r>
  <r>
    <s v="ORD10651"/>
    <x v="165"/>
    <x v="2"/>
    <s v="Rajasthan"/>
    <x v="2"/>
    <x v="2"/>
    <x v="3"/>
    <n v="7"/>
    <n v="4823.8100000000004"/>
    <x v="5"/>
    <n v="32078.36"/>
    <n v="20567.169999999998"/>
    <n v="11511.19"/>
    <s v="Online"/>
    <s v="UPI"/>
  </r>
  <r>
    <s v="ORD10732"/>
    <x v="179"/>
    <x v="2"/>
    <s v="Maharashtra"/>
    <x v="0"/>
    <x v="1"/>
    <x v="10"/>
    <n v="2"/>
    <n v="17936.64"/>
    <x v="5"/>
    <n v="34079.61"/>
    <n v="22567.11"/>
    <n v="11512.5"/>
    <s v="Corporate"/>
    <s v="Credit Card"/>
  </r>
  <r>
    <s v="ORD10353"/>
    <x v="263"/>
    <x v="1"/>
    <s v="Tamil Nadu"/>
    <x v="0"/>
    <x v="3"/>
    <x v="13"/>
    <n v="2"/>
    <n v="30717.64"/>
    <x v="1"/>
    <n v="55291.76"/>
    <n v="43770.29"/>
    <n v="11521.47"/>
    <s v="Retail"/>
    <s v="Debit Card"/>
  </r>
  <r>
    <s v="ORD10520"/>
    <x v="114"/>
    <x v="0"/>
    <s v="Bihar"/>
    <x v="7"/>
    <x v="3"/>
    <x v="18"/>
    <n v="2"/>
    <n v="26210.52"/>
    <x v="5"/>
    <n v="49799.99"/>
    <n v="38246.94"/>
    <n v="11553.05"/>
    <s v="Corporate"/>
    <s v="Cash"/>
  </r>
  <r>
    <s v="ORD10529"/>
    <x v="120"/>
    <x v="2"/>
    <s v="Gujarat"/>
    <x v="0"/>
    <x v="2"/>
    <x v="3"/>
    <n v="8"/>
    <n v="5250.45"/>
    <x v="2"/>
    <n v="42003.6"/>
    <n v="30363.34"/>
    <n v="11640.26"/>
    <s v="Retail"/>
    <s v="UPI"/>
  </r>
  <r>
    <s v="ORD10252"/>
    <x v="110"/>
    <x v="3"/>
    <s v="Haryana"/>
    <x v="7"/>
    <x v="3"/>
    <x v="4"/>
    <n v="7"/>
    <n v="8930.7900000000009"/>
    <x v="3"/>
    <n v="60640.06"/>
    <n v="48983.42"/>
    <n v="11656.64"/>
    <s v="Online"/>
    <s v="UPI"/>
  </r>
  <r>
    <s v="ORD11055"/>
    <x v="81"/>
    <x v="0"/>
    <s v="Odisha"/>
    <x v="1"/>
    <x v="0"/>
    <x v="8"/>
    <n v="2"/>
    <n v="15896.34"/>
    <x v="3"/>
    <n v="30838.89"/>
    <n v="19179.560000000001"/>
    <n v="11659.33"/>
    <s v="Corporate"/>
    <s v="Net Banking"/>
  </r>
  <r>
    <s v="ORD11119"/>
    <x v="3"/>
    <x v="3"/>
    <s v="Uttar Pradesh"/>
    <x v="5"/>
    <x v="0"/>
    <x v="5"/>
    <n v="6"/>
    <n v="9552.7099999999991"/>
    <x v="3"/>
    <n v="55596.800000000003"/>
    <n v="43867.44"/>
    <n v="11729.36"/>
    <s v="Online"/>
    <s v="Cash"/>
  </r>
  <r>
    <s v="ORD10588"/>
    <x v="153"/>
    <x v="3"/>
    <s v="Delhi"/>
    <x v="1"/>
    <x v="2"/>
    <x v="15"/>
    <n v="1"/>
    <n v="34683.440000000002"/>
    <x v="2"/>
    <n v="34683.440000000002"/>
    <n v="22856.9"/>
    <n v="11826.54"/>
    <s v="Retail"/>
    <s v="Credit Card"/>
  </r>
  <r>
    <s v="ORD11023"/>
    <x v="256"/>
    <x v="3"/>
    <s v="Uttar Pradesh"/>
    <x v="3"/>
    <x v="3"/>
    <x v="18"/>
    <n v="3"/>
    <n v="26441.62"/>
    <x v="1"/>
    <n v="71392.38"/>
    <n v="59560.59"/>
    <n v="11831.79"/>
    <s v="Retail"/>
    <s v="UPI"/>
  </r>
  <r>
    <s v="ORD10206"/>
    <x v="106"/>
    <x v="3"/>
    <s v="Haryana"/>
    <x v="5"/>
    <x v="0"/>
    <x v="5"/>
    <n v="8"/>
    <n v="8814.5400000000009"/>
    <x v="5"/>
    <n v="66990.490000000005"/>
    <n v="55116.39"/>
    <n v="11874.1"/>
    <s v="Retail"/>
    <s v="Cash"/>
  </r>
  <r>
    <s v="ORD10945"/>
    <x v="214"/>
    <x v="3"/>
    <s v="Punjab"/>
    <x v="6"/>
    <x v="0"/>
    <x v="9"/>
    <n v="3"/>
    <n v="14615.68"/>
    <x v="2"/>
    <n v="43847.05"/>
    <n v="31960.15"/>
    <n v="11886.9"/>
    <s v="Corporate"/>
    <s v="Credit Card"/>
  </r>
  <r>
    <s v="ORD11193"/>
    <x v="264"/>
    <x v="2"/>
    <s v="Gujarat"/>
    <x v="3"/>
    <x v="0"/>
    <x v="5"/>
    <n v="5"/>
    <n v="9647.27"/>
    <x v="0"/>
    <n v="41000.910000000003"/>
    <n v="29113.02"/>
    <n v="11887.89"/>
    <s v="Retail"/>
    <s v="Debit Card"/>
  </r>
  <r>
    <s v="ORD10356"/>
    <x v="66"/>
    <x v="3"/>
    <s v="Uttar Pradesh"/>
    <x v="1"/>
    <x v="2"/>
    <x v="7"/>
    <n v="7"/>
    <n v="12649.26"/>
    <x v="1"/>
    <n v="79690.320000000007"/>
    <n v="67786.25"/>
    <n v="11904.07"/>
    <s v="Corporate"/>
    <s v="Credit Card"/>
  </r>
  <r>
    <s v="ORD10099"/>
    <x v="58"/>
    <x v="1"/>
    <s v="Andhra Pradesh"/>
    <x v="5"/>
    <x v="0"/>
    <x v="9"/>
    <n v="6"/>
    <n v="13946.35"/>
    <x v="4"/>
    <n v="76983.87"/>
    <n v="65038.99"/>
    <n v="11944.88"/>
    <s v="Corporate"/>
    <s v="Credit Card"/>
  </r>
  <r>
    <s v="ORD11142"/>
    <x v="197"/>
    <x v="3"/>
    <s v="Delhi"/>
    <x v="3"/>
    <x v="3"/>
    <x v="4"/>
    <n v="4"/>
    <n v="8786.1299999999992"/>
    <x v="4"/>
    <n v="32332.95"/>
    <n v="20387.64"/>
    <n v="11945.31"/>
    <s v="Retail"/>
    <s v="UPI"/>
  </r>
  <r>
    <s v="ORD10071"/>
    <x v="217"/>
    <x v="3"/>
    <s v="Uttar Pradesh"/>
    <x v="0"/>
    <x v="1"/>
    <x v="10"/>
    <n v="3"/>
    <n v="17134.580000000002"/>
    <x v="4"/>
    <n v="47291.44"/>
    <n v="35334.35"/>
    <n v="11957.09"/>
    <s v="Corporate"/>
    <s v="Cash"/>
  </r>
  <r>
    <s v="ORD11056"/>
    <x v="265"/>
    <x v="3"/>
    <s v="Uttar Pradesh"/>
    <x v="6"/>
    <x v="0"/>
    <x v="8"/>
    <n v="4"/>
    <n v="14561.65"/>
    <x v="4"/>
    <n v="53586.87"/>
    <n v="41618.9"/>
    <n v="11967.97"/>
    <s v="Retail"/>
    <s v="Net Banking"/>
  </r>
  <r>
    <s v="ORD10045"/>
    <x v="56"/>
    <x v="2"/>
    <s v="Maharashtra"/>
    <x v="0"/>
    <x v="3"/>
    <x v="4"/>
    <n v="8"/>
    <n v="7918.96"/>
    <x v="1"/>
    <n v="57016.5"/>
    <n v="45014.42"/>
    <n v="12002.08"/>
    <s v="Corporate"/>
    <s v="Debit Card"/>
  </r>
  <r>
    <s v="ORD10063"/>
    <x v="87"/>
    <x v="0"/>
    <s v="West Bengal"/>
    <x v="4"/>
    <x v="0"/>
    <x v="8"/>
    <n v="6"/>
    <n v="13996.22"/>
    <x v="1"/>
    <n v="75579.600000000006"/>
    <n v="63563.15"/>
    <n v="12016.45"/>
    <s v="Retail"/>
    <s v="Net Banking"/>
  </r>
  <r>
    <s v="ORD10442"/>
    <x v="49"/>
    <x v="2"/>
    <s v="Rajasthan"/>
    <x v="3"/>
    <x v="3"/>
    <x v="4"/>
    <n v="4"/>
    <n v="8927.57"/>
    <x v="3"/>
    <n v="34638.959999999999"/>
    <n v="22575.01"/>
    <n v="12063.95"/>
    <s v="Corporate"/>
    <s v="Cash"/>
  </r>
  <r>
    <s v="ORD10857"/>
    <x v="184"/>
    <x v="3"/>
    <s v="Uttar Pradesh"/>
    <x v="2"/>
    <x v="2"/>
    <x v="3"/>
    <n v="8"/>
    <n v="5245.77"/>
    <x v="5"/>
    <n v="39867.839999999997"/>
    <n v="27751.22"/>
    <n v="12116.62"/>
    <s v="Online"/>
    <s v="Cash"/>
  </r>
  <r>
    <s v="ORD10393"/>
    <x v="194"/>
    <x v="1"/>
    <s v="Karnataka"/>
    <x v="6"/>
    <x v="0"/>
    <x v="5"/>
    <n v="4"/>
    <n v="9089.5499999999993"/>
    <x v="4"/>
    <n v="33449.550000000003"/>
    <n v="21288.23"/>
    <n v="12161.32"/>
    <s v="Retail"/>
    <s v="Debit Card"/>
  </r>
  <r>
    <s v="ORD10912"/>
    <x v="266"/>
    <x v="3"/>
    <s v="Delhi"/>
    <x v="5"/>
    <x v="0"/>
    <x v="5"/>
    <n v="6"/>
    <n v="9427.6"/>
    <x v="2"/>
    <n v="56565.63"/>
    <n v="44391.62"/>
    <n v="12174.01"/>
    <s v="Retail"/>
    <s v="Net Banking"/>
  </r>
  <r>
    <s v="ORD10008"/>
    <x v="225"/>
    <x v="2"/>
    <s v="Goa"/>
    <x v="1"/>
    <x v="1"/>
    <x v="11"/>
    <n v="3"/>
    <n v="22728.14"/>
    <x v="4"/>
    <n v="62729.66"/>
    <n v="50503.96"/>
    <n v="12225.7"/>
    <s v="Online"/>
    <s v="Credit Card"/>
  </r>
  <r>
    <s v="ORD10896"/>
    <x v="267"/>
    <x v="3"/>
    <s v="Punjab"/>
    <x v="7"/>
    <x v="0"/>
    <x v="5"/>
    <n v="6"/>
    <n v="9515.36"/>
    <x v="3"/>
    <n v="55379.4"/>
    <n v="43092.11"/>
    <n v="12287.29"/>
    <s v="Corporate"/>
    <s v="Cash"/>
  </r>
  <r>
    <s v="ORD10070"/>
    <x v="145"/>
    <x v="2"/>
    <s v="Goa"/>
    <x v="3"/>
    <x v="0"/>
    <x v="8"/>
    <n v="6"/>
    <n v="14210.13"/>
    <x v="4"/>
    <n v="78439.92"/>
    <n v="66128.789999999994"/>
    <n v="12311.13"/>
    <s v="Corporate"/>
    <s v="Credit Card"/>
  </r>
  <r>
    <s v="ORD10805"/>
    <x v="122"/>
    <x v="1"/>
    <s v="Tamil Nadu"/>
    <x v="6"/>
    <x v="2"/>
    <x v="7"/>
    <n v="4"/>
    <n v="12761.29"/>
    <x v="0"/>
    <n v="43388.38"/>
    <n v="31056.81"/>
    <n v="12331.57"/>
    <s v="Online"/>
    <s v="Credit Card"/>
  </r>
  <r>
    <s v="ORD10787"/>
    <x v="267"/>
    <x v="3"/>
    <s v="Delhi"/>
    <x v="3"/>
    <x v="1"/>
    <x v="12"/>
    <n v="2"/>
    <n v="29644.29"/>
    <x v="0"/>
    <n v="50395.29"/>
    <n v="37946.339999999997"/>
    <n v="12448.95"/>
    <s v="Retail"/>
    <s v="Cash"/>
  </r>
  <r>
    <s v="ORD10709"/>
    <x v="65"/>
    <x v="0"/>
    <s v="Bihar"/>
    <x v="2"/>
    <x v="3"/>
    <x v="6"/>
    <n v="6"/>
    <n v="10823.51"/>
    <x v="0"/>
    <n v="55199.88"/>
    <n v="42730.58"/>
    <n v="12469.3"/>
    <s v="Corporate"/>
    <s v="UPI"/>
  </r>
  <r>
    <s v="ORD10650"/>
    <x v="268"/>
    <x v="1"/>
    <s v="Tamil Nadu"/>
    <x v="0"/>
    <x v="2"/>
    <x v="3"/>
    <n v="8"/>
    <n v="4642.96"/>
    <x v="2"/>
    <n v="37143.660000000003"/>
    <n v="24577.26"/>
    <n v="12566.4"/>
    <s v="Retail"/>
    <s v="Debit Card"/>
  </r>
  <r>
    <s v="ORD10739"/>
    <x v="269"/>
    <x v="4"/>
    <s v="Tamil Nadu"/>
    <x v="4"/>
    <x v="1"/>
    <x v="10"/>
    <n v="5"/>
    <n v="17827.84"/>
    <x v="1"/>
    <n v="80225.27"/>
    <n v="67634.539999999994"/>
    <n v="12590.73"/>
    <s v="Retail"/>
    <s v="UPI"/>
  </r>
  <r>
    <s v="ORD10211"/>
    <x v="47"/>
    <x v="1"/>
    <s v="Karnataka"/>
    <x v="2"/>
    <x v="2"/>
    <x v="16"/>
    <n v="2"/>
    <n v="39754"/>
    <x v="1"/>
    <n v="71557.210000000006"/>
    <n v="58962.720000000001"/>
    <n v="12594.49"/>
    <s v="Retail"/>
    <s v="Debit Card"/>
  </r>
  <r>
    <s v="ORD10127"/>
    <x v="262"/>
    <x v="2"/>
    <s v="Gujarat"/>
    <x v="1"/>
    <x v="3"/>
    <x v="4"/>
    <n v="8"/>
    <n v="8868.4500000000007"/>
    <x v="1"/>
    <n v="63852.87"/>
    <n v="51251.24"/>
    <n v="12601.63"/>
    <s v="Retail"/>
    <s v="Cash"/>
  </r>
  <r>
    <s v="ORD10548"/>
    <x v="254"/>
    <x v="2"/>
    <s v="Goa"/>
    <x v="5"/>
    <x v="0"/>
    <x v="9"/>
    <n v="3"/>
    <n v="13637.08"/>
    <x v="4"/>
    <n v="37638.339999999997"/>
    <n v="25029.54"/>
    <n v="12608.8"/>
    <s v="Corporate"/>
    <s v="Debit Card"/>
  </r>
  <r>
    <s v="ORD10781"/>
    <x v="9"/>
    <x v="0"/>
    <s v="West Bengal"/>
    <x v="6"/>
    <x v="3"/>
    <x v="4"/>
    <n v="5"/>
    <n v="8500.49"/>
    <x v="5"/>
    <n v="40377.32"/>
    <n v="27722.36"/>
    <n v="12654.96"/>
    <s v="Online"/>
    <s v="Credit Card"/>
  </r>
  <r>
    <s v="ORD10354"/>
    <x v="232"/>
    <x v="2"/>
    <s v="Rajasthan"/>
    <x v="3"/>
    <x v="3"/>
    <x v="6"/>
    <n v="5"/>
    <n v="11231.69"/>
    <x v="2"/>
    <n v="56158.46"/>
    <n v="43501.56"/>
    <n v="12656.9"/>
    <s v="Corporate"/>
    <s v="Credit Card"/>
  </r>
  <r>
    <s v="ORD10534"/>
    <x v="86"/>
    <x v="0"/>
    <s v="West Bengal"/>
    <x v="5"/>
    <x v="2"/>
    <x v="15"/>
    <n v="1"/>
    <n v="37104.31"/>
    <x v="4"/>
    <n v="34135.96"/>
    <n v="21478.9"/>
    <n v="12657.06"/>
    <s v="Retail"/>
    <s v="Debit Card"/>
  </r>
  <r>
    <s v="ORD10246"/>
    <x v="171"/>
    <x v="1"/>
    <s v="Andhra Pradesh"/>
    <x v="6"/>
    <x v="1"/>
    <x v="10"/>
    <n v="2"/>
    <n v="18394.28"/>
    <x v="5"/>
    <n v="34949.129999999997"/>
    <n v="22269.96"/>
    <n v="12679.17"/>
    <s v="Corporate"/>
    <s v="UPI"/>
  </r>
  <r>
    <s v="ORD10472"/>
    <x v="230"/>
    <x v="1"/>
    <s v="Andhra Pradesh"/>
    <x v="6"/>
    <x v="3"/>
    <x v="4"/>
    <n v="5"/>
    <n v="9004.99"/>
    <x v="1"/>
    <n v="40522.449999999997"/>
    <n v="27785.74"/>
    <n v="12736.71"/>
    <s v="Corporate"/>
    <s v="Cash"/>
  </r>
  <r>
    <s v="ORD10875"/>
    <x v="270"/>
    <x v="1"/>
    <s v="Andhra Pradesh"/>
    <x v="3"/>
    <x v="1"/>
    <x v="11"/>
    <n v="2"/>
    <n v="20485.91"/>
    <x v="4"/>
    <n v="37694.080000000002"/>
    <n v="24933.759999999998"/>
    <n v="12760.32"/>
    <s v="Retail"/>
    <s v="Credit Card"/>
  </r>
  <r>
    <s v="ORD10429"/>
    <x v="271"/>
    <x v="2"/>
    <s v="Rajasthan"/>
    <x v="6"/>
    <x v="1"/>
    <x v="12"/>
    <n v="2"/>
    <n v="28118.61"/>
    <x v="5"/>
    <n v="53425.37"/>
    <n v="40631.879999999997"/>
    <n v="12793.49"/>
    <s v="Retail"/>
    <s v="Debit Card"/>
  </r>
  <r>
    <s v="ORD10230"/>
    <x v="38"/>
    <x v="0"/>
    <s v="Odisha"/>
    <x v="2"/>
    <x v="3"/>
    <x v="4"/>
    <n v="6"/>
    <n v="8900.6299999999992"/>
    <x v="2"/>
    <n v="53403.76"/>
    <n v="40580.11"/>
    <n v="12823.65"/>
    <s v="Online"/>
    <s v="Cash"/>
  </r>
  <r>
    <s v="ORD10807"/>
    <x v="272"/>
    <x v="0"/>
    <s v="Bihar"/>
    <x v="6"/>
    <x v="2"/>
    <x v="16"/>
    <n v="1"/>
    <n v="40285.06"/>
    <x v="4"/>
    <n v="37062.25"/>
    <n v="24057.24"/>
    <n v="13005.01"/>
    <s v="Corporate"/>
    <s v="UPI"/>
  </r>
  <r>
    <s v="ORD10626"/>
    <x v="192"/>
    <x v="1"/>
    <s v="Karnataka"/>
    <x v="5"/>
    <x v="1"/>
    <x v="10"/>
    <n v="4"/>
    <n v="18574.23"/>
    <x v="2"/>
    <n v="74296.91"/>
    <n v="61211.1"/>
    <n v="13085.81"/>
    <s v="Corporate"/>
    <s v="Credit Card"/>
  </r>
  <r>
    <s v="ORD10113"/>
    <x v="193"/>
    <x v="3"/>
    <s v="Haryana"/>
    <x v="3"/>
    <x v="3"/>
    <x v="6"/>
    <n v="4"/>
    <n v="11871.04"/>
    <x v="3"/>
    <n v="46059.63"/>
    <n v="32937.15"/>
    <n v="13122.48"/>
    <s v="Corporate"/>
    <s v="UPI"/>
  </r>
  <r>
    <s v="ORD10258"/>
    <x v="258"/>
    <x v="1"/>
    <s v="Telangana"/>
    <x v="3"/>
    <x v="0"/>
    <x v="5"/>
    <n v="8"/>
    <n v="9618.1299999999992"/>
    <x v="2"/>
    <n v="76945.05"/>
    <n v="63809.88"/>
    <n v="13135.17"/>
    <s v="Corporate"/>
    <s v="Cash"/>
  </r>
  <r>
    <s v="ORD10748"/>
    <x v="63"/>
    <x v="1"/>
    <s v="Karnataka"/>
    <x v="7"/>
    <x v="1"/>
    <x v="11"/>
    <n v="4"/>
    <n v="22542.91"/>
    <x v="5"/>
    <n v="85663.06"/>
    <n v="72519.77"/>
    <n v="13143.29"/>
    <s v="Online"/>
    <s v="UPI"/>
  </r>
  <r>
    <s v="ORD10240"/>
    <x v="273"/>
    <x v="1"/>
    <s v="Tamil Nadu"/>
    <x v="3"/>
    <x v="2"/>
    <x v="17"/>
    <n v="1"/>
    <n v="44705.34"/>
    <x v="2"/>
    <n v="44705.34"/>
    <n v="31523.75"/>
    <n v="13181.59"/>
    <s v="Corporate"/>
    <s v="UPI"/>
  </r>
  <r>
    <s v="ORD10810"/>
    <x v="274"/>
    <x v="0"/>
    <s v="West Bengal"/>
    <x v="1"/>
    <x v="1"/>
    <x v="10"/>
    <n v="5"/>
    <n v="18359.84"/>
    <x v="4"/>
    <n v="84455.26"/>
    <n v="71251.44"/>
    <n v="13203.82"/>
    <s v="Retail"/>
    <s v="Debit Card"/>
  </r>
  <r>
    <s v="ORD10434"/>
    <x v="9"/>
    <x v="1"/>
    <s v="Karnataka"/>
    <x v="0"/>
    <x v="1"/>
    <x v="10"/>
    <n v="6"/>
    <n v="17026.34"/>
    <x v="4"/>
    <n v="93985.39"/>
    <n v="80776.67"/>
    <n v="13208.72"/>
    <s v="Retail"/>
    <s v="Net Banking"/>
  </r>
  <r>
    <s v="ORD10428"/>
    <x v="71"/>
    <x v="3"/>
    <s v="Haryana"/>
    <x v="5"/>
    <x v="2"/>
    <x v="7"/>
    <n v="6"/>
    <n v="11217.6"/>
    <x v="1"/>
    <n v="60575.040000000001"/>
    <n v="47350.81"/>
    <n v="13224.23"/>
    <s v="Retail"/>
    <s v="Cash"/>
  </r>
  <r>
    <s v="ORD10037"/>
    <x v="193"/>
    <x v="3"/>
    <s v="Uttar Pradesh"/>
    <x v="7"/>
    <x v="0"/>
    <x v="8"/>
    <n v="4"/>
    <n v="15205.86"/>
    <x v="1"/>
    <n v="54741.1"/>
    <n v="41499.980000000003"/>
    <n v="13241.12"/>
    <s v="Corporate"/>
    <s v="UPI"/>
  </r>
  <r>
    <s v="ORD10590"/>
    <x v="111"/>
    <x v="4"/>
    <s v="Odisha"/>
    <x v="3"/>
    <x v="1"/>
    <x v="19"/>
    <n v="1"/>
    <n v="61998.89"/>
    <x v="3"/>
    <n v="60138.92"/>
    <n v="46853.41"/>
    <n v="13285.51"/>
    <s v="Retail"/>
    <s v="Net Banking"/>
  </r>
  <r>
    <s v="ORD10503"/>
    <x v="111"/>
    <x v="1"/>
    <s v="Tamil Nadu"/>
    <x v="3"/>
    <x v="1"/>
    <x v="11"/>
    <n v="2"/>
    <n v="23475.61"/>
    <x v="5"/>
    <n v="44603.66"/>
    <n v="31316.76"/>
    <n v="13286.9"/>
    <s v="Corporate"/>
    <s v="Cash"/>
  </r>
  <r>
    <s v="ORD10054"/>
    <x v="228"/>
    <x v="1"/>
    <s v="Karnataka"/>
    <x v="3"/>
    <x v="2"/>
    <x v="7"/>
    <n v="3"/>
    <n v="12132.64"/>
    <x v="2"/>
    <n v="36397.910000000003"/>
    <n v="22888.36"/>
    <n v="13509.55"/>
    <s v="Online"/>
    <s v="UPI"/>
  </r>
  <r>
    <s v="ORD10073"/>
    <x v="275"/>
    <x v="0"/>
    <s v="Jharkhand"/>
    <x v="1"/>
    <x v="1"/>
    <x v="19"/>
    <n v="1"/>
    <n v="61013.64"/>
    <x v="5"/>
    <n v="57962.96"/>
    <n v="44368.59"/>
    <n v="13594.37"/>
    <s v="Retail"/>
    <s v="Cash"/>
  </r>
  <r>
    <s v="ORD10005"/>
    <x v="135"/>
    <x v="3"/>
    <s v="Uttar Pradesh"/>
    <x v="3"/>
    <x v="2"/>
    <x v="7"/>
    <n v="6"/>
    <n v="11790.84"/>
    <x v="3"/>
    <n v="68622.67"/>
    <n v="54986.44"/>
    <n v="13636.23"/>
    <s v="Corporate"/>
    <s v="Cash"/>
  </r>
  <r>
    <s v="ORD10823"/>
    <x v="233"/>
    <x v="2"/>
    <s v="Goa"/>
    <x v="4"/>
    <x v="1"/>
    <x v="11"/>
    <n v="2"/>
    <n v="22758.34"/>
    <x v="2"/>
    <n v="45516.67"/>
    <n v="31838.46"/>
    <n v="13678.21"/>
    <s v="Retail"/>
    <s v="Credit Card"/>
  </r>
  <r>
    <s v="ORD10954"/>
    <x v="147"/>
    <x v="2"/>
    <s v="Goa"/>
    <x v="6"/>
    <x v="1"/>
    <x v="11"/>
    <n v="3"/>
    <n v="22888.46"/>
    <x v="1"/>
    <n v="61798.83"/>
    <n v="47973.66"/>
    <n v="13825.17"/>
    <s v="Retail"/>
    <s v="Debit Card"/>
  </r>
  <r>
    <s v="ORD10076"/>
    <x v="241"/>
    <x v="0"/>
    <s v="Odisha"/>
    <x v="7"/>
    <x v="2"/>
    <x v="7"/>
    <n v="5"/>
    <n v="11618.65"/>
    <x v="4"/>
    <n v="53445.77"/>
    <n v="39584.76"/>
    <n v="13861.01"/>
    <s v="Retail"/>
    <s v="Credit Card"/>
  </r>
  <r>
    <s v="ORD10556"/>
    <x v="276"/>
    <x v="1"/>
    <s v="Karnataka"/>
    <x v="1"/>
    <x v="1"/>
    <x v="11"/>
    <n v="5"/>
    <n v="21616.03"/>
    <x v="0"/>
    <n v="91868.12"/>
    <n v="78007.05"/>
    <n v="13861.07"/>
    <s v="Corporate"/>
    <s v="Cash"/>
  </r>
  <r>
    <s v="ORD11094"/>
    <x v="277"/>
    <x v="0"/>
    <s v="Bihar"/>
    <x v="6"/>
    <x v="0"/>
    <x v="8"/>
    <n v="3"/>
    <n v="14957.02"/>
    <x v="1"/>
    <n v="40383.97"/>
    <n v="26444.5"/>
    <n v="13939.47"/>
    <s v="Retail"/>
    <s v="Debit Card"/>
  </r>
  <r>
    <s v="ORD10742"/>
    <x v="59"/>
    <x v="1"/>
    <s v="Andhra Pradesh"/>
    <x v="0"/>
    <x v="0"/>
    <x v="8"/>
    <n v="6"/>
    <n v="13921.09"/>
    <x v="2"/>
    <n v="83526.559999999998"/>
    <n v="69447.399999999994"/>
    <n v="14079.16"/>
    <s v="Retail"/>
    <s v="UPI"/>
  </r>
  <r>
    <s v="ORD10436"/>
    <x v="278"/>
    <x v="2"/>
    <s v="Unknown"/>
    <x v="1"/>
    <x v="3"/>
    <x v="14"/>
    <n v="2"/>
    <n v="31884.37"/>
    <x v="4"/>
    <n v="58667.24"/>
    <n v="44564.62"/>
    <n v="14102.62"/>
    <s v="Online"/>
    <s v="UPI"/>
  </r>
  <r>
    <s v="ORD11048"/>
    <x v="217"/>
    <x v="0"/>
    <s v="Bihar"/>
    <x v="0"/>
    <x v="0"/>
    <x v="8"/>
    <n v="3"/>
    <n v="13898.92"/>
    <x v="4"/>
    <n v="38361.03"/>
    <n v="24230.97"/>
    <n v="14130.06"/>
    <s v="Online"/>
    <s v="Credit Card"/>
  </r>
  <r>
    <s v="ORD11152"/>
    <x v="279"/>
    <x v="1"/>
    <s v="Telangana"/>
    <x v="7"/>
    <x v="3"/>
    <x v="4"/>
    <n v="7"/>
    <n v="7967.1"/>
    <x v="5"/>
    <n v="52981.2"/>
    <n v="38759.4"/>
    <n v="14221.8"/>
    <s v="Retail"/>
    <s v="UPI"/>
  </r>
  <r>
    <s v="ORD10377"/>
    <x v="238"/>
    <x v="1"/>
    <s v="Telangana"/>
    <x v="7"/>
    <x v="2"/>
    <x v="16"/>
    <n v="1"/>
    <n v="40215.339999999997"/>
    <x v="5"/>
    <n v="38204.57"/>
    <n v="23962.86"/>
    <n v="14241.71"/>
    <s v="Retail"/>
    <s v="Debit Card"/>
  </r>
  <r>
    <s v="ORD10855"/>
    <x v="19"/>
    <x v="3"/>
    <s v="Uttar Pradesh"/>
    <x v="6"/>
    <x v="1"/>
    <x v="11"/>
    <n v="2"/>
    <n v="21380.41"/>
    <x v="4"/>
    <n v="39339.949999999997"/>
    <n v="25020.36"/>
    <n v="14319.59"/>
    <s v="Retail"/>
    <s v="Net Banking"/>
  </r>
  <r>
    <s v="ORD10654"/>
    <x v="24"/>
    <x v="1"/>
    <s v="Andhra Pradesh"/>
    <x v="5"/>
    <x v="0"/>
    <x v="5"/>
    <n v="7"/>
    <n v="9007.3700000000008"/>
    <x v="0"/>
    <n v="53593.83"/>
    <n v="39212.82"/>
    <n v="14381.01"/>
    <s v="Retail"/>
    <s v="UPI"/>
  </r>
  <r>
    <s v="ORD10858"/>
    <x v="144"/>
    <x v="3"/>
    <s v="Haryana"/>
    <x v="0"/>
    <x v="1"/>
    <x v="10"/>
    <n v="6"/>
    <n v="18067.080000000002"/>
    <x v="5"/>
    <n v="102982.37"/>
    <n v="88493.95"/>
    <n v="14488.42"/>
    <s v="Corporate"/>
    <s v="Net Banking"/>
  </r>
  <r>
    <s v="ORD10052"/>
    <x v="280"/>
    <x v="0"/>
    <s v="West Bengal"/>
    <x v="1"/>
    <x v="1"/>
    <x v="10"/>
    <n v="5"/>
    <n v="18532.03"/>
    <x v="3"/>
    <n v="89880.33"/>
    <n v="75375.67"/>
    <n v="14504.66"/>
    <s v="Online"/>
    <s v="Debit Card"/>
  </r>
  <r>
    <s v="ORD10479"/>
    <x v="78"/>
    <x v="3"/>
    <s v="Uttar Pradesh"/>
    <x v="7"/>
    <x v="2"/>
    <x v="17"/>
    <n v="1"/>
    <n v="45861.25"/>
    <x v="2"/>
    <n v="45861.25"/>
    <n v="31247.72"/>
    <n v="14613.53"/>
    <s v="Retail"/>
    <s v="Credit Card"/>
  </r>
  <r>
    <s v="ORD11158"/>
    <x v="46"/>
    <x v="1"/>
    <s v="Tamil Nadu"/>
    <x v="6"/>
    <x v="0"/>
    <x v="8"/>
    <n v="6"/>
    <n v="16155.31"/>
    <x v="5"/>
    <n v="92085.24"/>
    <n v="77463.45"/>
    <n v="14621.79"/>
    <s v="Corporate"/>
    <s v="Credit Card"/>
  </r>
  <r>
    <s v="ORD10798"/>
    <x v="219"/>
    <x v="0"/>
    <s v="Bihar"/>
    <x v="2"/>
    <x v="3"/>
    <x v="6"/>
    <n v="5"/>
    <n v="10888.87"/>
    <x v="5"/>
    <n v="51722.15"/>
    <n v="37097.800000000003"/>
    <n v="14624.35"/>
    <s v="Retail"/>
    <s v="Net Banking"/>
  </r>
  <r>
    <s v="ORD10018"/>
    <x v="210"/>
    <x v="1"/>
    <s v="Andhra Pradesh"/>
    <x v="0"/>
    <x v="3"/>
    <x v="13"/>
    <n v="3"/>
    <n v="28657.16"/>
    <x v="4"/>
    <n v="79093.75"/>
    <n v="64404.480000000003"/>
    <n v="14689.27"/>
    <s v="Corporate"/>
    <s v="Net Banking"/>
  </r>
  <r>
    <s v="ORD11062"/>
    <x v="141"/>
    <x v="2"/>
    <s v="Goa"/>
    <x v="0"/>
    <x v="1"/>
    <x v="10"/>
    <n v="4"/>
    <n v="19261.41"/>
    <x v="1"/>
    <n v="69341.06"/>
    <n v="54604.09"/>
    <n v="14736.97"/>
    <s v="Retail"/>
    <s v="Net Banking"/>
  </r>
  <r>
    <s v="ORD10793"/>
    <x v="207"/>
    <x v="2"/>
    <s v="Maharashtra"/>
    <x v="7"/>
    <x v="3"/>
    <x v="6"/>
    <n v="7"/>
    <n v="11439.15"/>
    <x v="4"/>
    <n v="73668.12"/>
    <n v="58927.41"/>
    <n v="14740.71"/>
    <s v="Corporate"/>
    <s v="Credit Card"/>
  </r>
  <r>
    <s v="ORD10524"/>
    <x v="128"/>
    <x v="3"/>
    <s v="Uttar Pradesh"/>
    <x v="4"/>
    <x v="2"/>
    <x v="17"/>
    <n v="2"/>
    <n v="44241.03"/>
    <x v="5"/>
    <n v="84057.96"/>
    <n v="69282.960000000006"/>
    <n v="14775"/>
    <s v="Retail"/>
    <s v="Net Banking"/>
  </r>
  <r>
    <s v="ORD10961"/>
    <x v="119"/>
    <x v="3"/>
    <s v="Delhi"/>
    <x v="5"/>
    <x v="0"/>
    <x v="5"/>
    <n v="7"/>
    <n v="8953.64"/>
    <x v="2"/>
    <n v="62675.45"/>
    <n v="47856.7"/>
    <n v="14818.75"/>
    <s v="Retail"/>
    <s v="Cash"/>
  </r>
  <r>
    <s v="ORD10333"/>
    <x v="61"/>
    <x v="3"/>
    <s v="Punjab"/>
    <x v="4"/>
    <x v="2"/>
    <x v="16"/>
    <n v="2"/>
    <n v="38788.79"/>
    <x v="1"/>
    <n v="69819.820000000007"/>
    <n v="54961.5"/>
    <n v="14858.32"/>
    <s v="Retail"/>
    <s v="Cash"/>
  </r>
  <r>
    <s v="ORD11104"/>
    <x v="281"/>
    <x v="3"/>
    <s v="Haryana"/>
    <x v="2"/>
    <x v="1"/>
    <x v="11"/>
    <n v="5"/>
    <n v="21139.11"/>
    <x v="5"/>
    <n v="100410.76"/>
    <n v="85543.77"/>
    <n v="14866.99"/>
    <s v="Corporate"/>
    <s v="Cash"/>
  </r>
  <r>
    <s v="ORD10136"/>
    <x v="282"/>
    <x v="0"/>
    <s v="Bihar"/>
    <x v="3"/>
    <x v="2"/>
    <x v="3"/>
    <n v="8"/>
    <n v="5297.47"/>
    <x v="5"/>
    <n v="40260.74"/>
    <n v="25383.54"/>
    <n v="14877.2"/>
    <s v="Corporate"/>
    <s v="Credit Card"/>
  </r>
  <r>
    <s v="ORD10433"/>
    <x v="150"/>
    <x v="2"/>
    <s v="Goa"/>
    <x v="6"/>
    <x v="3"/>
    <x v="18"/>
    <n v="3"/>
    <n v="27417.71"/>
    <x v="5"/>
    <n v="78140.47"/>
    <n v="63262.8"/>
    <n v="14877.67"/>
    <s v="Corporate"/>
    <s v="UPI"/>
  </r>
  <r>
    <s v="ORD11122"/>
    <x v="80"/>
    <x v="1"/>
    <s v="Tamil Nadu"/>
    <x v="3"/>
    <x v="2"/>
    <x v="15"/>
    <n v="3"/>
    <n v="38129.42"/>
    <x v="4"/>
    <n v="105237.19"/>
    <n v="90343.23"/>
    <n v="14893.96"/>
    <s v="Corporate"/>
    <s v="Cash"/>
  </r>
  <r>
    <s v="ORD10050"/>
    <x v="151"/>
    <x v="2"/>
    <s v="Gujarat"/>
    <x v="3"/>
    <x v="0"/>
    <x v="8"/>
    <n v="5"/>
    <n v="15472.62"/>
    <x v="5"/>
    <n v="73494.95"/>
    <n v="58568.43"/>
    <n v="14926.52"/>
    <s v="Online"/>
    <s v="Net Banking"/>
  </r>
  <r>
    <s v="ORD10640"/>
    <x v="283"/>
    <x v="1"/>
    <s v="Karnataka"/>
    <x v="4"/>
    <x v="3"/>
    <x v="4"/>
    <n v="6"/>
    <n v="8315.81"/>
    <x v="1"/>
    <n v="44905.38"/>
    <n v="29942.29"/>
    <n v="14963.09"/>
    <s v="Online"/>
    <s v="Debit Card"/>
  </r>
  <r>
    <s v="ORD10826"/>
    <x v="272"/>
    <x v="1"/>
    <s v="Andhra Pradesh"/>
    <x v="2"/>
    <x v="1"/>
    <x v="10"/>
    <n v="3"/>
    <n v="18885.16"/>
    <x v="4"/>
    <n v="52123.03"/>
    <n v="37146.910000000003"/>
    <n v="14976.12"/>
    <s v="Online"/>
    <s v="Credit Card"/>
  </r>
  <r>
    <s v="ORD11063"/>
    <x v="53"/>
    <x v="0"/>
    <s v="Bihar"/>
    <x v="3"/>
    <x v="2"/>
    <x v="17"/>
    <n v="2"/>
    <n v="46674.25"/>
    <x v="1"/>
    <n v="84013.66"/>
    <n v="69034.69"/>
    <n v="14978.97"/>
    <s v="Online"/>
    <s v="Credit Card"/>
  </r>
  <r>
    <s v="ORD11042"/>
    <x v="59"/>
    <x v="2"/>
    <s v="Maharashtra"/>
    <x v="2"/>
    <x v="2"/>
    <x v="17"/>
    <n v="1"/>
    <n v="49577.32"/>
    <x v="3"/>
    <n v="48090"/>
    <n v="33081.47"/>
    <n v="15008.53"/>
    <s v="Online"/>
    <s v="Cash"/>
  </r>
  <r>
    <s v="ORD10344"/>
    <x v="175"/>
    <x v="1"/>
    <s v="Andhra Pradesh"/>
    <x v="4"/>
    <x v="2"/>
    <x v="16"/>
    <n v="2"/>
    <n v="43318.17"/>
    <x v="5"/>
    <n v="82304.52"/>
    <n v="67262.5"/>
    <n v="15042.02"/>
    <s v="Online"/>
    <s v="UPI"/>
  </r>
  <r>
    <s v="ORD10871"/>
    <x v="27"/>
    <x v="1"/>
    <s v="Telangana"/>
    <x v="1"/>
    <x v="1"/>
    <x v="10"/>
    <n v="5"/>
    <n v="17381.84"/>
    <x v="0"/>
    <n v="73872.820000000007"/>
    <n v="58816.51"/>
    <n v="15056.31"/>
    <s v="Corporate"/>
    <s v="Cash"/>
  </r>
  <r>
    <s v="ORD10572"/>
    <x v="149"/>
    <x v="2"/>
    <s v="Rajasthan"/>
    <x v="0"/>
    <x v="2"/>
    <x v="7"/>
    <n v="5"/>
    <n v="12709.16"/>
    <x v="4"/>
    <n v="58462.12"/>
    <n v="43276.56"/>
    <n v="15185.56"/>
    <s v="Corporate"/>
    <s v="UPI"/>
  </r>
  <r>
    <s v="ORD10507"/>
    <x v="247"/>
    <x v="3"/>
    <s v="Uttar Pradesh"/>
    <x v="3"/>
    <x v="1"/>
    <x v="10"/>
    <n v="5"/>
    <n v="17699.84"/>
    <x v="4"/>
    <n v="81419.259999999995"/>
    <n v="66221.91"/>
    <n v="15197.35"/>
    <s v="Online"/>
    <s v="Net Banking"/>
  </r>
  <r>
    <s v="ORD10558"/>
    <x v="284"/>
    <x v="1"/>
    <s v="Tamil Nadu"/>
    <x v="1"/>
    <x v="0"/>
    <x v="8"/>
    <n v="5"/>
    <n v="14782.04"/>
    <x v="3"/>
    <n v="71692.89"/>
    <n v="56380.05"/>
    <n v="15312.84"/>
    <s v="Retail"/>
    <s v="Debit Card"/>
  </r>
  <r>
    <s v="ORD10770"/>
    <x v="28"/>
    <x v="2"/>
    <s v="Unknown"/>
    <x v="3"/>
    <x v="1"/>
    <x v="19"/>
    <n v="1"/>
    <n v="65442.78"/>
    <x v="3"/>
    <n v="63479.5"/>
    <n v="48096.56"/>
    <n v="15382.94"/>
    <s v="Corporate"/>
    <s v="UPI"/>
  </r>
  <r>
    <s v="ORD10820"/>
    <x v="235"/>
    <x v="1"/>
    <s v="Tamil Nadu"/>
    <x v="1"/>
    <x v="2"/>
    <x v="15"/>
    <n v="2"/>
    <n v="38234.07"/>
    <x v="2"/>
    <n v="76468.14"/>
    <n v="61066.720000000001"/>
    <n v="15401.42"/>
    <s v="Online"/>
    <s v="Debit Card"/>
  </r>
  <r>
    <s v="ORD11134"/>
    <x v="154"/>
    <x v="2"/>
    <s v="Goa"/>
    <x v="6"/>
    <x v="0"/>
    <x v="9"/>
    <n v="5"/>
    <n v="14871.1"/>
    <x v="4"/>
    <n v="68407.06"/>
    <n v="52978.06"/>
    <n v="15429"/>
    <s v="Corporate"/>
    <s v="UPI"/>
  </r>
  <r>
    <s v="ORD11010"/>
    <x v="285"/>
    <x v="3"/>
    <s v="Uttar Pradesh"/>
    <x v="4"/>
    <x v="0"/>
    <x v="5"/>
    <n v="8"/>
    <n v="9423.4500000000007"/>
    <x v="0"/>
    <n v="64079.44"/>
    <n v="48545.71"/>
    <n v="15533.73"/>
    <s v="Online"/>
    <s v="Cash"/>
  </r>
  <r>
    <s v="ORD10607"/>
    <x v="286"/>
    <x v="0"/>
    <s v="Bihar"/>
    <x v="7"/>
    <x v="1"/>
    <x v="11"/>
    <n v="2"/>
    <n v="23021.09"/>
    <x v="4"/>
    <n v="42358.81"/>
    <n v="26718.52"/>
    <n v="15640.29"/>
    <s v="Corporate"/>
    <s v="Credit Card"/>
  </r>
  <r>
    <s v="ORD10569"/>
    <x v="58"/>
    <x v="2"/>
    <s v="Maharashtra"/>
    <x v="6"/>
    <x v="2"/>
    <x v="7"/>
    <n v="7"/>
    <n v="11735.6"/>
    <x v="1"/>
    <n v="73934.3"/>
    <n v="58286.83"/>
    <n v="15647.47"/>
    <s v="Online"/>
    <s v="Credit Card"/>
  </r>
  <r>
    <s v="ORD10308"/>
    <x v="7"/>
    <x v="1"/>
    <s v="Andhra Pradesh"/>
    <x v="3"/>
    <x v="1"/>
    <x v="11"/>
    <n v="2"/>
    <n v="23171.56"/>
    <x v="1"/>
    <n v="41708.81"/>
    <n v="25981.15"/>
    <n v="15727.66"/>
    <s v="Retail"/>
    <s v="UPI"/>
  </r>
  <r>
    <s v="ORD10160"/>
    <x v="75"/>
    <x v="0"/>
    <s v="Odisha"/>
    <x v="0"/>
    <x v="3"/>
    <x v="14"/>
    <n v="2"/>
    <n v="30525.67"/>
    <x v="4"/>
    <n v="56167.23"/>
    <n v="40364.400000000001"/>
    <n v="15802.83"/>
    <s v="Online"/>
    <s v="UPI"/>
  </r>
  <r>
    <s v="ORD10168"/>
    <x v="283"/>
    <x v="2"/>
    <s v="Goa"/>
    <x v="1"/>
    <x v="1"/>
    <x v="10"/>
    <n v="3"/>
    <n v="19230.27"/>
    <x v="3"/>
    <n v="55960.09"/>
    <n v="40058.239999999998"/>
    <n v="15901.85"/>
    <s v="Retail"/>
    <s v="Net Banking"/>
  </r>
  <r>
    <s v="ORD10500"/>
    <x v="149"/>
    <x v="1"/>
    <s v="Telangana"/>
    <x v="2"/>
    <x v="1"/>
    <x v="19"/>
    <n v="1"/>
    <n v="62208.63"/>
    <x v="1"/>
    <n v="55987.77"/>
    <n v="40050.58"/>
    <n v="15937.19"/>
    <s v="Online"/>
    <s v="Net Banking"/>
  </r>
  <r>
    <s v="ORD10535"/>
    <x v="244"/>
    <x v="1"/>
    <s v="Andhra Pradesh"/>
    <x v="1"/>
    <x v="0"/>
    <x v="8"/>
    <n v="7"/>
    <n v="15521.67"/>
    <x v="5"/>
    <n v="103219.11"/>
    <n v="87254.26"/>
    <n v="15964.85"/>
    <s v="Corporate"/>
    <s v="Credit Card"/>
  </r>
  <r>
    <s v="ORD10852"/>
    <x v="3"/>
    <x v="2"/>
    <s v="Gujarat"/>
    <x v="5"/>
    <x v="2"/>
    <x v="7"/>
    <n v="4"/>
    <n v="12676.68"/>
    <x v="5"/>
    <n v="48171.39"/>
    <n v="32147.43"/>
    <n v="16023.96"/>
    <s v="Retail"/>
    <s v="UPI"/>
  </r>
  <r>
    <s v="ORD10783"/>
    <x v="262"/>
    <x v="2"/>
    <s v="Maharashtra"/>
    <x v="1"/>
    <x v="1"/>
    <x v="11"/>
    <n v="3"/>
    <n v="22105.16"/>
    <x v="4"/>
    <n v="61010.25"/>
    <n v="44890.22"/>
    <n v="16120.03"/>
    <s v="Corporate"/>
    <s v="Credit Card"/>
  </r>
  <r>
    <s v="ORD11155"/>
    <x v="2"/>
    <x v="1"/>
    <s v="Andhra Pradesh"/>
    <x v="4"/>
    <x v="2"/>
    <x v="15"/>
    <n v="3"/>
    <n v="36520.199999999997"/>
    <x v="4"/>
    <n v="100795.74"/>
    <n v="84673.46"/>
    <n v="16122.28"/>
    <s v="Retail"/>
    <s v="Net Banking"/>
  </r>
  <r>
    <s v="ORD10539"/>
    <x v="287"/>
    <x v="1"/>
    <s v="Karnataka"/>
    <x v="2"/>
    <x v="2"/>
    <x v="7"/>
    <n v="5"/>
    <n v="11225.65"/>
    <x v="4"/>
    <n v="51638.01"/>
    <n v="35508.26"/>
    <n v="16129.75"/>
    <s v="Online"/>
    <s v="UPI"/>
  </r>
  <r>
    <s v="ORD10818"/>
    <x v="59"/>
    <x v="2"/>
    <s v="Gujarat"/>
    <x v="3"/>
    <x v="3"/>
    <x v="13"/>
    <n v="2"/>
    <n v="29570.42"/>
    <x v="3"/>
    <n v="57366.62"/>
    <n v="41158.239999999998"/>
    <n v="16208.38"/>
    <s v="Retail"/>
    <s v="Cash"/>
  </r>
  <r>
    <s v="ORD10464"/>
    <x v="214"/>
    <x v="3"/>
    <s v="Punjab"/>
    <x v="4"/>
    <x v="2"/>
    <x v="17"/>
    <n v="2"/>
    <n v="46335.62"/>
    <x v="5"/>
    <n v="88037.69"/>
    <n v="71737.320000000007"/>
    <n v="16300.37"/>
    <s v="Retail"/>
    <s v="UPI"/>
  </r>
  <r>
    <s v="ORD10435"/>
    <x v="288"/>
    <x v="1"/>
    <s v="Tamil Nadu"/>
    <x v="2"/>
    <x v="3"/>
    <x v="6"/>
    <n v="6"/>
    <n v="10801.6"/>
    <x v="4"/>
    <n v="59624.85"/>
    <n v="43292.89"/>
    <n v="16331.96"/>
    <s v="Retail"/>
    <s v="UPI"/>
  </r>
  <r>
    <s v="ORD10016"/>
    <x v="289"/>
    <x v="1"/>
    <s v="Karnataka"/>
    <x v="3"/>
    <x v="1"/>
    <x v="19"/>
    <n v="1"/>
    <n v="62291.44"/>
    <x v="2"/>
    <n v="62291.44"/>
    <n v="45937.98"/>
    <n v="16353.46"/>
    <s v="Corporate"/>
    <s v="Net Banking"/>
  </r>
  <r>
    <s v="ORD10763"/>
    <x v="208"/>
    <x v="0"/>
    <s v="West Bengal"/>
    <x v="7"/>
    <x v="3"/>
    <x v="6"/>
    <n v="5"/>
    <n v="11541.16"/>
    <x v="2"/>
    <n v="57705.81"/>
    <n v="41279.85"/>
    <n v="16425.96"/>
    <s v="Retail"/>
    <s v="Net Banking"/>
  </r>
  <r>
    <s v="ORD11008"/>
    <x v="202"/>
    <x v="0"/>
    <s v="Odisha"/>
    <x v="7"/>
    <x v="1"/>
    <x v="10"/>
    <n v="5"/>
    <n v="17989.349999999999"/>
    <x v="5"/>
    <n v="85449.43"/>
    <n v="68945.33"/>
    <n v="16504.099999999999"/>
    <s v="Corporate"/>
    <s v="UPI"/>
  </r>
  <r>
    <s v="ORD11026"/>
    <x v="290"/>
    <x v="1"/>
    <s v="Telangana"/>
    <x v="3"/>
    <x v="2"/>
    <x v="17"/>
    <n v="2"/>
    <n v="46779.01"/>
    <x v="3"/>
    <n v="90751.28"/>
    <n v="74151.789999999994"/>
    <n v="16599.490000000002"/>
    <s v="Online"/>
    <s v="Cash"/>
  </r>
  <r>
    <s v="ORD10256"/>
    <x v="186"/>
    <x v="0"/>
    <s v="Bihar"/>
    <x v="3"/>
    <x v="2"/>
    <x v="16"/>
    <n v="3"/>
    <n v="42519.32"/>
    <x v="1"/>
    <n v="114802.15"/>
    <n v="98199.17"/>
    <n v="16602.98"/>
    <s v="Corporate"/>
    <s v="Net Banking"/>
  </r>
  <r>
    <s v="ORD10586"/>
    <x v="291"/>
    <x v="3"/>
    <s v="Punjab"/>
    <x v="8"/>
    <x v="0"/>
    <x v="5"/>
    <n v="7"/>
    <n v="8469.7999999999993"/>
    <x v="1"/>
    <n v="53359.75"/>
    <n v="36605.11"/>
    <n v="16754.64"/>
    <s v="Online"/>
    <s v="Cash"/>
  </r>
  <r>
    <s v="ORD10772"/>
    <x v="180"/>
    <x v="1"/>
    <s v="Andhra Pradesh"/>
    <x v="2"/>
    <x v="1"/>
    <x v="10"/>
    <n v="5"/>
    <n v="17965.740000000002"/>
    <x v="4"/>
    <n v="82642.41"/>
    <n v="65801.98"/>
    <n v="16840.43"/>
    <s v="Retail"/>
    <s v="UPI"/>
  </r>
  <r>
    <s v="ORD10478"/>
    <x v="292"/>
    <x v="3"/>
    <s v="Punjab"/>
    <x v="2"/>
    <x v="3"/>
    <x v="6"/>
    <n v="7"/>
    <n v="11637.99"/>
    <x v="3"/>
    <n v="79021.98"/>
    <n v="62178.05"/>
    <n v="16843.93"/>
    <s v="Online"/>
    <s v="UPI"/>
  </r>
  <r>
    <s v="ORD10115"/>
    <x v="293"/>
    <x v="3"/>
    <s v="Delhi"/>
    <x v="1"/>
    <x v="1"/>
    <x v="12"/>
    <n v="4"/>
    <n v="27770.03"/>
    <x v="3"/>
    <n v="107747.71"/>
    <n v="90893.97"/>
    <n v="16853.740000000002"/>
    <s v="Retail"/>
    <s v="Debit Card"/>
  </r>
  <r>
    <s v="ORD11135"/>
    <x v="159"/>
    <x v="2"/>
    <s v="Goa"/>
    <x v="6"/>
    <x v="1"/>
    <x v="10"/>
    <n v="5"/>
    <n v="17452.599999999999"/>
    <x v="1"/>
    <n v="78536.69"/>
    <n v="61664.01"/>
    <n v="16872.68"/>
    <s v="Online"/>
    <s v="Net Banking"/>
  </r>
  <r>
    <s v="ORD10048"/>
    <x v="17"/>
    <x v="0"/>
    <s v="Bihar"/>
    <x v="1"/>
    <x v="0"/>
    <x v="9"/>
    <n v="5"/>
    <n v="13412.01"/>
    <x v="5"/>
    <n v="63707.07"/>
    <n v="46802.5"/>
    <n v="16904.57"/>
    <s v="Corporate"/>
    <s v="Cash"/>
  </r>
  <r>
    <s v="ORD10502"/>
    <x v="220"/>
    <x v="0"/>
    <s v="Jharkhand"/>
    <x v="0"/>
    <x v="2"/>
    <x v="16"/>
    <n v="1"/>
    <n v="44622.39"/>
    <x v="2"/>
    <n v="44622.39"/>
    <n v="27706.98"/>
    <n v="16915.41"/>
    <s v="Online"/>
    <s v="UPI"/>
  </r>
  <r>
    <s v="ORD10693"/>
    <x v="294"/>
    <x v="3"/>
    <s v="Punjab"/>
    <x v="0"/>
    <x v="2"/>
    <x v="17"/>
    <n v="2"/>
    <n v="46964.95"/>
    <x v="5"/>
    <n v="89233.41"/>
    <n v="72209.09"/>
    <n v="17024.32"/>
    <s v="Online"/>
    <s v="Credit Card"/>
  </r>
  <r>
    <s v="ORD10776"/>
    <x v="38"/>
    <x v="1"/>
    <s v="Andhra Pradesh"/>
    <x v="1"/>
    <x v="3"/>
    <x v="6"/>
    <n v="8"/>
    <n v="10909.2"/>
    <x v="3"/>
    <n v="84655.37"/>
    <n v="67610.91"/>
    <n v="17044.46"/>
    <s v="Online"/>
    <s v="Cash"/>
  </r>
  <r>
    <s v="ORD10426"/>
    <x v="295"/>
    <x v="1"/>
    <s v="Tamil Nadu"/>
    <x v="7"/>
    <x v="1"/>
    <x v="11"/>
    <n v="5"/>
    <n v="20548.53"/>
    <x v="2"/>
    <n v="102742.64"/>
    <n v="85678.77"/>
    <n v="17063.87"/>
    <s v="Retail"/>
    <s v="Cash"/>
  </r>
  <r>
    <s v="ORD10471"/>
    <x v="296"/>
    <x v="2"/>
    <s v="Rajasthan"/>
    <x v="2"/>
    <x v="1"/>
    <x v="10"/>
    <n v="7"/>
    <n v="16633.64"/>
    <x v="1"/>
    <n v="104791.94"/>
    <n v="87687.75"/>
    <n v="17104.189999999999"/>
    <s v="Online"/>
    <s v="Credit Card"/>
  </r>
  <r>
    <s v="ORD10516"/>
    <x v="195"/>
    <x v="3"/>
    <s v="Uttar Pradesh"/>
    <x v="0"/>
    <x v="0"/>
    <x v="5"/>
    <n v="5"/>
    <n v="9439.3700000000008"/>
    <x v="2"/>
    <n v="47196.84"/>
    <n v="30051.77"/>
    <n v="17145.07"/>
    <s v="Online"/>
    <s v="UPI"/>
  </r>
  <r>
    <s v="ORD10949"/>
    <x v="8"/>
    <x v="0"/>
    <s v="Bihar"/>
    <x v="2"/>
    <x v="3"/>
    <x v="4"/>
    <n v="6"/>
    <n v="8909.93"/>
    <x v="1"/>
    <n v="48113.61"/>
    <n v="30967.78"/>
    <n v="17145.830000000002"/>
    <s v="Online"/>
    <s v="Cash"/>
  </r>
  <r>
    <s v="ORD10888"/>
    <x v="89"/>
    <x v="2"/>
    <s v="Goa"/>
    <x v="6"/>
    <x v="2"/>
    <x v="16"/>
    <n v="2"/>
    <n v="42856.84"/>
    <x v="1"/>
    <n v="77142.31"/>
    <n v="59828.12"/>
    <n v="17314.189999999999"/>
    <s v="Corporate"/>
    <s v="Debit Card"/>
  </r>
  <r>
    <s v="ORD11127"/>
    <x v="56"/>
    <x v="3"/>
    <s v="Delhi"/>
    <x v="7"/>
    <x v="0"/>
    <x v="5"/>
    <n v="8"/>
    <n v="9703.01"/>
    <x v="5"/>
    <n v="73742.899999999994"/>
    <n v="56328.59"/>
    <n v="17414.310000000001"/>
    <s v="Retail"/>
    <s v="UPI"/>
  </r>
  <r>
    <s v="ORD10822"/>
    <x v="297"/>
    <x v="0"/>
    <s v="Odisha"/>
    <x v="5"/>
    <x v="3"/>
    <x v="13"/>
    <n v="4"/>
    <n v="29680.63"/>
    <x v="5"/>
    <n v="112786.38"/>
    <n v="95319.48"/>
    <n v="17466.900000000001"/>
    <s v="Retail"/>
    <s v="UPI"/>
  </r>
  <r>
    <s v="ORD10882"/>
    <x v="138"/>
    <x v="1"/>
    <s v="Andhra Pradesh"/>
    <x v="0"/>
    <x v="2"/>
    <x v="16"/>
    <n v="2"/>
    <n v="40696.33"/>
    <x v="1"/>
    <n v="73253.39"/>
    <n v="55764.92"/>
    <n v="17488.47"/>
    <s v="Retail"/>
    <s v="Debit Card"/>
  </r>
  <r>
    <s v="ORD10909"/>
    <x v="243"/>
    <x v="3"/>
    <s v="Punjab"/>
    <x v="6"/>
    <x v="1"/>
    <x v="12"/>
    <n v="3"/>
    <n v="30151.13"/>
    <x v="1"/>
    <n v="81408.06"/>
    <n v="63902.87"/>
    <n v="17505.189999999999"/>
    <s v="Corporate"/>
    <s v="Credit Card"/>
  </r>
  <r>
    <s v="ORD10438"/>
    <x v="171"/>
    <x v="3"/>
    <s v="Uttar Pradesh"/>
    <x v="6"/>
    <x v="1"/>
    <x v="10"/>
    <n v="3"/>
    <n v="18513.77"/>
    <x v="4"/>
    <n v="51098"/>
    <n v="33500.18"/>
    <n v="17597.82"/>
    <s v="Retail"/>
    <s v="Debit Card"/>
  </r>
  <r>
    <s v="ORD10297"/>
    <x v="58"/>
    <x v="2"/>
    <s v="Gujarat"/>
    <x v="5"/>
    <x v="1"/>
    <x v="19"/>
    <n v="1"/>
    <n v="65406.58"/>
    <x v="3"/>
    <n v="63444.39"/>
    <n v="45810.32"/>
    <n v="17634.07"/>
    <s v="Retail"/>
    <s v="Cash"/>
  </r>
  <r>
    <s v="ORD10774"/>
    <x v="168"/>
    <x v="0"/>
    <s v="Odisha"/>
    <x v="1"/>
    <x v="1"/>
    <x v="11"/>
    <n v="6"/>
    <n v="20977.11"/>
    <x v="2"/>
    <n v="125862.67"/>
    <n v="108164.05"/>
    <n v="17698.62"/>
    <s v="Retail"/>
    <s v="Debit Card"/>
  </r>
  <r>
    <s v="ORD10401"/>
    <x v="74"/>
    <x v="2"/>
    <s v="Goa"/>
    <x v="2"/>
    <x v="0"/>
    <x v="9"/>
    <n v="5"/>
    <n v="15098.34"/>
    <x v="2"/>
    <n v="75491.72"/>
    <n v="57739.61"/>
    <n v="17752.11"/>
    <s v="Corporate"/>
    <s v="Credit Card"/>
  </r>
  <r>
    <s v="ORD10738"/>
    <x v="162"/>
    <x v="0"/>
    <s v="Odisha"/>
    <x v="4"/>
    <x v="0"/>
    <x v="5"/>
    <n v="8"/>
    <n v="9402.56"/>
    <x v="2"/>
    <n v="75220.45"/>
    <n v="57466.36"/>
    <n v="17754.09"/>
    <s v="Retail"/>
    <s v="Debit Card"/>
  </r>
  <r>
    <s v="ORD10842"/>
    <x v="260"/>
    <x v="2"/>
    <s v="Gujarat"/>
    <x v="4"/>
    <x v="0"/>
    <x v="8"/>
    <n v="8"/>
    <n v="15863.65"/>
    <x v="3"/>
    <n v="123101.93"/>
    <n v="105307.19"/>
    <n v="17794.740000000002"/>
    <s v="Retail"/>
    <s v="Cash"/>
  </r>
  <r>
    <s v="ORD10799"/>
    <x v="297"/>
    <x v="3"/>
    <s v="Delhi"/>
    <x v="3"/>
    <x v="0"/>
    <x v="9"/>
    <n v="5"/>
    <n v="14909.1"/>
    <x v="1"/>
    <n v="67090.97"/>
    <n v="49181.71"/>
    <n v="17909.259999999998"/>
    <s v="Corporate"/>
    <s v="Credit Card"/>
  </r>
  <r>
    <s v="ORD10706"/>
    <x v="76"/>
    <x v="1"/>
    <s v="Andhra Pradesh"/>
    <x v="1"/>
    <x v="0"/>
    <x v="5"/>
    <n v="6"/>
    <n v="9221.8700000000008"/>
    <x v="5"/>
    <n v="52564.67"/>
    <n v="34595.01"/>
    <n v="17969.66"/>
    <s v="Online"/>
    <s v="Cash"/>
  </r>
  <r>
    <s v="ORD10304"/>
    <x v="69"/>
    <x v="3"/>
    <s v="Delhi"/>
    <x v="2"/>
    <x v="1"/>
    <x v="10"/>
    <n v="5"/>
    <n v="19026.830000000002"/>
    <x v="4"/>
    <n v="87523.41"/>
    <n v="69536.789999999994"/>
    <n v="17986.62"/>
    <s v="Corporate"/>
    <s v="UPI"/>
  </r>
  <r>
    <s v="ORD10241"/>
    <x v="219"/>
    <x v="0"/>
    <s v="Bihar"/>
    <x v="6"/>
    <x v="2"/>
    <x v="15"/>
    <n v="3"/>
    <n v="38380.53"/>
    <x v="4"/>
    <n v="105930.27"/>
    <n v="87889.04"/>
    <n v="18041.23"/>
    <s v="Corporate"/>
    <s v="Cash"/>
  </r>
  <r>
    <s v="ORD10285"/>
    <x v="143"/>
    <x v="1"/>
    <s v="Tamil Nadu"/>
    <x v="2"/>
    <x v="3"/>
    <x v="13"/>
    <n v="5"/>
    <n v="27839.9"/>
    <x v="1"/>
    <n v="125279.55"/>
    <n v="107174.93"/>
    <n v="18104.62"/>
    <s v="Corporate"/>
    <s v="Net Banking"/>
  </r>
  <r>
    <s v="ORD11061"/>
    <x v="167"/>
    <x v="2"/>
    <s v="Maharashtra"/>
    <x v="7"/>
    <x v="2"/>
    <x v="16"/>
    <n v="2"/>
    <n v="41297.120000000003"/>
    <x v="1"/>
    <n v="74334.820000000007"/>
    <n v="56218.07"/>
    <n v="18116.75"/>
    <s v="Corporate"/>
    <s v="UPI"/>
  </r>
  <r>
    <s v="ORD11073"/>
    <x v="30"/>
    <x v="2"/>
    <s v="Rajasthan"/>
    <x v="0"/>
    <x v="2"/>
    <x v="15"/>
    <n v="3"/>
    <n v="36475.51"/>
    <x v="2"/>
    <n v="109426.53"/>
    <n v="91273.42"/>
    <n v="18153.11"/>
    <s v="Retail"/>
    <s v="Net Banking"/>
  </r>
  <r>
    <s v="ORD10266"/>
    <x v="247"/>
    <x v="3"/>
    <s v="Haryana"/>
    <x v="7"/>
    <x v="1"/>
    <x v="12"/>
    <n v="2"/>
    <n v="31554.13"/>
    <x v="4"/>
    <n v="58059.61"/>
    <n v="39780.78"/>
    <n v="18278.830000000002"/>
    <s v="Retail"/>
    <s v="UPI"/>
  </r>
  <r>
    <s v="ORD10222"/>
    <x v="248"/>
    <x v="3"/>
    <s v="Punjab"/>
    <x v="2"/>
    <x v="0"/>
    <x v="9"/>
    <n v="4"/>
    <n v="14908.01"/>
    <x v="4"/>
    <n v="54861.46"/>
    <n v="36532.379999999997"/>
    <n v="18329.080000000002"/>
    <s v="Corporate"/>
    <s v="UPI"/>
  </r>
  <r>
    <s v="ORD10971"/>
    <x v="219"/>
    <x v="3"/>
    <s v="Haryana"/>
    <x v="0"/>
    <x v="1"/>
    <x v="11"/>
    <n v="5"/>
    <n v="20739.599999999999"/>
    <x v="3"/>
    <n v="100587.08"/>
    <n v="82220.31"/>
    <n v="18366.77"/>
    <s v="Corporate"/>
    <s v="Credit Card"/>
  </r>
  <r>
    <s v="ORD11078"/>
    <x v="127"/>
    <x v="1"/>
    <s v="Tamil Nadu"/>
    <x v="2"/>
    <x v="1"/>
    <x v="10"/>
    <n v="5"/>
    <n v="17342.05"/>
    <x v="5"/>
    <n v="82374.73"/>
    <n v="63978.41"/>
    <n v="18396.32"/>
    <s v="Retail"/>
    <s v="Net Banking"/>
  </r>
  <r>
    <s v="ORD10218"/>
    <x v="254"/>
    <x v="2"/>
    <s v="Gujarat"/>
    <x v="2"/>
    <x v="3"/>
    <x v="14"/>
    <n v="4"/>
    <n v="33227.42"/>
    <x v="3"/>
    <n v="128922.39"/>
    <n v="110514.83"/>
    <n v="18407.560000000001"/>
    <s v="Online"/>
    <s v="Cash"/>
  </r>
  <r>
    <s v="ORD10672"/>
    <x v="161"/>
    <x v="2"/>
    <s v="Gujarat"/>
    <x v="6"/>
    <x v="1"/>
    <x v="10"/>
    <n v="4"/>
    <n v="18775.03"/>
    <x v="1"/>
    <n v="67590.11"/>
    <n v="49146.47"/>
    <n v="18443.64"/>
    <s v="Corporate"/>
    <s v="Net Banking"/>
  </r>
  <r>
    <s v="ORD10731"/>
    <x v="40"/>
    <x v="2"/>
    <s v="Rajasthan"/>
    <x v="0"/>
    <x v="0"/>
    <x v="9"/>
    <n v="8"/>
    <n v="13946.37"/>
    <x v="0"/>
    <n v="94835.3"/>
    <n v="76333.41"/>
    <n v="18501.89"/>
    <s v="Corporate"/>
    <s v="UPI"/>
  </r>
  <r>
    <s v="ORD10331"/>
    <x v="23"/>
    <x v="1"/>
    <s v="Andhra Pradesh"/>
    <x v="4"/>
    <x v="3"/>
    <x v="18"/>
    <n v="2"/>
    <n v="28603.18"/>
    <x v="4"/>
    <n v="52629.86"/>
    <n v="34126.230000000003"/>
    <n v="18503.63"/>
    <s v="Corporate"/>
    <s v="Debit Card"/>
  </r>
  <r>
    <s v="ORD10237"/>
    <x v="298"/>
    <x v="1"/>
    <s v="Telangana"/>
    <x v="7"/>
    <x v="2"/>
    <x v="7"/>
    <n v="7"/>
    <n v="12143.58"/>
    <x v="2"/>
    <n v="85005.04"/>
    <n v="66482.509999999995"/>
    <n v="18522.53"/>
    <s v="Corporate"/>
    <s v="Cash"/>
  </r>
  <r>
    <s v="ORD11046"/>
    <x v="299"/>
    <x v="2"/>
    <s v="Goa"/>
    <x v="4"/>
    <x v="3"/>
    <x v="14"/>
    <n v="2"/>
    <n v="30646.5"/>
    <x v="1"/>
    <n v="55163.7"/>
    <n v="36641.03"/>
    <n v="18522.669999999998"/>
    <s v="Retail"/>
    <s v="Net Banking"/>
  </r>
  <r>
    <s v="ORD11129"/>
    <x v="300"/>
    <x v="3"/>
    <s v="Uttar Pradesh"/>
    <x v="5"/>
    <x v="2"/>
    <x v="15"/>
    <n v="2"/>
    <n v="34849.31"/>
    <x v="5"/>
    <n v="66213.69"/>
    <n v="47539.66"/>
    <n v="18674.03"/>
    <s v="Online"/>
    <s v="Cash"/>
  </r>
  <r>
    <s v="ORD11019"/>
    <x v="236"/>
    <x v="1"/>
    <s v="Tamil Nadu"/>
    <x v="3"/>
    <x v="1"/>
    <x v="10"/>
    <n v="7"/>
    <n v="17458.560000000001"/>
    <x v="1"/>
    <n v="109988.95"/>
    <n v="91169.41"/>
    <n v="18819.54"/>
    <s v="Retail"/>
    <s v="UPI"/>
  </r>
  <r>
    <s v="ORD10963"/>
    <x v="301"/>
    <x v="2"/>
    <s v="Gujarat"/>
    <x v="5"/>
    <x v="1"/>
    <x v="19"/>
    <n v="1"/>
    <n v="62822.69"/>
    <x v="3"/>
    <n v="60938.01"/>
    <n v="42115.69"/>
    <n v="18822.32"/>
    <s v="Corporate"/>
    <s v="Net Banking"/>
  </r>
  <r>
    <s v="ORD11089"/>
    <x v="175"/>
    <x v="3"/>
    <s v="Delhi"/>
    <x v="3"/>
    <x v="1"/>
    <x v="19"/>
    <n v="1"/>
    <n v="60881.73"/>
    <x v="5"/>
    <n v="57837.64"/>
    <n v="38997.83"/>
    <n v="18839.810000000001"/>
    <s v="Retail"/>
    <s v="Net Banking"/>
  </r>
  <r>
    <s v="ORD10196"/>
    <x v="221"/>
    <x v="2"/>
    <s v="Maharashtra"/>
    <x v="5"/>
    <x v="1"/>
    <x v="11"/>
    <n v="7"/>
    <n v="21315.73"/>
    <x v="1"/>
    <n v="134289.07999999999"/>
    <n v="115370.47"/>
    <n v="18918.61"/>
    <s v="Retail"/>
    <s v="Net Banking"/>
  </r>
  <r>
    <s v="ORD10020"/>
    <x v="289"/>
    <x v="3"/>
    <s v="Uttar Pradesh"/>
    <x v="1"/>
    <x v="2"/>
    <x v="16"/>
    <n v="2"/>
    <n v="45334.82"/>
    <x v="0"/>
    <n v="77069.2"/>
    <n v="58109.440000000002"/>
    <n v="18959.759999999998"/>
    <s v="Corporate"/>
    <s v="UPI"/>
  </r>
  <r>
    <s v="ORD10879"/>
    <x v="302"/>
    <x v="1"/>
    <s v="Karnataka"/>
    <x v="4"/>
    <x v="3"/>
    <x v="13"/>
    <n v="2"/>
    <n v="28068.99"/>
    <x v="2"/>
    <n v="56137.99"/>
    <n v="36976.07"/>
    <n v="19161.919999999998"/>
    <s v="Retail"/>
    <s v="UPI"/>
  </r>
  <r>
    <s v="ORD11146"/>
    <x v="148"/>
    <x v="2"/>
    <s v="Rajasthan"/>
    <x v="0"/>
    <x v="2"/>
    <x v="16"/>
    <n v="3"/>
    <n v="43464.07"/>
    <x v="1"/>
    <n v="117352.99"/>
    <n v="98156.15"/>
    <n v="19196.84"/>
    <s v="Online"/>
    <s v="Cash"/>
  </r>
  <r>
    <s v="ORD10315"/>
    <x v="169"/>
    <x v="0"/>
    <s v="West Bengal"/>
    <x v="7"/>
    <x v="2"/>
    <x v="16"/>
    <n v="3"/>
    <n v="40461.769999999997"/>
    <x v="4"/>
    <n v="111674.48"/>
    <n v="92451.16"/>
    <n v="19223.32"/>
    <s v="Retail"/>
    <s v="UPI"/>
  </r>
  <r>
    <s v="ORD10216"/>
    <x v="88"/>
    <x v="1"/>
    <s v="Telangana"/>
    <x v="3"/>
    <x v="1"/>
    <x v="12"/>
    <n v="2"/>
    <n v="29748.49"/>
    <x v="5"/>
    <n v="56522.14"/>
    <n v="37296.03"/>
    <n v="19226.11"/>
    <s v="Online"/>
    <s v="Debit Card"/>
  </r>
  <r>
    <s v="ORD10727"/>
    <x v="303"/>
    <x v="1"/>
    <s v="Karnataka"/>
    <x v="2"/>
    <x v="1"/>
    <x v="12"/>
    <n v="3"/>
    <n v="31760.91"/>
    <x v="4"/>
    <n v="87660.1"/>
    <n v="68425.09"/>
    <n v="19235.009999999998"/>
    <s v="Online"/>
    <s v="Debit Card"/>
  </r>
  <r>
    <s v="ORD11018"/>
    <x v="240"/>
    <x v="0"/>
    <s v="West Bengal"/>
    <x v="4"/>
    <x v="1"/>
    <x v="11"/>
    <n v="3"/>
    <n v="23608.61"/>
    <x v="2"/>
    <n v="70825.83"/>
    <n v="51446.52"/>
    <n v="19379.310000000001"/>
    <s v="Corporate"/>
    <s v="Cash"/>
  </r>
  <r>
    <s v="ORD10019"/>
    <x v="258"/>
    <x v="2"/>
    <s v="Goa"/>
    <x v="7"/>
    <x v="2"/>
    <x v="16"/>
    <n v="3"/>
    <n v="40931.97"/>
    <x v="2"/>
    <n v="122795.9"/>
    <n v="103385.12"/>
    <n v="19410.78"/>
    <s v="Retail"/>
    <s v="Net Banking"/>
  </r>
  <r>
    <s v="ORD10158"/>
    <x v="174"/>
    <x v="1"/>
    <s v="Telangana"/>
    <x v="5"/>
    <x v="3"/>
    <x v="6"/>
    <n v="7"/>
    <n v="11318.77"/>
    <x v="3"/>
    <n v="76854.429999999993"/>
    <n v="57336.42"/>
    <n v="19518.009999999998"/>
    <s v="Retail"/>
    <s v="UPI"/>
  </r>
  <r>
    <s v="ORD10819"/>
    <x v="186"/>
    <x v="1"/>
    <s v="Karnataka"/>
    <x v="6"/>
    <x v="2"/>
    <x v="15"/>
    <n v="3"/>
    <n v="34534.839999999997"/>
    <x v="2"/>
    <n v="103604.51"/>
    <n v="83987.23"/>
    <n v="19617.28"/>
    <s v="Retail"/>
    <s v="Credit Card"/>
  </r>
  <r>
    <s v="ORD10673"/>
    <x v="304"/>
    <x v="3"/>
    <s v="Delhi"/>
    <x v="1"/>
    <x v="2"/>
    <x v="15"/>
    <n v="3"/>
    <n v="37835.1"/>
    <x v="1"/>
    <n v="102154.76"/>
    <n v="82506.7"/>
    <n v="19648.060000000001"/>
    <s v="Retail"/>
    <s v="UPI"/>
  </r>
  <r>
    <s v="ORD10649"/>
    <x v="134"/>
    <x v="3"/>
    <s v="Uttar Pradesh"/>
    <x v="6"/>
    <x v="0"/>
    <x v="8"/>
    <n v="4"/>
    <n v="15998.24"/>
    <x v="4"/>
    <n v="58873.54"/>
    <n v="39224.25"/>
    <n v="19649.29"/>
    <s v="Online"/>
    <s v="Debit Card"/>
  </r>
  <r>
    <s v="ORD10080"/>
    <x v="29"/>
    <x v="1"/>
    <s v="Andhra Pradesh"/>
    <x v="5"/>
    <x v="0"/>
    <x v="9"/>
    <n v="7"/>
    <n v="14220.51"/>
    <x v="5"/>
    <n v="94566.399999999994"/>
    <n v="74885.52"/>
    <n v="19680.88"/>
    <s v="Retail"/>
    <s v="Debit Card"/>
  </r>
  <r>
    <s v="ORD10244"/>
    <x v="145"/>
    <x v="3"/>
    <s v="Delhi"/>
    <x v="0"/>
    <x v="3"/>
    <x v="13"/>
    <n v="4"/>
    <n v="31432.23"/>
    <x v="1"/>
    <n v="113156.01"/>
    <n v="93445.93"/>
    <n v="19710.080000000002"/>
    <s v="Online"/>
    <s v="Debit Card"/>
  </r>
  <r>
    <s v="ORD10227"/>
    <x v="52"/>
    <x v="3"/>
    <s v="Uttar Pradesh"/>
    <x v="2"/>
    <x v="3"/>
    <x v="14"/>
    <n v="3"/>
    <n v="34420.61"/>
    <x v="1"/>
    <n v="92935.66"/>
    <n v="73218.03"/>
    <n v="19717.63"/>
    <s v="Retail"/>
    <s v="UPI"/>
  </r>
  <r>
    <s v="ORD10456"/>
    <x v="169"/>
    <x v="0"/>
    <s v="Jharkhand"/>
    <x v="0"/>
    <x v="1"/>
    <x v="10"/>
    <n v="7"/>
    <n v="19293.91"/>
    <x v="1"/>
    <n v="121551.61"/>
    <n v="101822.58"/>
    <n v="19729.03"/>
    <s v="Retail"/>
    <s v="Debit Card"/>
  </r>
  <r>
    <s v="ORD10574"/>
    <x v="139"/>
    <x v="1"/>
    <s v="Andhra Pradesh"/>
    <x v="1"/>
    <x v="1"/>
    <x v="12"/>
    <n v="2"/>
    <n v="30395.69"/>
    <x v="3"/>
    <n v="58967.64"/>
    <n v="39223.839999999997"/>
    <n v="19743.8"/>
    <s v="Retail"/>
    <s v="UPI"/>
  </r>
  <r>
    <s v="ORD10296"/>
    <x v="208"/>
    <x v="0"/>
    <s v="Bihar"/>
    <x v="5"/>
    <x v="1"/>
    <x v="11"/>
    <n v="5"/>
    <n v="21859.21"/>
    <x v="2"/>
    <n v="109296.04"/>
    <n v="89449.98"/>
    <n v="19846.060000000001"/>
    <s v="Online"/>
    <s v="Cash"/>
  </r>
  <r>
    <s v="ORD10957"/>
    <x v="40"/>
    <x v="3"/>
    <s v="Delhi"/>
    <x v="5"/>
    <x v="1"/>
    <x v="12"/>
    <n v="4"/>
    <n v="30937.53"/>
    <x v="5"/>
    <n v="117562.62"/>
    <n v="97614.05"/>
    <n v="19948.57"/>
    <s v="Retail"/>
    <s v="Debit Card"/>
  </r>
  <r>
    <s v="ORD10121"/>
    <x v="137"/>
    <x v="0"/>
    <s v="Odisha"/>
    <x v="1"/>
    <x v="3"/>
    <x v="13"/>
    <n v="4"/>
    <n v="28461.59"/>
    <x v="4"/>
    <n v="104738.64"/>
    <n v="84766.41"/>
    <n v="19972.23"/>
    <s v="Online"/>
    <s v="Net Banking"/>
  </r>
  <r>
    <s v="ORD10106"/>
    <x v="108"/>
    <x v="0"/>
    <s v="West Bengal"/>
    <x v="4"/>
    <x v="3"/>
    <x v="6"/>
    <n v="8"/>
    <n v="10896.22"/>
    <x v="5"/>
    <n v="82811.25"/>
    <n v="62719.8"/>
    <n v="20091.45"/>
    <s v="Online"/>
    <s v="UPI"/>
  </r>
  <r>
    <s v="ORD11032"/>
    <x v="73"/>
    <x v="0"/>
    <s v="Bihar"/>
    <x v="7"/>
    <x v="3"/>
    <x v="13"/>
    <n v="3"/>
    <n v="32353.8"/>
    <x v="4"/>
    <n v="89296.48"/>
    <n v="69155.28"/>
    <n v="20141.2"/>
    <s v="Retail"/>
    <s v="Cash"/>
  </r>
  <r>
    <s v="ORD10268"/>
    <x v="211"/>
    <x v="2"/>
    <s v="Rajasthan"/>
    <x v="6"/>
    <x v="2"/>
    <x v="15"/>
    <n v="4"/>
    <n v="36413.620000000003"/>
    <x v="1"/>
    <n v="131089.03"/>
    <n v="110942.76"/>
    <n v="20146.27"/>
    <s v="Online"/>
    <s v="Net Banking"/>
  </r>
  <r>
    <s v="ORD10294"/>
    <x v="305"/>
    <x v="3"/>
    <s v="Uttar Pradesh"/>
    <x v="0"/>
    <x v="0"/>
    <x v="9"/>
    <n v="5"/>
    <n v="14037.4"/>
    <x v="4"/>
    <n v="64572.06"/>
    <n v="44412.6"/>
    <n v="20159.46"/>
    <s v="Corporate"/>
    <s v="Credit Card"/>
  </r>
  <r>
    <s v="ORD10443"/>
    <x v="107"/>
    <x v="3"/>
    <s v="Punjab"/>
    <x v="6"/>
    <x v="1"/>
    <x v="12"/>
    <n v="4"/>
    <n v="31210.22"/>
    <x v="1"/>
    <n v="112356.78"/>
    <n v="92187.55"/>
    <n v="20169.23"/>
    <s v="Online"/>
    <s v="Net Banking"/>
  </r>
  <r>
    <s v="ORD11139"/>
    <x v="114"/>
    <x v="0"/>
    <s v="Odisha"/>
    <x v="4"/>
    <x v="2"/>
    <x v="7"/>
    <n v="6"/>
    <n v="11565.51"/>
    <x v="3"/>
    <n v="67311.240000000005"/>
    <n v="46989.79"/>
    <n v="20321.45"/>
    <s v="Retail"/>
    <s v="Debit Card"/>
  </r>
  <r>
    <s v="ORD10515"/>
    <x v="159"/>
    <x v="0"/>
    <s v="Bihar"/>
    <x v="1"/>
    <x v="2"/>
    <x v="16"/>
    <n v="2"/>
    <n v="42192.57"/>
    <x v="5"/>
    <n v="80165.89"/>
    <n v="59694.33"/>
    <n v="20471.560000000001"/>
    <s v="Online"/>
    <s v="Net Banking"/>
  </r>
  <r>
    <s v="ORD10919"/>
    <x v="195"/>
    <x v="0"/>
    <s v="Jharkhand"/>
    <x v="0"/>
    <x v="1"/>
    <x v="10"/>
    <n v="5"/>
    <n v="18546.34"/>
    <x v="1"/>
    <n v="83458.53"/>
    <n v="62944.81"/>
    <n v="20513.72"/>
    <s v="Retail"/>
    <s v="Cash"/>
  </r>
  <r>
    <s v="ORD10329"/>
    <x v="100"/>
    <x v="0"/>
    <s v="West Bengal"/>
    <x v="5"/>
    <x v="3"/>
    <x v="6"/>
    <n v="6"/>
    <n v="10893.01"/>
    <x v="4"/>
    <n v="60129.42"/>
    <n v="39594.480000000003"/>
    <n v="20534.939999999999"/>
    <s v="Retail"/>
    <s v="Net Banking"/>
  </r>
  <r>
    <s v="ORD10656"/>
    <x v="113"/>
    <x v="0"/>
    <s v="Bihar"/>
    <x v="1"/>
    <x v="3"/>
    <x v="4"/>
    <n v="8"/>
    <n v="8782.7999999999993"/>
    <x v="4"/>
    <n v="64641.41"/>
    <n v="43993.42"/>
    <n v="20647.990000000002"/>
    <s v="Retail"/>
    <s v="Cash"/>
  </r>
  <r>
    <s v="ORD10624"/>
    <x v="131"/>
    <x v="3"/>
    <s v="Delhi"/>
    <x v="4"/>
    <x v="2"/>
    <x v="7"/>
    <n v="8"/>
    <n v="11113.05"/>
    <x v="4"/>
    <n v="81792.08"/>
    <n v="61077.120000000003"/>
    <n v="20714.96"/>
    <s v="Retail"/>
    <s v="Debit Card"/>
  </r>
  <r>
    <s v="ORD11132"/>
    <x v="237"/>
    <x v="3"/>
    <s v="Uttar Pradesh"/>
    <x v="7"/>
    <x v="0"/>
    <x v="8"/>
    <n v="7"/>
    <n v="15561.9"/>
    <x v="2"/>
    <n v="108933.29"/>
    <n v="88174.97"/>
    <n v="20758.32"/>
    <s v="Online"/>
    <s v="Debit Card"/>
  </r>
  <r>
    <s v="ORD10930"/>
    <x v="306"/>
    <x v="0"/>
    <s v="Bihar"/>
    <x v="4"/>
    <x v="2"/>
    <x v="7"/>
    <n v="8"/>
    <n v="11665.71"/>
    <x v="5"/>
    <n v="88659.39"/>
    <n v="67795.509999999995"/>
    <n v="20863.88"/>
    <s v="Corporate"/>
    <s v="Credit Card"/>
  </r>
  <r>
    <s v="ORD10634"/>
    <x v="307"/>
    <x v="2"/>
    <s v="Maharashtra"/>
    <x v="7"/>
    <x v="1"/>
    <x v="10"/>
    <n v="5"/>
    <n v="16861.93"/>
    <x v="3"/>
    <n v="81780.350000000006"/>
    <n v="60913.82"/>
    <n v="20866.53"/>
    <s v="Retail"/>
    <s v="UPI"/>
  </r>
  <r>
    <s v="ORD10907"/>
    <x v="17"/>
    <x v="3"/>
    <s v="Punjab"/>
    <x v="3"/>
    <x v="0"/>
    <x v="5"/>
    <n v="8"/>
    <n v="9323.81"/>
    <x v="4"/>
    <n v="68623.27"/>
    <n v="47668.02"/>
    <n v="20955.25"/>
    <s v="Retail"/>
    <s v="Credit Card"/>
  </r>
  <r>
    <s v="ORD11144"/>
    <x v="244"/>
    <x v="0"/>
    <s v="Bihar"/>
    <x v="2"/>
    <x v="1"/>
    <x v="12"/>
    <n v="3"/>
    <n v="30526.53"/>
    <x v="2"/>
    <n v="91579.59"/>
    <n v="70576.350000000006"/>
    <n v="21003.24"/>
    <s v="Retail"/>
    <s v="Cash"/>
  </r>
  <r>
    <s v="ORD11145"/>
    <x v="205"/>
    <x v="1"/>
    <s v="Tamil Nadu"/>
    <x v="2"/>
    <x v="2"/>
    <x v="7"/>
    <n v="6"/>
    <n v="11483.46"/>
    <x v="1"/>
    <n v="62010.66"/>
    <n v="40991.69"/>
    <n v="21018.97"/>
    <s v="Corporate"/>
    <s v="Cash"/>
  </r>
  <r>
    <s v="ORD10335"/>
    <x v="147"/>
    <x v="0"/>
    <s v="Bihar"/>
    <x v="1"/>
    <x v="0"/>
    <x v="9"/>
    <n v="7"/>
    <n v="14863.79"/>
    <x v="3"/>
    <n v="100925.12"/>
    <n v="79883.64"/>
    <n v="21041.48"/>
    <s v="Retail"/>
    <s v="Net Banking"/>
  </r>
  <r>
    <s v="ORD10932"/>
    <x v="164"/>
    <x v="3"/>
    <s v="Delhi"/>
    <x v="5"/>
    <x v="2"/>
    <x v="17"/>
    <n v="2"/>
    <n v="50124.34"/>
    <x v="5"/>
    <n v="95236.25"/>
    <n v="74154.16"/>
    <n v="21082.09"/>
    <s v="Online"/>
    <s v="Debit Card"/>
  </r>
  <r>
    <s v="ORD11126"/>
    <x v="100"/>
    <x v="3"/>
    <s v="Punjab"/>
    <x v="6"/>
    <x v="3"/>
    <x v="4"/>
    <n v="8"/>
    <n v="9101.67"/>
    <x v="5"/>
    <n v="69172.679999999993"/>
    <n v="48052.88"/>
    <n v="21119.8"/>
    <s v="Retail"/>
    <s v="UPI"/>
  </r>
  <r>
    <s v="ORD10327"/>
    <x v="8"/>
    <x v="1"/>
    <s v="Tamil Nadu"/>
    <x v="4"/>
    <x v="3"/>
    <x v="14"/>
    <n v="5"/>
    <n v="31015.91"/>
    <x v="1"/>
    <n v="139571.62"/>
    <n v="118451.03"/>
    <n v="21120.59"/>
    <s v="Corporate"/>
    <s v="UPI"/>
  </r>
  <r>
    <s v="ORD10510"/>
    <x v="252"/>
    <x v="1"/>
    <s v="Telangana"/>
    <x v="2"/>
    <x v="1"/>
    <x v="10"/>
    <n v="6"/>
    <n v="16871.490000000002"/>
    <x v="1"/>
    <n v="91106.03"/>
    <n v="69914.039999999994"/>
    <n v="21191.99"/>
    <s v="Retail"/>
    <s v="Debit Card"/>
  </r>
  <r>
    <s v="ORD10175"/>
    <x v="54"/>
    <x v="3"/>
    <s v="Punjab"/>
    <x v="5"/>
    <x v="1"/>
    <x v="10"/>
    <n v="5"/>
    <n v="18142.650000000001"/>
    <x v="0"/>
    <n v="77106.240000000005"/>
    <n v="55809.46"/>
    <n v="21296.78"/>
    <s v="Online"/>
    <s v="Net Banking"/>
  </r>
  <r>
    <s v="ORD10514"/>
    <x v="237"/>
    <x v="3"/>
    <s v="Punjab"/>
    <x v="4"/>
    <x v="0"/>
    <x v="8"/>
    <n v="4"/>
    <n v="15198.45"/>
    <x v="2"/>
    <n v="60793.79"/>
    <n v="39463.660000000003"/>
    <n v="21330.13"/>
    <s v="Corporate"/>
    <s v="Cash"/>
  </r>
  <r>
    <s v="ORD10665"/>
    <x v="291"/>
    <x v="3"/>
    <s v="Delhi"/>
    <x v="0"/>
    <x v="3"/>
    <x v="13"/>
    <n v="4"/>
    <n v="31609.17"/>
    <x v="5"/>
    <n v="120114.85"/>
    <n v="98732.93"/>
    <n v="21381.919999999998"/>
    <s v="Online"/>
    <s v="Cash"/>
  </r>
  <r>
    <s v="ORD10992"/>
    <x v="99"/>
    <x v="1"/>
    <s v="Telangana"/>
    <x v="2"/>
    <x v="1"/>
    <x v="10"/>
    <n v="7"/>
    <n v="17048.75"/>
    <x v="4"/>
    <n v="109793.96"/>
    <n v="88364.53"/>
    <n v="21429.43"/>
    <s v="Corporate"/>
    <s v="Cash"/>
  </r>
  <r>
    <s v="ORD10891"/>
    <x v="113"/>
    <x v="0"/>
    <s v="West Bengal"/>
    <x v="5"/>
    <x v="1"/>
    <x v="12"/>
    <n v="4"/>
    <n v="29638.46"/>
    <x v="3"/>
    <n v="114997.22"/>
    <n v="93554.46"/>
    <n v="21442.76"/>
    <s v="Retail"/>
    <s v="Net Banking"/>
  </r>
  <r>
    <s v="ORD11074"/>
    <x v="232"/>
    <x v="0"/>
    <s v="Bihar"/>
    <x v="8"/>
    <x v="1"/>
    <x v="10"/>
    <n v="5"/>
    <n v="17512.22"/>
    <x v="2"/>
    <n v="87561.11"/>
    <n v="66111.88"/>
    <n v="21449.23"/>
    <s v="Retail"/>
    <s v="Debit Card"/>
  </r>
  <r>
    <s v="ORD11141"/>
    <x v="58"/>
    <x v="1"/>
    <s v="Karnataka"/>
    <x v="7"/>
    <x v="3"/>
    <x v="13"/>
    <n v="4"/>
    <n v="29470.2"/>
    <x v="4"/>
    <n v="108450.35"/>
    <n v="86899.24"/>
    <n v="21551.11"/>
    <s v="Online"/>
    <s v="Debit Card"/>
  </r>
  <r>
    <s v="ORD10794"/>
    <x v="308"/>
    <x v="0"/>
    <s v="Jharkhand"/>
    <x v="1"/>
    <x v="0"/>
    <x v="9"/>
    <n v="6"/>
    <n v="14950.25"/>
    <x v="2"/>
    <n v="89701.5"/>
    <n v="68132.05"/>
    <n v="21569.45"/>
    <s v="Corporate"/>
    <s v="Debit Card"/>
  </r>
  <r>
    <s v="ORD11156"/>
    <x v="45"/>
    <x v="2"/>
    <s v="Rajasthan"/>
    <x v="1"/>
    <x v="1"/>
    <x v="10"/>
    <n v="6"/>
    <n v="18986.34"/>
    <x v="4"/>
    <n v="104804.58"/>
    <n v="83201.210000000006"/>
    <n v="21603.37"/>
    <s v="Online"/>
    <s v="Debit Card"/>
  </r>
  <r>
    <s v="ORD10758"/>
    <x v="118"/>
    <x v="1"/>
    <s v="Tamil Nadu"/>
    <x v="5"/>
    <x v="3"/>
    <x v="6"/>
    <n v="5"/>
    <n v="11635.03"/>
    <x v="2"/>
    <n v="58175.14"/>
    <n v="36559.699999999997"/>
    <n v="21615.439999999999"/>
    <s v="Retail"/>
    <s v="Credit Card"/>
  </r>
  <r>
    <s v="ORD10695"/>
    <x v="309"/>
    <x v="2"/>
    <s v="Maharashtra"/>
    <x v="2"/>
    <x v="2"/>
    <x v="15"/>
    <n v="2"/>
    <n v="38737.410000000003"/>
    <x v="0"/>
    <n v="65853.59"/>
    <n v="44231.519999999997"/>
    <n v="21622.07"/>
    <s v="Retail"/>
    <s v="Credit Card"/>
  </r>
  <r>
    <s v="ORD10012"/>
    <x v="130"/>
    <x v="3"/>
    <s v="Delhi"/>
    <x v="7"/>
    <x v="2"/>
    <x v="7"/>
    <n v="6"/>
    <n v="12730.5"/>
    <x v="4"/>
    <n v="70272.350000000006"/>
    <n v="48554.83"/>
    <n v="21717.52"/>
    <s v="Corporate"/>
    <s v="Net Banking"/>
  </r>
  <r>
    <s v="ORD10381"/>
    <x v="285"/>
    <x v="3"/>
    <s v="Haryana"/>
    <x v="2"/>
    <x v="2"/>
    <x v="15"/>
    <n v="3"/>
    <n v="34540.75"/>
    <x v="5"/>
    <n v="98441.15"/>
    <n v="76671.8"/>
    <n v="21769.35"/>
    <s v="Corporate"/>
    <s v="Credit Card"/>
  </r>
  <r>
    <s v="ORD10345"/>
    <x v="28"/>
    <x v="3"/>
    <s v="Punjab"/>
    <x v="1"/>
    <x v="1"/>
    <x v="11"/>
    <n v="6"/>
    <n v="21032.15"/>
    <x v="5"/>
    <n v="119883.24"/>
    <n v="98090.89"/>
    <n v="21792.35"/>
    <s v="Retail"/>
    <s v="Net Banking"/>
  </r>
  <r>
    <s v="ORD11098"/>
    <x v="195"/>
    <x v="1"/>
    <s v="Telangana"/>
    <x v="0"/>
    <x v="1"/>
    <x v="11"/>
    <n v="6"/>
    <n v="21190.41"/>
    <x v="4"/>
    <n v="116971.05"/>
    <n v="95158.9"/>
    <n v="21812.15"/>
    <s v="Online"/>
    <s v="Credit Card"/>
  </r>
  <r>
    <s v="ORD10395"/>
    <x v="281"/>
    <x v="1"/>
    <s v="Tamil Nadu"/>
    <x v="6"/>
    <x v="3"/>
    <x v="6"/>
    <n v="8"/>
    <n v="11440.05"/>
    <x v="5"/>
    <n v="86944.38"/>
    <n v="65127.24"/>
    <n v="21817.14"/>
    <s v="Retail"/>
    <s v="Debit Card"/>
  </r>
  <r>
    <s v="ORD11183"/>
    <x v="71"/>
    <x v="1"/>
    <s v="Andhra Pradesh"/>
    <x v="1"/>
    <x v="3"/>
    <x v="18"/>
    <n v="3"/>
    <n v="27451.4"/>
    <x v="1"/>
    <n v="74118.789999999994"/>
    <n v="52205.27"/>
    <n v="21913.52"/>
    <s v="Retail"/>
    <s v="Cash"/>
  </r>
  <r>
    <s v="ORD10234"/>
    <x v="306"/>
    <x v="3"/>
    <s v="Haryana"/>
    <x v="3"/>
    <x v="3"/>
    <x v="14"/>
    <n v="2"/>
    <n v="31292.69"/>
    <x v="5"/>
    <n v="59456.11"/>
    <n v="37514.17"/>
    <n v="21941.94"/>
    <s v="Retail"/>
    <s v="Credit Card"/>
  </r>
  <r>
    <s v="ORD11025"/>
    <x v="140"/>
    <x v="2"/>
    <s v="Maharashtra"/>
    <x v="6"/>
    <x v="1"/>
    <x v="11"/>
    <n v="3"/>
    <n v="20650.439999999999"/>
    <x v="5"/>
    <n v="58853.760000000002"/>
    <n v="36848.769999999997"/>
    <n v="22004.99"/>
    <s v="Online"/>
    <s v="Cash"/>
  </r>
  <r>
    <s v="ORD10811"/>
    <x v="310"/>
    <x v="3"/>
    <s v="Haryana"/>
    <x v="3"/>
    <x v="1"/>
    <x v="11"/>
    <n v="6"/>
    <n v="22104.93"/>
    <x v="4"/>
    <n v="122019.2"/>
    <n v="100004.22"/>
    <n v="22014.98"/>
    <s v="Retail"/>
    <s v="Net Banking"/>
  </r>
  <r>
    <s v="ORD11069"/>
    <x v="311"/>
    <x v="3"/>
    <s v="Haryana"/>
    <x v="3"/>
    <x v="0"/>
    <x v="9"/>
    <n v="5"/>
    <n v="12990.76"/>
    <x v="1"/>
    <n v="58458.43"/>
    <n v="36383.96"/>
    <n v="22074.47"/>
    <s v="Online"/>
    <s v="Cash"/>
  </r>
  <r>
    <s v="ORD10474"/>
    <x v="148"/>
    <x v="2"/>
    <s v="Maharashtra"/>
    <x v="2"/>
    <x v="0"/>
    <x v="9"/>
    <n v="8"/>
    <n v="14831.6"/>
    <x v="3"/>
    <n v="115093.24"/>
    <n v="92992.08"/>
    <n v="22101.16"/>
    <s v="Retail"/>
    <s v="UPI"/>
  </r>
  <r>
    <s v="ORD10257"/>
    <x v="298"/>
    <x v="2"/>
    <s v="Rajasthan"/>
    <x v="7"/>
    <x v="3"/>
    <x v="13"/>
    <n v="5"/>
    <n v="29707.919999999998"/>
    <x v="1"/>
    <n v="133685.64000000001"/>
    <n v="111539.5"/>
    <n v="22146.14"/>
    <s v="Retail"/>
    <s v="Debit Card"/>
  </r>
  <r>
    <s v="ORD10441"/>
    <x v="308"/>
    <x v="1"/>
    <s v="Andhra Pradesh"/>
    <x v="7"/>
    <x v="0"/>
    <x v="9"/>
    <n v="5"/>
    <n v="13826.75"/>
    <x v="0"/>
    <n v="58763.69"/>
    <n v="36581.480000000003"/>
    <n v="22182.21"/>
    <s v="Retail"/>
    <s v="Net Banking"/>
  </r>
  <r>
    <s v="ORD11075"/>
    <x v="312"/>
    <x v="3"/>
    <s v="Delhi"/>
    <x v="5"/>
    <x v="1"/>
    <x v="12"/>
    <n v="3"/>
    <n v="30762.17"/>
    <x v="4"/>
    <n v="84903.6"/>
    <n v="62718.42"/>
    <n v="22185.18"/>
    <s v="Retail"/>
    <s v="Net Banking"/>
  </r>
  <r>
    <s v="ORD10647"/>
    <x v="190"/>
    <x v="2"/>
    <s v="Rajasthan"/>
    <x v="2"/>
    <x v="2"/>
    <x v="16"/>
    <n v="2"/>
    <n v="43409.43"/>
    <x v="2"/>
    <n v="86818.87"/>
    <n v="64625.31"/>
    <n v="22193.56"/>
    <s v="Retail"/>
    <s v="Credit Card"/>
  </r>
  <r>
    <s v="ORD10696"/>
    <x v="168"/>
    <x v="3"/>
    <s v="Delhi"/>
    <x v="0"/>
    <x v="1"/>
    <x v="12"/>
    <n v="5"/>
    <n v="29460.6"/>
    <x v="3"/>
    <n v="142883.9"/>
    <n v="120656.6"/>
    <n v="22227.3"/>
    <s v="Retail"/>
    <s v="Debit Card"/>
  </r>
  <r>
    <s v="ORD10730"/>
    <x v="202"/>
    <x v="0"/>
    <s v="Bihar"/>
    <x v="6"/>
    <x v="0"/>
    <x v="9"/>
    <n v="5"/>
    <n v="14805.84"/>
    <x v="5"/>
    <n v="70327.72"/>
    <n v="48032.42"/>
    <n v="22295.3"/>
    <s v="Online"/>
    <s v="Debit Card"/>
  </r>
  <r>
    <s v="ORD10614"/>
    <x v="313"/>
    <x v="3"/>
    <s v="Punjab"/>
    <x v="5"/>
    <x v="2"/>
    <x v="15"/>
    <n v="4"/>
    <n v="35527.589999999997"/>
    <x v="1"/>
    <n v="127899.32"/>
    <n v="105577.93"/>
    <n v="22321.39"/>
    <s v="Retail"/>
    <s v="Net Banking"/>
  </r>
  <r>
    <s v="ORD11118"/>
    <x v="299"/>
    <x v="2"/>
    <s v="Rajasthan"/>
    <x v="2"/>
    <x v="2"/>
    <x v="15"/>
    <n v="2"/>
    <n v="36443"/>
    <x v="4"/>
    <n v="67055.12"/>
    <n v="44706.23"/>
    <n v="22348.89"/>
    <s v="Retail"/>
    <s v="Debit Card"/>
  </r>
  <r>
    <s v="ORD10832"/>
    <x v="107"/>
    <x v="3"/>
    <s v="Punjab"/>
    <x v="4"/>
    <x v="2"/>
    <x v="7"/>
    <n v="6"/>
    <n v="12543.92"/>
    <x v="0"/>
    <n v="63973.98"/>
    <n v="41608.51"/>
    <n v="22365.47"/>
    <s v="Online"/>
    <s v="UPI"/>
  </r>
  <r>
    <s v="ORD10064"/>
    <x v="263"/>
    <x v="2"/>
    <s v="Maharashtra"/>
    <x v="6"/>
    <x v="1"/>
    <x v="12"/>
    <n v="4"/>
    <n v="29370.79"/>
    <x v="5"/>
    <n v="111608.98"/>
    <n v="89219.44"/>
    <n v="22389.54"/>
    <s v="Retail"/>
    <s v="Debit Card"/>
  </r>
  <r>
    <s v="ORD10027"/>
    <x v="314"/>
    <x v="0"/>
    <s v="Bihar"/>
    <x v="2"/>
    <x v="0"/>
    <x v="5"/>
    <n v="8"/>
    <n v="9246.4500000000007"/>
    <x v="5"/>
    <n v="70272.990000000005"/>
    <n v="47855.86"/>
    <n v="22417.13"/>
    <s v="Online"/>
    <s v="UPI"/>
  </r>
  <r>
    <s v="ORD10733"/>
    <x v="100"/>
    <x v="2"/>
    <s v="Rajasthan"/>
    <x v="1"/>
    <x v="0"/>
    <x v="8"/>
    <n v="5"/>
    <n v="15743.45"/>
    <x v="1"/>
    <n v="70845.52"/>
    <n v="48396.61"/>
    <n v="22448.91"/>
    <s v="Online"/>
    <s v="Credit Card"/>
  </r>
  <r>
    <s v="ORD10087"/>
    <x v="4"/>
    <x v="1"/>
    <s v="Andhra Pradesh"/>
    <x v="2"/>
    <x v="3"/>
    <x v="4"/>
    <n v="8"/>
    <n v="8502.99"/>
    <x v="4"/>
    <n v="62581.97"/>
    <n v="39808.29"/>
    <n v="22773.68"/>
    <s v="Corporate"/>
    <s v="Debit Card"/>
  </r>
  <r>
    <s v="ORD10597"/>
    <x v="211"/>
    <x v="2"/>
    <s v="Maharashtra"/>
    <x v="6"/>
    <x v="2"/>
    <x v="7"/>
    <n v="7"/>
    <n v="12855.35"/>
    <x v="4"/>
    <n v="82788.45"/>
    <n v="59977.77"/>
    <n v="22810.68"/>
    <s v="Corporate"/>
    <s v="Credit Card"/>
  </r>
  <r>
    <s v="ORD11024"/>
    <x v="112"/>
    <x v="1"/>
    <s v="Tamil Nadu"/>
    <x v="7"/>
    <x v="2"/>
    <x v="16"/>
    <n v="2"/>
    <n v="40956.97"/>
    <x v="1"/>
    <n v="73722.539999999994"/>
    <n v="50865.9"/>
    <n v="22856.639999999999"/>
    <s v="Online"/>
    <s v="Cash"/>
  </r>
  <r>
    <s v="ORD10735"/>
    <x v="168"/>
    <x v="2"/>
    <s v="Gujarat"/>
    <x v="1"/>
    <x v="3"/>
    <x v="4"/>
    <n v="8"/>
    <n v="8981.7900000000009"/>
    <x v="1"/>
    <n v="64668.89"/>
    <n v="41701.29"/>
    <n v="22967.599999999999"/>
    <s v="Online"/>
    <s v="Net Banking"/>
  </r>
  <r>
    <s v="ORD10235"/>
    <x v="247"/>
    <x v="2"/>
    <s v="Maharashtra"/>
    <x v="0"/>
    <x v="2"/>
    <x v="7"/>
    <n v="8"/>
    <n v="11578.91"/>
    <x v="3"/>
    <n v="89852.36"/>
    <n v="66848.13"/>
    <n v="23004.23"/>
    <s v="Retail"/>
    <s v="Debit Card"/>
  </r>
  <r>
    <s v="ORD11029"/>
    <x v="315"/>
    <x v="1"/>
    <s v="Tamil Nadu"/>
    <x v="2"/>
    <x v="1"/>
    <x v="10"/>
    <n v="8"/>
    <n v="17631.34"/>
    <x v="1"/>
    <n v="126945.68"/>
    <n v="103930.29"/>
    <n v="23015.39"/>
    <s v="Retail"/>
    <s v="UPI"/>
  </r>
  <r>
    <s v="ORD10899"/>
    <x v="316"/>
    <x v="1"/>
    <s v="Telangana"/>
    <x v="1"/>
    <x v="1"/>
    <x v="10"/>
    <n v="8"/>
    <n v="17144.84"/>
    <x v="5"/>
    <n v="130300.81"/>
    <n v="107234.8"/>
    <n v="23066.01"/>
    <s v="Corporate"/>
    <s v="UPI"/>
  </r>
  <r>
    <s v="ORD10075"/>
    <x v="317"/>
    <x v="3"/>
    <s v="Delhi"/>
    <x v="0"/>
    <x v="1"/>
    <x v="11"/>
    <n v="5"/>
    <n v="20896.150000000001"/>
    <x v="3"/>
    <n v="101346.31"/>
    <n v="78249.69"/>
    <n v="23096.62"/>
    <s v="Retail"/>
    <s v="Cash"/>
  </r>
  <r>
    <s v="ORD11176"/>
    <x v="318"/>
    <x v="3"/>
    <s v="Uttar Pradesh"/>
    <x v="6"/>
    <x v="3"/>
    <x v="13"/>
    <n v="4"/>
    <n v="30030.58"/>
    <x v="4"/>
    <n v="110512.55"/>
    <n v="87299.98"/>
    <n v="23212.57"/>
    <s v="Corporate"/>
    <s v="Credit Card"/>
  </r>
  <r>
    <s v="ORD10648"/>
    <x v="123"/>
    <x v="1"/>
    <s v="Karnataka"/>
    <x v="7"/>
    <x v="3"/>
    <x v="18"/>
    <n v="5"/>
    <n v="27154.15"/>
    <x v="3"/>
    <n v="131697.64000000001"/>
    <n v="108470.88"/>
    <n v="23226.76"/>
    <s v="Corporate"/>
    <s v="Cash"/>
  </r>
  <r>
    <s v="ORD10900"/>
    <x v="283"/>
    <x v="0"/>
    <s v="West Bengal"/>
    <x v="3"/>
    <x v="2"/>
    <x v="7"/>
    <n v="7"/>
    <n v="11201.04"/>
    <x v="0"/>
    <n v="66646.17"/>
    <n v="43354.92"/>
    <n v="23291.25"/>
    <s v="Online"/>
    <s v="Credit Card"/>
  </r>
  <r>
    <s v="ORD10833"/>
    <x v="103"/>
    <x v="1"/>
    <s v="Tamil Nadu"/>
    <x v="2"/>
    <x v="1"/>
    <x v="11"/>
    <n v="6"/>
    <n v="21775.47"/>
    <x v="3"/>
    <n v="126733.26"/>
    <n v="103395.08"/>
    <n v="23338.18"/>
    <s v="Retail"/>
    <s v="Debit Card"/>
  </r>
  <r>
    <s v="ORD10102"/>
    <x v="228"/>
    <x v="3"/>
    <s v="Punjab"/>
    <x v="5"/>
    <x v="2"/>
    <x v="17"/>
    <n v="3"/>
    <n v="51204.97"/>
    <x v="2"/>
    <n v="153614.9"/>
    <n v="130274.19"/>
    <n v="23340.71"/>
    <s v="Corporate"/>
    <s v="Net Banking"/>
  </r>
  <r>
    <s v="ORD11180"/>
    <x v="165"/>
    <x v="1"/>
    <s v="Telangana"/>
    <x v="7"/>
    <x v="2"/>
    <x v="17"/>
    <n v="3"/>
    <n v="51105.279999999999"/>
    <x v="2"/>
    <n v="153315.82999999999"/>
    <n v="129935.93"/>
    <n v="23379.9"/>
    <s v="Retail"/>
    <s v="Debit Card"/>
  </r>
  <r>
    <s v="ORD10596"/>
    <x v="260"/>
    <x v="3"/>
    <s v="Punjab"/>
    <x v="0"/>
    <x v="1"/>
    <x v="12"/>
    <n v="3"/>
    <n v="31132.97"/>
    <x v="3"/>
    <n v="90596.94"/>
    <n v="67173.17"/>
    <n v="23423.77"/>
    <s v="Online"/>
    <s v="Debit Card"/>
  </r>
  <r>
    <s v="ORD10616"/>
    <x v="216"/>
    <x v="0"/>
    <s v="Odisha"/>
    <x v="1"/>
    <x v="2"/>
    <x v="17"/>
    <n v="2"/>
    <n v="44501.83"/>
    <x v="3"/>
    <n v="86333.55"/>
    <n v="62877.45"/>
    <n v="23456.1"/>
    <s v="Online"/>
    <s v="UPI"/>
  </r>
  <r>
    <s v="ORD10085"/>
    <x v="212"/>
    <x v="2"/>
    <s v="Gujarat"/>
    <x v="3"/>
    <x v="1"/>
    <x v="12"/>
    <n v="3"/>
    <n v="29770.65"/>
    <x v="3"/>
    <n v="86632.58"/>
    <n v="63119.24"/>
    <n v="23513.34"/>
    <s v="Retail"/>
    <s v="UPI"/>
  </r>
  <r>
    <s v="ORD10157"/>
    <x v="147"/>
    <x v="3"/>
    <s v="Delhi"/>
    <x v="5"/>
    <x v="1"/>
    <x v="10"/>
    <n v="6"/>
    <n v="17445"/>
    <x v="1"/>
    <n v="94202.97"/>
    <n v="70595.58"/>
    <n v="23607.39"/>
    <s v="Retail"/>
    <s v="Credit Card"/>
  </r>
  <r>
    <s v="ORD10108"/>
    <x v="5"/>
    <x v="1"/>
    <s v="Andhra Pradesh"/>
    <x v="6"/>
    <x v="1"/>
    <x v="10"/>
    <n v="5"/>
    <n v="18769.5"/>
    <x v="5"/>
    <n v="89155.14"/>
    <n v="65544.2"/>
    <n v="23610.94"/>
    <s v="Corporate"/>
    <s v="Net Banking"/>
  </r>
  <r>
    <s v="ORD11136"/>
    <x v="297"/>
    <x v="3"/>
    <s v="Uttar Pradesh"/>
    <x v="2"/>
    <x v="1"/>
    <x v="19"/>
    <n v="2"/>
    <n v="61463.61"/>
    <x v="2"/>
    <n v="122927.23"/>
    <n v="99288.52"/>
    <n v="23638.71"/>
    <s v="Retail"/>
    <s v="Net Banking"/>
  </r>
  <r>
    <s v="ORD10501"/>
    <x v="269"/>
    <x v="2"/>
    <s v="Maharashtra"/>
    <x v="4"/>
    <x v="3"/>
    <x v="18"/>
    <n v="3"/>
    <n v="26836.18"/>
    <x v="5"/>
    <n v="76483.12"/>
    <n v="52602.67"/>
    <n v="23880.45"/>
    <s v="Corporate"/>
    <s v="Credit Card"/>
  </r>
  <r>
    <s v="ORD11103"/>
    <x v="199"/>
    <x v="0"/>
    <s v="Jharkhand"/>
    <x v="4"/>
    <x v="2"/>
    <x v="17"/>
    <n v="2"/>
    <n v="50431.65"/>
    <x v="4"/>
    <n v="92794.23"/>
    <n v="68828.17"/>
    <n v="23966.06"/>
    <s v="Online"/>
    <s v="UPI"/>
  </r>
  <r>
    <s v="ORD10917"/>
    <x v="43"/>
    <x v="0"/>
    <s v="West Bengal"/>
    <x v="7"/>
    <x v="0"/>
    <x v="9"/>
    <n v="7"/>
    <n v="12905.51"/>
    <x v="4"/>
    <n v="83111.5"/>
    <n v="59029.95"/>
    <n v="24081.55"/>
    <s v="Corporate"/>
    <s v="Cash"/>
  </r>
  <r>
    <s v="ORD10355"/>
    <x v="32"/>
    <x v="0"/>
    <s v="West Bengal"/>
    <x v="7"/>
    <x v="0"/>
    <x v="8"/>
    <n v="7"/>
    <n v="14290"/>
    <x v="2"/>
    <n v="100030"/>
    <n v="75936.2"/>
    <n v="24093.8"/>
    <s v="Online"/>
    <s v="Credit Card"/>
  </r>
  <r>
    <s v="ORD10418"/>
    <x v="179"/>
    <x v="0"/>
    <s v="West Bengal"/>
    <x v="2"/>
    <x v="1"/>
    <x v="12"/>
    <n v="3"/>
    <n v="28144.52"/>
    <x v="0"/>
    <n v="71768.52"/>
    <n v="47656.35"/>
    <n v="24112.17"/>
    <s v="Online"/>
    <s v="UPI"/>
  </r>
  <r>
    <s v="ORD10368"/>
    <x v="66"/>
    <x v="2"/>
    <s v="Goa"/>
    <x v="1"/>
    <x v="0"/>
    <x v="9"/>
    <n v="6"/>
    <n v="13174.9"/>
    <x v="1"/>
    <n v="71144.479999999996"/>
    <n v="46932.06"/>
    <n v="24212.42"/>
    <s v="Retail"/>
    <s v="Credit Card"/>
  </r>
  <r>
    <s v="ORD10714"/>
    <x v="309"/>
    <x v="1"/>
    <s v="Tamil Nadu"/>
    <x v="0"/>
    <x v="1"/>
    <x v="10"/>
    <n v="5"/>
    <n v="17281.39"/>
    <x v="1"/>
    <n v="77766.259999999995"/>
    <n v="53434.89"/>
    <n v="24331.37"/>
    <s v="Online"/>
    <s v="Debit Card"/>
  </r>
  <r>
    <s v="ORD11097"/>
    <x v="169"/>
    <x v="1"/>
    <s v="Andhra Pradesh"/>
    <x v="7"/>
    <x v="1"/>
    <x v="11"/>
    <n v="4"/>
    <n v="22460.34"/>
    <x v="4"/>
    <n v="82654.070000000007"/>
    <n v="58258.86"/>
    <n v="24395.21"/>
    <s v="Retail"/>
    <s v="UPI"/>
  </r>
  <r>
    <s v="ORD10179"/>
    <x v="125"/>
    <x v="2"/>
    <s v="Gujarat"/>
    <x v="7"/>
    <x v="1"/>
    <x v="11"/>
    <n v="4"/>
    <n v="21935.35"/>
    <x v="3"/>
    <n v="85109.18"/>
    <n v="60674.239999999998"/>
    <n v="24434.94"/>
    <s v="Retail"/>
    <s v="Credit Card"/>
  </r>
  <r>
    <s v="ORD11124"/>
    <x v="315"/>
    <x v="3"/>
    <s v="Uttar Pradesh"/>
    <x v="5"/>
    <x v="1"/>
    <x v="11"/>
    <n v="5"/>
    <n v="20359.580000000002"/>
    <x v="1"/>
    <n v="91618.11"/>
    <n v="67048.570000000007"/>
    <n v="24569.54"/>
    <s v="Online"/>
    <s v="Debit Card"/>
  </r>
  <r>
    <s v="ORD10184"/>
    <x v="202"/>
    <x v="2"/>
    <s v="Goa"/>
    <x v="6"/>
    <x v="2"/>
    <x v="7"/>
    <n v="6"/>
    <n v="12262.41"/>
    <x v="4"/>
    <n v="67688.479999999996"/>
    <n v="43049.64"/>
    <n v="24638.84"/>
    <s v="Online"/>
    <s v="Cash"/>
  </r>
  <r>
    <s v="ORD10077"/>
    <x v="214"/>
    <x v="1"/>
    <s v="Andhra Pradesh"/>
    <x v="7"/>
    <x v="0"/>
    <x v="9"/>
    <n v="6"/>
    <n v="14985.22"/>
    <x v="4"/>
    <n v="82718.44"/>
    <n v="57934.12"/>
    <n v="24784.32"/>
    <s v="Online"/>
    <s v="UPI"/>
  </r>
  <r>
    <s v="ORD10604"/>
    <x v="319"/>
    <x v="0"/>
    <s v="Odisha"/>
    <x v="3"/>
    <x v="1"/>
    <x v="10"/>
    <n v="5"/>
    <n v="19337.73"/>
    <x v="3"/>
    <n v="93787.97"/>
    <n v="68944.479999999996"/>
    <n v="24843.49"/>
    <s v="Corporate"/>
    <s v="Cash"/>
  </r>
  <r>
    <s v="ORD10317"/>
    <x v="68"/>
    <x v="0"/>
    <s v="West Bengal"/>
    <x v="1"/>
    <x v="2"/>
    <x v="16"/>
    <n v="2"/>
    <n v="41321.519999999997"/>
    <x v="1"/>
    <n v="74378.73"/>
    <n v="49480.43"/>
    <n v="24898.3"/>
    <s v="Retail"/>
    <s v="UPI"/>
  </r>
  <r>
    <s v="ORD11021"/>
    <x v="156"/>
    <x v="3"/>
    <s v="Uttar Pradesh"/>
    <x v="2"/>
    <x v="0"/>
    <x v="9"/>
    <n v="7"/>
    <n v="13590.24"/>
    <x v="1"/>
    <n v="85618.54"/>
    <n v="60655.96"/>
    <n v="24962.58"/>
    <s v="Online"/>
    <s v="Debit Card"/>
  </r>
  <r>
    <s v="ORD11131"/>
    <x v="292"/>
    <x v="2"/>
    <s v="Maharashtra"/>
    <x v="5"/>
    <x v="1"/>
    <x v="11"/>
    <n v="7"/>
    <n v="21347.1"/>
    <x v="4"/>
    <n v="137475.34"/>
    <n v="112496.7"/>
    <n v="24978.639999999999"/>
    <s v="Retail"/>
    <s v="Net Banking"/>
  </r>
  <r>
    <s v="ORD10385"/>
    <x v="320"/>
    <x v="3"/>
    <s v="Delhi"/>
    <x v="4"/>
    <x v="2"/>
    <x v="16"/>
    <n v="3"/>
    <n v="40951.4"/>
    <x v="4"/>
    <n v="113025.85"/>
    <n v="87943.01"/>
    <n v="25082.84"/>
    <s v="Retail"/>
    <s v="Debit Card"/>
  </r>
  <r>
    <s v="ORD10209"/>
    <x v="26"/>
    <x v="3"/>
    <s v="Haryana"/>
    <x v="4"/>
    <x v="1"/>
    <x v="19"/>
    <n v="3"/>
    <n v="63010.47"/>
    <x v="1"/>
    <n v="170128.26"/>
    <n v="144977.43"/>
    <n v="25150.83"/>
    <s v="Retail"/>
    <s v="Net Banking"/>
  </r>
  <r>
    <s v="ORD10975"/>
    <x v="47"/>
    <x v="3"/>
    <s v="Punjab"/>
    <x v="4"/>
    <x v="2"/>
    <x v="7"/>
    <n v="7"/>
    <n v="12391.57"/>
    <x v="5"/>
    <n v="82403.929999999993"/>
    <n v="57220.9"/>
    <n v="25183.03"/>
    <s v="Retail"/>
    <s v="UPI"/>
  </r>
  <r>
    <s v="ORD10752"/>
    <x v="283"/>
    <x v="1"/>
    <s v="Telangana"/>
    <x v="3"/>
    <x v="1"/>
    <x v="10"/>
    <n v="5"/>
    <n v="18255.77"/>
    <x v="2"/>
    <n v="91278.87"/>
    <n v="66034.41"/>
    <n v="25244.46"/>
    <s v="Online"/>
    <s v="Cash"/>
  </r>
  <r>
    <s v="ORD11049"/>
    <x v="288"/>
    <x v="2"/>
    <s v="Rajasthan"/>
    <x v="1"/>
    <x v="0"/>
    <x v="8"/>
    <n v="5"/>
    <n v="16179.44"/>
    <x v="4"/>
    <n v="74425.41"/>
    <n v="49073.69"/>
    <n v="25351.72"/>
    <s v="Corporate"/>
    <s v="Debit Card"/>
  </r>
  <r>
    <s v="ORD11015"/>
    <x v="321"/>
    <x v="0"/>
    <s v="Jharkhand"/>
    <x v="0"/>
    <x v="1"/>
    <x v="10"/>
    <n v="5"/>
    <n v="17393.330000000002"/>
    <x v="3"/>
    <n v="84357.67"/>
    <n v="59000.84"/>
    <n v="25356.83"/>
    <s v="Online"/>
    <s v="Credit Card"/>
  </r>
  <r>
    <s v="ORD10402"/>
    <x v="183"/>
    <x v="3"/>
    <s v="Delhi"/>
    <x v="1"/>
    <x v="1"/>
    <x v="11"/>
    <n v="5"/>
    <n v="21023.82"/>
    <x v="3"/>
    <n v="101965.53"/>
    <n v="76591.41"/>
    <n v="25374.12"/>
    <s v="Online"/>
    <s v="Credit Card"/>
  </r>
  <r>
    <s v="ORD10845"/>
    <x v="87"/>
    <x v="3"/>
    <s v="Delhi"/>
    <x v="7"/>
    <x v="3"/>
    <x v="6"/>
    <n v="7"/>
    <n v="11546.24"/>
    <x v="1"/>
    <n v="72741.320000000007"/>
    <n v="47326.69"/>
    <n v="25414.63"/>
    <s v="Retail"/>
    <s v="Cash"/>
  </r>
  <r>
    <s v="ORD10757"/>
    <x v="319"/>
    <x v="3"/>
    <s v="Delhi"/>
    <x v="5"/>
    <x v="2"/>
    <x v="17"/>
    <n v="3"/>
    <n v="44583.24"/>
    <x v="1"/>
    <n v="120374.75"/>
    <n v="94941.73"/>
    <n v="25433.02"/>
    <s v="Corporate"/>
    <s v="Cash"/>
  </r>
  <r>
    <s v="ORD10342"/>
    <x v="63"/>
    <x v="3"/>
    <s v="Uttar Pradesh"/>
    <x v="2"/>
    <x v="0"/>
    <x v="8"/>
    <n v="8"/>
    <n v="15620.92"/>
    <x v="4"/>
    <n v="114969.95"/>
    <n v="89330.71"/>
    <n v="25639.24"/>
    <s v="Online"/>
    <s v="Cash"/>
  </r>
  <r>
    <s v="ORD10813"/>
    <x v="291"/>
    <x v="3"/>
    <s v="Delhi"/>
    <x v="2"/>
    <x v="1"/>
    <x v="12"/>
    <n v="3"/>
    <n v="31991.32"/>
    <x v="5"/>
    <n v="91175.25"/>
    <n v="65518"/>
    <n v="25657.25"/>
    <s v="Online"/>
    <s v="Cash"/>
  </r>
  <r>
    <s v="ORD10579"/>
    <x v="322"/>
    <x v="3"/>
    <s v="Punjab"/>
    <x v="1"/>
    <x v="1"/>
    <x v="11"/>
    <n v="8"/>
    <n v="21068.55"/>
    <x v="5"/>
    <n v="160120.97"/>
    <n v="134431.22"/>
    <n v="25689.75"/>
    <s v="Retail"/>
    <s v="Debit Card"/>
  </r>
  <r>
    <s v="ORD11022"/>
    <x v="61"/>
    <x v="0"/>
    <s v="West Bengal"/>
    <x v="7"/>
    <x v="2"/>
    <x v="15"/>
    <n v="3"/>
    <n v="36717.68"/>
    <x v="5"/>
    <n v="104645.39"/>
    <n v="78949.740000000005"/>
    <n v="25695.65"/>
    <s v="Retail"/>
    <s v="Credit Card"/>
  </r>
  <r>
    <s v="ORD11099"/>
    <x v="102"/>
    <x v="1"/>
    <s v="Karnataka"/>
    <x v="7"/>
    <x v="2"/>
    <x v="16"/>
    <n v="3"/>
    <n v="41064.22"/>
    <x v="4"/>
    <n v="113337.26"/>
    <n v="87476.23"/>
    <n v="25861.03"/>
    <s v="Retail"/>
    <s v="Cash"/>
  </r>
  <r>
    <s v="ORD10146"/>
    <x v="157"/>
    <x v="1"/>
    <s v="Telangana"/>
    <x v="6"/>
    <x v="1"/>
    <x v="19"/>
    <n v="3"/>
    <n v="60232.36"/>
    <x v="2"/>
    <n v="180697.07"/>
    <n v="154819.66"/>
    <n v="25877.41"/>
    <s v="Corporate"/>
    <s v="Credit Card"/>
  </r>
  <r>
    <s v="ORD11017"/>
    <x v="62"/>
    <x v="2"/>
    <s v="Rajasthan"/>
    <x v="0"/>
    <x v="0"/>
    <x v="9"/>
    <n v="6"/>
    <n v="14800.77"/>
    <x v="2"/>
    <n v="88804.6"/>
    <n v="62783.39"/>
    <n v="26021.21"/>
    <s v="Online"/>
    <s v="Credit Card"/>
  </r>
  <r>
    <s v="ORD10116"/>
    <x v="163"/>
    <x v="0"/>
    <s v="Odisha"/>
    <x v="4"/>
    <x v="1"/>
    <x v="10"/>
    <n v="8"/>
    <n v="18527.79"/>
    <x v="2"/>
    <n v="148222.28"/>
    <n v="122178.09"/>
    <n v="26044.19"/>
    <s v="Online"/>
    <s v="Cash"/>
  </r>
  <r>
    <s v="ORD10527"/>
    <x v="16"/>
    <x v="3"/>
    <s v="Haryana"/>
    <x v="3"/>
    <x v="1"/>
    <x v="11"/>
    <n v="8"/>
    <n v="21443.37"/>
    <x v="0"/>
    <n v="145814.9"/>
    <n v="119752.84"/>
    <n v="26062.06"/>
    <s v="Retail"/>
    <s v="UPI"/>
  </r>
  <r>
    <s v="ORD10921"/>
    <x v="126"/>
    <x v="0"/>
    <s v="Bihar"/>
    <x v="6"/>
    <x v="3"/>
    <x v="13"/>
    <n v="4"/>
    <n v="28086.07"/>
    <x v="1"/>
    <n v="101109.86"/>
    <n v="75006.61"/>
    <n v="26103.25"/>
    <s v="Retail"/>
    <s v="Cash"/>
  </r>
  <r>
    <s v="ORD10657"/>
    <x v="149"/>
    <x v="1"/>
    <s v="Tamil Nadu"/>
    <x v="2"/>
    <x v="2"/>
    <x v="7"/>
    <n v="6"/>
    <n v="12199.53"/>
    <x v="2"/>
    <n v="73197.16"/>
    <n v="47045.53"/>
    <n v="26151.63"/>
    <s v="Corporate"/>
    <s v="UPI"/>
  </r>
  <r>
    <s v="ORD10453"/>
    <x v="72"/>
    <x v="1"/>
    <s v="Tamil Nadu"/>
    <x v="5"/>
    <x v="1"/>
    <x v="12"/>
    <n v="7"/>
    <n v="29279.7"/>
    <x v="1"/>
    <n v="184462.12"/>
    <n v="158306.04"/>
    <n v="26156.080000000002"/>
    <s v="Corporate"/>
    <s v="Cash"/>
  </r>
  <r>
    <s v="ORD10685"/>
    <x v="112"/>
    <x v="2"/>
    <s v="Gujarat"/>
    <x v="0"/>
    <x v="1"/>
    <x v="12"/>
    <n v="6"/>
    <n v="29219.32"/>
    <x v="2"/>
    <n v="175315.94"/>
    <n v="149153.63"/>
    <n v="26162.31"/>
    <s v="Corporate"/>
    <s v="Net Banking"/>
  </r>
  <r>
    <s v="ORD10947"/>
    <x v="59"/>
    <x v="2"/>
    <s v="Goa"/>
    <x v="5"/>
    <x v="0"/>
    <x v="8"/>
    <n v="7"/>
    <n v="16192.01"/>
    <x v="1"/>
    <n v="102009.69"/>
    <n v="75814.759999999995"/>
    <n v="26194.93"/>
    <s v="Online"/>
    <s v="UPI"/>
  </r>
  <r>
    <s v="ORD11166"/>
    <x v="95"/>
    <x v="1"/>
    <s v="Karnataka"/>
    <x v="0"/>
    <x v="1"/>
    <x v="11"/>
    <n v="5"/>
    <n v="21028.12"/>
    <x v="5"/>
    <n v="99883.56"/>
    <n v="73535.39"/>
    <n v="26348.17"/>
    <s v="Online"/>
    <s v="UPI"/>
  </r>
  <r>
    <s v="ORD10098"/>
    <x v="285"/>
    <x v="1"/>
    <s v="Karnataka"/>
    <x v="2"/>
    <x v="1"/>
    <x v="10"/>
    <n v="6"/>
    <n v="18685.54"/>
    <x v="2"/>
    <n v="112113.22"/>
    <n v="85739.31"/>
    <n v="26373.91"/>
    <s v="Retail"/>
    <s v="Debit Card"/>
  </r>
  <r>
    <s v="ORD10817"/>
    <x v="323"/>
    <x v="3"/>
    <s v="Punjab"/>
    <x v="5"/>
    <x v="3"/>
    <x v="13"/>
    <n v="3"/>
    <n v="30106.21"/>
    <x v="5"/>
    <n v="85802.69"/>
    <n v="59385.53"/>
    <n v="26417.16"/>
    <s v="Retail"/>
    <s v="Net Banking"/>
  </r>
  <r>
    <s v="ORD10306"/>
    <x v="295"/>
    <x v="1"/>
    <s v="Andhra Pradesh"/>
    <x v="7"/>
    <x v="0"/>
    <x v="9"/>
    <n v="6"/>
    <n v="14104"/>
    <x v="0"/>
    <n v="71930.42"/>
    <n v="45488.83"/>
    <n v="26441.59"/>
    <s v="Retail"/>
    <s v="Cash"/>
  </r>
  <r>
    <s v="ORD10224"/>
    <x v="122"/>
    <x v="0"/>
    <s v="West Bengal"/>
    <x v="7"/>
    <x v="1"/>
    <x v="11"/>
    <n v="4"/>
    <n v="23289.68"/>
    <x v="3"/>
    <n v="90363.96"/>
    <n v="63841.3"/>
    <n v="26522.66"/>
    <s v="Retail"/>
    <s v="Cash"/>
  </r>
  <r>
    <s v="ORD10412"/>
    <x v="107"/>
    <x v="0"/>
    <s v="Bihar"/>
    <x v="0"/>
    <x v="1"/>
    <x v="10"/>
    <n v="5"/>
    <n v="19410.5"/>
    <x v="2"/>
    <n v="97052.49"/>
    <n v="70526.759999999995"/>
    <n v="26525.73"/>
    <s v="Online"/>
    <s v="Debit Card"/>
  </r>
  <r>
    <s v="ORD11003"/>
    <x v="324"/>
    <x v="0"/>
    <s v="Jharkhand"/>
    <x v="3"/>
    <x v="2"/>
    <x v="17"/>
    <n v="3"/>
    <n v="47813.41"/>
    <x v="5"/>
    <n v="136268.21"/>
    <n v="109705.81"/>
    <n v="26562.400000000001"/>
    <s v="Retail"/>
    <s v="Net Banking"/>
  </r>
  <r>
    <s v="ORD10951"/>
    <x v="166"/>
    <x v="0"/>
    <s v="Odisha"/>
    <x v="5"/>
    <x v="2"/>
    <x v="7"/>
    <n v="8"/>
    <n v="12548.65"/>
    <x v="1"/>
    <n v="90350.25"/>
    <n v="63733.34"/>
    <n v="26616.91"/>
    <s v="Retail"/>
    <s v="Credit Card"/>
  </r>
  <r>
    <s v="ORD10397"/>
    <x v="112"/>
    <x v="3"/>
    <s v="Haryana"/>
    <x v="0"/>
    <x v="3"/>
    <x v="13"/>
    <n v="3"/>
    <n v="29422.16"/>
    <x v="3"/>
    <n v="85618.49"/>
    <n v="58954.14"/>
    <n v="26664.35"/>
    <s v="Online"/>
    <s v="Credit Card"/>
  </r>
  <r>
    <s v="ORD10903"/>
    <x v="325"/>
    <x v="0"/>
    <s v="Bihar"/>
    <x v="4"/>
    <x v="0"/>
    <x v="8"/>
    <n v="8"/>
    <n v="13907.71"/>
    <x v="1"/>
    <n v="100135.54"/>
    <n v="73386.44"/>
    <n v="26749.1"/>
    <s v="Retail"/>
    <s v="Net Banking"/>
  </r>
  <r>
    <s v="ORD10633"/>
    <x v="129"/>
    <x v="3"/>
    <s v="Delhi"/>
    <x v="4"/>
    <x v="2"/>
    <x v="15"/>
    <n v="3"/>
    <n v="37539.53"/>
    <x v="1"/>
    <n v="101356.73"/>
    <n v="74607.25"/>
    <n v="26749.48"/>
    <s v="Retail"/>
    <s v="Credit Card"/>
  </r>
  <r>
    <s v="ORD10126"/>
    <x v="103"/>
    <x v="1"/>
    <s v="Tamil Nadu"/>
    <x v="1"/>
    <x v="1"/>
    <x v="12"/>
    <n v="5"/>
    <n v="28561.72"/>
    <x v="1"/>
    <n v="128527.76"/>
    <n v="101740.23"/>
    <n v="26787.53"/>
    <s v="Online"/>
    <s v="Debit Card"/>
  </r>
  <r>
    <s v="ORD10215"/>
    <x v="291"/>
    <x v="1"/>
    <s v="Tamil Nadu"/>
    <x v="6"/>
    <x v="2"/>
    <x v="7"/>
    <n v="8"/>
    <n v="11398.51"/>
    <x v="2"/>
    <n v="91188.07"/>
    <n v="64342.400000000001"/>
    <n v="26845.67"/>
    <s v="Corporate"/>
    <s v="Cash"/>
  </r>
  <r>
    <s v="ORD10025"/>
    <x v="326"/>
    <x v="3"/>
    <s v="Delhi"/>
    <x v="7"/>
    <x v="1"/>
    <x v="11"/>
    <n v="8"/>
    <n v="22512.06"/>
    <x v="3"/>
    <n v="174693.6"/>
    <n v="147740.13"/>
    <n v="26953.47"/>
    <s v="Online"/>
    <s v="Debit Card"/>
  </r>
  <r>
    <s v="ORD10276"/>
    <x v="6"/>
    <x v="0"/>
    <s v="Jharkhand"/>
    <x v="0"/>
    <x v="2"/>
    <x v="17"/>
    <n v="2"/>
    <n v="48146.17"/>
    <x v="4"/>
    <n v="88588.95"/>
    <n v="61555.8"/>
    <n v="27033.15"/>
    <s v="Retail"/>
    <s v="UPI"/>
  </r>
  <r>
    <s v="ORD10713"/>
    <x v="211"/>
    <x v="1"/>
    <s v="Karnataka"/>
    <x v="1"/>
    <x v="3"/>
    <x v="14"/>
    <n v="3"/>
    <n v="32826.11"/>
    <x v="5"/>
    <n v="93554.42"/>
    <n v="66282.25"/>
    <n v="27272.17"/>
    <s v="Retail"/>
    <s v="Cash"/>
  </r>
  <r>
    <s v="ORD10446"/>
    <x v="144"/>
    <x v="1"/>
    <s v="Karnataka"/>
    <x v="3"/>
    <x v="0"/>
    <x v="9"/>
    <n v="7"/>
    <n v="13200.23"/>
    <x v="4"/>
    <n v="85009.5"/>
    <n v="57687.34"/>
    <n v="27322.16"/>
    <s v="Retail"/>
    <s v="Cash"/>
  </r>
  <r>
    <s v="ORD10300"/>
    <x v="30"/>
    <x v="0"/>
    <s v="Bihar"/>
    <x v="6"/>
    <x v="1"/>
    <x v="11"/>
    <n v="7"/>
    <n v="23079.56"/>
    <x v="0"/>
    <n v="137323.39000000001"/>
    <n v="109998.72"/>
    <n v="27324.67"/>
    <s v="Corporate"/>
    <s v="UPI"/>
  </r>
  <r>
    <s v="ORD10760"/>
    <x v="64"/>
    <x v="3"/>
    <s v="Uttar Pradesh"/>
    <x v="6"/>
    <x v="3"/>
    <x v="13"/>
    <n v="3"/>
    <n v="29542.59"/>
    <x v="3"/>
    <n v="85968.93"/>
    <n v="58605.279999999999"/>
    <n v="27363.65"/>
    <s v="Retail"/>
    <s v="UPI"/>
  </r>
  <r>
    <s v="ORD10870"/>
    <x v="153"/>
    <x v="0"/>
    <s v="Bihar"/>
    <x v="4"/>
    <x v="2"/>
    <x v="16"/>
    <n v="3"/>
    <n v="43890.71"/>
    <x v="4"/>
    <n v="121138.37"/>
    <n v="93571.839999999997"/>
    <n v="27566.53"/>
    <s v="Retail"/>
    <s v="UPI"/>
  </r>
  <r>
    <s v="ORD10691"/>
    <x v="28"/>
    <x v="3"/>
    <s v="Delhi"/>
    <x v="3"/>
    <x v="2"/>
    <x v="17"/>
    <n v="4"/>
    <n v="49760.57"/>
    <x v="1"/>
    <n v="179138.03"/>
    <n v="151424.06"/>
    <n v="27713.97"/>
    <s v="Online"/>
    <s v="Credit Card"/>
  </r>
  <r>
    <s v="ORD10861"/>
    <x v="297"/>
    <x v="3"/>
    <s v="Haryana"/>
    <x v="5"/>
    <x v="1"/>
    <x v="11"/>
    <n v="4"/>
    <n v="21697.02"/>
    <x v="3"/>
    <n v="84184.44"/>
    <n v="56373.34"/>
    <n v="27811.1"/>
    <s v="Corporate"/>
    <s v="Credit Card"/>
  </r>
  <r>
    <s v="ORD11151"/>
    <x v="10"/>
    <x v="2"/>
    <s v="Rajasthan"/>
    <x v="1"/>
    <x v="2"/>
    <x v="15"/>
    <n v="4"/>
    <n v="33790.47"/>
    <x v="2"/>
    <n v="135161.85999999999"/>
    <n v="107303.62"/>
    <n v="27858.240000000002"/>
    <s v="Retail"/>
    <s v="Net Banking"/>
  </r>
  <r>
    <s v="ORD10305"/>
    <x v="316"/>
    <x v="1"/>
    <s v="Karnataka"/>
    <x v="3"/>
    <x v="2"/>
    <x v="17"/>
    <n v="2"/>
    <n v="44283.360000000001"/>
    <x v="1"/>
    <n v="79710.039999999994"/>
    <n v="51799.72"/>
    <n v="27910.32"/>
    <s v="Online"/>
    <s v="Credit Card"/>
  </r>
  <r>
    <s v="ORD10284"/>
    <x v="146"/>
    <x v="1"/>
    <s v="Karnataka"/>
    <x v="3"/>
    <x v="2"/>
    <x v="15"/>
    <n v="5"/>
    <n v="38662.910000000003"/>
    <x v="4"/>
    <n v="177849.37"/>
    <n v="149905.4"/>
    <n v="27943.97"/>
    <s v="Corporate"/>
    <s v="Cash"/>
  </r>
  <r>
    <s v="ORD10682"/>
    <x v="67"/>
    <x v="0"/>
    <s v="Odisha"/>
    <x v="7"/>
    <x v="2"/>
    <x v="15"/>
    <n v="3"/>
    <n v="35187.08"/>
    <x v="4"/>
    <n v="97116.35"/>
    <n v="69127.06"/>
    <n v="27989.29"/>
    <s v="Corporate"/>
    <s v="Net Banking"/>
  </r>
  <r>
    <s v="ORD10388"/>
    <x v="275"/>
    <x v="1"/>
    <s v="Andhra Pradesh"/>
    <x v="3"/>
    <x v="1"/>
    <x v="11"/>
    <n v="8"/>
    <n v="21283.18"/>
    <x v="1"/>
    <n v="153238.89000000001"/>
    <n v="125119.19"/>
    <n v="28119.7"/>
    <s v="Retail"/>
    <s v="Credit Card"/>
  </r>
  <r>
    <s v="ORD10987"/>
    <x v="122"/>
    <x v="3"/>
    <s v="Uttar Pradesh"/>
    <x v="2"/>
    <x v="0"/>
    <x v="9"/>
    <n v="6"/>
    <n v="14443.69"/>
    <x v="5"/>
    <n v="82329.009999999995"/>
    <n v="54203.71"/>
    <n v="28125.3"/>
    <s v="Corporate"/>
    <s v="Credit Card"/>
  </r>
  <r>
    <s v="ORD11009"/>
    <x v="116"/>
    <x v="2"/>
    <s v="Gujarat"/>
    <x v="3"/>
    <x v="3"/>
    <x v="6"/>
    <n v="8"/>
    <n v="10771.1"/>
    <x v="3"/>
    <n v="83583.75"/>
    <n v="55440.52"/>
    <n v="28143.23"/>
    <s v="Retail"/>
    <s v="Cash"/>
  </r>
  <r>
    <s v="ORD11163"/>
    <x v="162"/>
    <x v="1"/>
    <s v="Andhra Pradesh"/>
    <x v="4"/>
    <x v="1"/>
    <x v="10"/>
    <n v="6"/>
    <n v="16769.560000000001"/>
    <x v="2"/>
    <n v="100617.33"/>
    <n v="72426.36"/>
    <n v="28190.97"/>
    <s v="Corporate"/>
    <s v="UPI"/>
  </r>
  <r>
    <s v="ORD10186"/>
    <x v="225"/>
    <x v="0"/>
    <s v="Odisha"/>
    <x v="3"/>
    <x v="1"/>
    <x v="11"/>
    <n v="4"/>
    <n v="22966.78"/>
    <x v="4"/>
    <n v="84517.75"/>
    <n v="56157.56"/>
    <n v="28360.19"/>
    <s v="Corporate"/>
    <s v="Credit Card"/>
  </r>
  <r>
    <s v="ORD10540"/>
    <x v="191"/>
    <x v="3"/>
    <s v="Delhi"/>
    <x v="4"/>
    <x v="1"/>
    <x v="10"/>
    <n v="5"/>
    <n v="19255.18"/>
    <x v="5"/>
    <n v="91462.1"/>
    <n v="63077.86"/>
    <n v="28384.240000000002"/>
    <s v="Retail"/>
    <s v="UPI"/>
  </r>
  <r>
    <s v="ORD10564"/>
    <x v="83"/>
    <x v="2"/>
    <s v="Rajasthan"/>
    <x v="3"/>
    <x v="1"/>
    <x v="12"/>
    <n v="3"/>
    <n v="30919.89"/>
    <x v="1"/>
    <n v="83483.7"/>
    <n v="55032.88"/>
    <n v="28450.82"/>
    <s v="Corporate"/>
    <s v="Credit Card"/>
  </r>
  <r>
    <s v="ORD10161"/>
    <x v="104"/>
    <x v="3"/>
    <s v="Delhi"/>
    <x v="5"/>
    <x v="1"/>
    <x v="11"/>
    <n v="4"/>
    <n v="21731.56"/>
    <x v="4"/>
    <n v="79972.14"/>
    <n v="51416.37"/>
    <n v="28555.77"/>
    <s v="Retail"/>
    <s v="Credit Card"/>
  </r>
  <r>
    <s v="ORD10028"/>
    <x v="260"/>
    <x v="0"/>
    <s v="Jharkhand"/>
    <x v="3"/>
    <x v="1"/>
    <x v="12"/>
    <n v="3"/>
    <n v="28829.79"/>
    <x v="4"/>
    <n v="79570.23"/>
    <n v="50891.73"/>
    <n v="28678.5"/>
    <s v="Corporate"/>
    <s v="Net Banking"/>
  </r>
  <r>
    <s v="ORD10977"/>
    <x v="169"/>
    <x v="1"/>
    <s v="Telangana"/>
    <x v="4"/>
    <x v="3"/>
    <x v="14"/>
    <n v="3"/>
    <n v="31034.240000000002"/>
    <x v="1"/>
    <n v="83792.45"/>
    <n v="55086.11"/>
    <n v="28706.34"/>
    <s v="Retail"/>
    <s v="Credit Card"/>
  </r>
  <r>
    <s v="ORD10061"/>
    <x v="87"/>
    <x v="3"/>
    <s v="Uttar Pradesh"/>
    <x v="5"/>
    <x v="1"/>
    <x v="19"/>
    <n v="3"/>
    <n v="68892.899999999994"/>
    <x v="5"/>
    <n v="196344.77"/>
    <n v="167589.39000000001"/>
    <n v="28755.38"/>
    <s v="Retail"/>
    <s v="Debit Card"/>
  </r>
  <r>
    <s v="ORD10938"/>
    <x v="130"/>
    <x v="3"/>
    <s v="Delhi"/>
    <x v="0"/>
    <x v="3"/>
    <x v="13"/>
    <n v="4"/>
    <n v="30262.07"/>
    <x v="1"/>
    <n v="108943.43"/>
    <n v="80120.84"/>
    <n v="28822.59"/>
    <s v="Retail"/>
    <s v="Net Banking"/>
  </r>
  <r>
    <s v="ORD10955"/>
    <x v="115"/>
    <x v="1"/>
    <s v="Tamil Nadu"/>
    <x v="3"/>
    <x v="1"/>
    <x v="10"/>
    <n v="5"/>
    <n v="18829.78"/>
    <x v="1"/>
    <n v="84734.02"/>
    <n v="55842.81"/>
    <n v="28891.21"/>
    <s v="Online"/>
    <s v="Credit Card"/>
  </r>
  <r>
    <s v="ORD10053"/>
    <x v="169"/>
    <x v="0"/>
    <s v="Bihar"/>
    <x v="1"/>
    <x v="2"/>
    <x v="15"/>
    <n v="3"/>
    <n v="33380.46"/>
    <x v="2"/>
    <n v="100141.38"/>
    <n v="71135.55"/>
    <n v="29005.83"/>
    <s v="Corporate"/>
    <s v="UPI"/>
  </r>
  <r>
    <s v="ORD10336"/>
    <x v="312"/>
    <x v="0"/>
    <s v="Jharkhand"/>
    <x v="1"/>
    <x v="2"/>
    <x v="16"/>
    <n v="3"/>
    <n v="39496.04"/>
    <x v="3"/>
    <n v="114933.47"/>
    <n v="85921.8"/>
    <n v="29011.67"/>
    <s v="Online"/>
    <s v="UPI"/>
  </r>
  <r>
    <s v="ORD11028"/>
    <x v="232"/>
    <x v="2"/>
    <s v="Rajasthan"/>
    <x v="3"/>
    <x v="1"/>
    <x v="11"/>
    <n v="7"/>
    <n v="20440.080000000002"/>
    <x v="0"/>
    <n v="121618.47"/>
    <n v="92578.9"/>
    <n v="29039.57"/>
    <s v="Corporate"/>
    <s v="UPI"/>
  </r>
  <r>
    <s v="ORD10044"/>
    <x v="281"/>
    <x v="3"/>
    <s v="Delhi"/>
    <x v="4"/>
    <x v="3"/>
    <x v="18"/>
    <n v="5"/>
    <n v="29061.919999999998"/>
    <x v="5"/>
    <n v="138044.12"/>
    <n v="108971.97"/>
    <n v="29072.15"/>
    <s v="Retail"/>
    <s v="Credit Card"/>
  </r>
  <r>
    <s v="ORD10934"/>
    <x v="192"/>
    <x v="1"/>
    <s v="Karnataka"/>
    <x v="3"/>
    <x v="2"/>
    <x v="17"/>
    <n v="2"/>
    <n v="45195.15"/>
    <x v="5"/>
    <n v="85870.79"/>
    <n v="56724.95"/>
    <n v="29145.84"/>
    <s v="Corporate"/>
    <s v="Cash"/>
  </r>
  <r>
    <s v="ORD10409"/>
    <x v="104"/>
    <x v="3"/>
    <s v="Punjab"/>
    <x v="0"/>
    <x v="0"/>
    <x v="9"/>
    <n v="7"/>
    <n v="13224.74"/>
    <x v="2"/>
    <n v="92573.15"/>
    <n v="63353.53"/>
    <n v="29219.62"/>
    <s v="Retail"/>
    <s v="Credit Card"/>
  </r>
  <r>
    <s v="ORD10421"/>
    <x v="40"/>
    <x v="3"/>
    <s v="Punjab"/>
    <x v="7"/>
    <x v="3"/>
    <x v="13"/>
    <n v="5"/>
    <n v="29008.1"/>
    <x v="5"/>
    <n v="137788.46"/>
    <n v="108505.64"/>
    <n v="29282.82"/>
    <s v="Corporate"/>
    <s v="UPI"/>
  </r>
  <r>
    <s v="ORD11085"/>
    <x v="168"/>
    <x v="1"/>
    <s v="Telangana"/>
    <x v="7"/>
    <x v="2"/>
    <x v="15"/>
    <n v="6"/>
    <n v="38254.769999999997"/>
    <x v="1"/>
    <n v="206575.78"/>
    <n v="177287.79"/>
    <n v="29287.99"/>
    <s v="Retail"/>
    <s v="Debit Card"/>
  </r>
  <r>
    <s v="ORD10313"/>
    <x v="185"/>
    <x v="3"/>
    <s v="Delhi"/>
    <x v="6"/>
    <x v="1"/>
    <x v="10"/>
    <n v="8"/>
    <n v="18451.46"/>
    <x v="0"/>
    <n v="125469.91"/>
    <n v="95968.54"/>
    <n v="29501.37"/>
    <s v="Retail"/>
    <s v="Net Banking"/>
  </r>
  <r>
    <s v="ORD10710"/>
    <x v="248"/>
    <x v="2"/>
    <s v="Rajasthan"/>
    <x v="3"/>
    <x v="1"/>
    <x v="12"/>
    <n v="6"/>
    <n v="30369.91"/>
    <x v="4"/>
    <n v="167641.89000000001"/>
    <n v="138130.57999999999"/>
    <n v="29511.31"/>
    <s v="Retail"/>
    <s v="UPI"/>
  </r>
  <r>
    <s v="ORD10339"/>
    <x v="327"/>
    <x v="0"/>
    <s v="West Bengal"/>
    <x v="6"/>
    <x v="1"/>
    <x v="11"/>
    <n v="7"/>
    <n v="21540.9"/>
    <x v="5"/>
    <n v="143246.99"/>
    <n v="113660.34"/>
    <n v="29586.65"/>
    <s v="Retail"/>
    <s v="Debit Card"/>
  </r>
  <r>
    <s v="ORD10299"/>
    <x v="222"/>
    <x v="3"/>
    <s v="Uttar Pradesh"/>
    <x v="5"/>
    <x v="1"/>
    <x v="11"/>
    <n v="7"/>
    <n v="22495.040000000001"/>
    <x v="5"/>
    <n v="149592"/>
    <n v="119999.19"/>
    <n v="29592.81"/>
    <s v="Retail"/>
    <s v="Cash"/>
  </r>
  <r>
    <s v="ORD10639"/>
    <x v="328"/>
    <x v="3"/>
    <s v="Punjab"/>
    <x v="6"/>
    <x v="3"/>
    <x v="13"/>
    <n v="6"/>
    <n v="31745.07"/>
    <x v="5"/>
    <n v="180946.91"/>
    <n v="151250.46"/>
    <n v="29696.45"/>
    <s v="Corporate"/>
    <s v="Credit Card"/>
  </r>
  <r>
    <s v="ORD10519"/>
    <x v="293"/>
    <x v="3"/>
    <s v="Haryana"/>
    <x v="4"/>
    <x v="2"/>
    <x v="17"/>
    <n v="2"/>
    <n v="44635.75"/>
    <x v="5"/>
    <n v="84807.92"/>
    <n v="55007.31"/>
    <n v="29800.61"/>
    <s v="Retail"/>
    <s v="Cash"/>
  </r>
  <r>
    <s v="ORD10680"/>
    <x v="318"/>
    <x v="0"/>
    <s v="Jharkhand"/>
    <x v="0"/>
    <x v="1"/>
    <x v="10"/>
    <n v="7"/>
    <n v="18205.439999999999"/>
    <x v="4"/>
    <n v="117243.03"/>
    <n v="87411.47"/>
    <n v="29831.56"/>
    <s v="Retail"/>
    <s v="UPI"/>
  </r>
  <r>
    <s v="ORD10581"/>
    <x v="4"/>
    <x v="1"/>
    <s v="Tamil Nadu"/>
    <x v="0"/>
    <x v="2"/>
    <x v="15"/>
    <n v="3"/>
    <n v="34803.35"/>
    <x v="3"/>
    <n v="101277.75999999999"/>
    <n v="71410.09"/>
    <n v="29867.67"/>
    <s v="Online"/>
    <s v="Debit Card"/>
  </r>
  <r>
    <s v="ORD10373"/>
    <x v="275"/>
    <x v="1"/>
    <s v="Karnataka"/>
    <x v="3"/>
    <x v="3"/>
    <x v="18"/>
    <n v="5"/>
    <n v="28932.39"/>
    <x v="5"/>
    <n v="137428.82999999999"/>
    <n v="107449.54"/>
    <n v="29979.29"/>
    <s v="Retail"/>
    <s v="UPI"/>
  </r>
  <r>
    <s v="ORD10712"/>
    <x v="329"/>
    <x v="1"/>
    <s v="Andhra Pradesh"/>
    <x v="2"/>
    <x v="1"/>
    <x v="10"/>
    <n v="5"/>
    <n v="17253.25"/>
    <x v="3"/>
    <n v="83678.27"/>
    <n v="53555.01"/>
    <n v="30123.26"/>
    <s v="Online"/>
    <s v="UPI"/>
  </r>
  <r>
    <s v="ORD10382"/>
    <x v="194"/>
    <x v="3"/>
    <s v="Uttar Pradesh"/>
    <x v="0"/>
    <x v="1"/>
    <x v="11"/>
    <n v="8"/>
    <n v="23000.41"/>
    <x v="5"/>
    <n v="174803.08"/>
    <n v="144665.46"/>
    <n v="30137.62"/>
    <s v="Retail"/>
    <s v="Credit Card"/>
  </r>
  <r>
    <s v="ORD10118"/>
    <x v="330"/>
    <x v="2"/>
    <s v="Maharashtra"/>
    <x v="0"/>
    <x v="3"/>
    <x v="14"/>
    <n v="5"/>
    <n v="32922.32"/>
    <x v="4"/>
    <n v="151442.68"/>
    <n v="121252.88"/>
    <n v="30189.8"/>
    <s v="Online"/>
    <s v="Cash"/>
  </r>
  <r>
    <s v="ORD11040"/>
    <x v="252"/>
    <x v="2"/>
    <s v="Maharashtra"/>
    <x v="0"/>
    <x v="0"/>
    <x v="9"/>
    <n v="7"/>
    <n v="13404.6"/>
    <x v="5"/>
    <n v="89140.56"/>
    <n v="58949.01"/>
    <n v="30191.55"/>
    <s v="Retail"/>
    <s v="Cash"/>
  </r>
  <r>
    <s v="ORD10698"/>
    <x v="192"/>
    <x v="1"/>
    <s v="Karnataka"/>
    <x v="8"/>
    <x v="3"/>
    <x v="14"/>
    <n v="3"/>
    <n v="33440.21"/>
    <x v="2"/>
    <n v="100320.62"/>
    <n v="70072.11"/>
    <n v="30248.51"/>
    <s v="Online"/>
    <s v="UPI"/>
  </r>
  <r>
    <s v="ORD10094"/>
    <x v="32"/>
    <x v="2"/>
    <s v="Gujarat"/>
    <x v="5"/>
    <x v="1"/>
    <x v="12"/>
    <n v="6"/>
    <n v="29939.67"/>
    <x v="1"/>
    <n v="161674.22"/>
    <n v="131273.85"/>
    <n v="30400.37"/>
    <s v="Corporate"/>
    <s v="UPI"/>
  </r>
  <r>
    <s v="ORD10669"/>
    <x v="179"/>
    <x v="3"/>
    <s v="Haryana"/>
    <x v="2"/>
    <x v="1"/>
    <x v="10"/>
    <n v="6"/>
    <n v="18567.400000000001"/>
    <x v="5"/>
    <n v="105834.17"/>
    <n v="75433.41"/>
    <n v="30400.76"/>
    <s v="Online"/>
    <s v="Net Banking"/>
  </r>
  <r>
    <s v="ORD10214"/>
    <x v="331"/>
    <x v="0"/>
    <s v="Odisha"/>
    <x v="1"/>
    <x v="1"/>
    <x v="11"/>
    <n v="8"/>
    <n v="21234.16"/>
    <x v="5"/>
    <n v="161379.59"/>
    <n v="130976.1"/>
    <n v="30403.49"/>
    <s v="Corporate"/>
    <s v="UPI"/>
  </r>
  <r>
    <s v="ORD10095"/>
    <x v="216"/>
    <x v="3"/>
    <s v="Uttar Pradesh"/>
    <x v="4"/>
    <x v="0"/>
    <x v="8"/>
    <n v="6"/>
    <n v="15348.13"/>
    <x v="5"/>
    <n v="87484.34"/>
    <n v="57017.59"/>
    <n v="30466.75"/>
    <s v="Retail"/>
    <s v="Cash"/>
  </r>
  <r>
    <s v="ORD10846"/>
    <x v="223"/>
    <x v="2"/>
    <s v="Maharashtra"/>
    <x v="4"/>
    <x v="2"/>
    <x v="17"/>
    <n v="4"/>
    <n v="44876.53"/>
    <x v="5"/>
    <n v="170530.8"/>
    <n v="139960.12"/>
    <n v="30570.68"/>
    <s v="Online"/>
    <s v="Credit Card"/>
  </r>
  <r>
    <s v="ORD11115"/>
    <x v="93"/>
    <x v="1"/>
    <s v="Telangana"/>
    <x v="3"/>
    <x v="1"/>
    <x v="10"/>
    <n v="8"/>
    <n v="16634.32"/>
    <x v="2"/>
    <n v="133074.6"/>
    <n v="102381.7"/>
    <n v="30692.9"/>
    <s v="Retail"/>
    <s v="Credit Card"/>
  </r>
  <r>
    <s v="ORD10392"/>
    <x v="318"/>
    <x v="2"/>
    <s v="Rajasthan"/>
    <x v="0"/>
    <x v="1"/>
    <x v="10"/>
    <n v="6"/>
    <n v="18516.09"/>
    <x v="2"/>
    <n v="111096.56"/>
    <n v="80098.7"/>
    <n v="30997.86"/>
    <s v="Online"/>
    <s v="Credit Card"/>
  </r>
  <r>
    <s v="ORD10686"/>
    <x v="202"/>
    <x v="3"/>
    <s v="Delhi"/>
    <x v="4"/>
    <x v="1"/>
    <x v="10"/>
    <n v="5"/>
    <n v="18181.91"/>
    <x v="1"/>
    <n v="81818.61"/>
    <n v="50802.75"/>
    <n v="31015.86"/>
    <s v="Online"/>
    <s v="UPI"/>
  </r>
  <r>
    <s v="ORD10191"/>
    <x v="284"/>
    <x v="0"/>
    <s v="Odisha"/>
    <x v="0"/>
    <x v="3"/>
    <x v="13"/>
    <n v="8"/>
    <n v="28451.66"/>
    <x v="5"/>
    <n v="216232.6"/>
    <n v="185164.46"/>
    <n v="31068.14"/>
    <s v="Corporate"/>
    <s v="Cash"/>
  </r>
  <r>
    <s v="ORD10942"/>
    <x v="6"/>
    <x v="2"/>
    <s v="Goa"/>
    <x v="6"/>
    <x v="3"/>
    <x v="13"/>
    <n v="3"/>
    <n v="31136.720000000001"/>
    <x v="5"/>
    <n v="88739.65"/>
    <n v="57629.3"/>
    <n v="31110.35"/>
    <s v="Retail"/>
    <s v="Debit Card"/>
  </r>
  <r>
    <s v="ORD11045"/>
    <x v="142"/>
    <x v="1"/>
    <s v="Tamil Nadu"/>
    <x v="2"/>
    <x v="2"/>
    <x v="16"/>
    <n v="4"/>
    <n v="43680.41"/>
    <x v="2"/>
    <n v="174721.65"/>
    <n v="143511.44"/>
    <n v="31210.21"/>
    <s v="Corporate"/>
    <s v="UPI"/>
  </r>
  <r>
    <s v="ORD11044"/>
    <x v="279"/>
    <x v="0"/>
    <s v="Bihar"/>
    <x v="2"/>
    <x v="3"/>
    <x v="13"/>
    <n v="3"/>
    <n v="29265.83"/>
    <x v="5"/>
    <n v="83407.600000000006"/>
    <n v="52051.44"/>
    <n v="31356.16"/>
    <s v="Retail"/>
    <s v="Net Banking"/>
  </r>
  <r>
    <s v="ORD10834"/>
    <x v="231"/>
    <x v="1"/>
    <s v="Andhra Pradesh"/>
    <x v="1"/>
    <x v="1"/>
    <x v="19"/>
    <n v="3"/>
    <n v="61194.84"/>
    <x v="2"/>
    <n v="183584.53"/>
    <n v="152079.82"/>
    <n v="31504.71"/>
    <s v="Retail"/>
    <s v="Debit Card"/>
  </r>
  <r>
    <s v="ORD11081"/>
    <x v="83"/>
    <x v="3"/>
    <s v="Delhi"/>
    <x v="2"/>
    <x v="1"/>
    <x v="12"/>
    <n v="7"/>
    <n v="32032.25"/>
    <x v="5"/>
    <n v="213014.44"/>
    <n v="181293.81"/>
    <n v="31720.63"/>
    <s v="Online"/>
    <s v="Cash"/>
  </r>
  <r>
    <s v="ORD10138"/>
    <x v="95"/>
    <x v="3"/>
    <s v="Delhi"/>
    <x v="3"/>
    <x v="2"/>
    <x v="17"/>
    <n v="5"/>
    <n v="46816.78"/>
    <x v="5"/>
    <n v="222379.71"/>
    <n v="190587.39"/>
    <n v="31792.32"/>
    <s v="Corporate"/>
    <s v="Debit Card"/>
  </r>
  <r>
    <s v="ORD10003"/>
    <x v="94"/>
    <x v="1"/>
    <s v="Tamil Nadu"/>
    <x v="4"/>
    <x v="1"/>
    <x v="10"/>
    <n v="8"/>
    <n v="17230.38"/>
    <x v="2"/>
    <n v="137843.04999999999"/>
    <n v="105920.34"/>
    <n v="31922.71"/>
    <s v="Corporate"/>
    <s v="UPI"/>
  </r>
  <r>
    <s v="ORD10293"/>
    <x v="64"/>
    <x v="3"/>
    <s v="Delhi"/>
    <x v="5"/>
    <x v="1"/>
    <x v="12"/>
    <n v="3"/>
    <n v="28660.09"/>
    <x v="2"/>
    <n v="85980.28"/>
    <n v="54051.03"/>
    <n v="31929.25"/>
    <s v="Online"/>
    <s v="Cash"/>
  </r>
  <r>
    <s v="ORD10851"/>
    <x v="323"/>
    <x v="1"/>
    <s v="Telangana"/>
    <x v="1"/>
    <x v="2"/>
    <x v="17"/>
    <n v="5"/>
    <n v="45540.85"/>
    <x v="5"/>
    <n v="216319.02"/>
    <n v="184376.79"/>
    <n v="31942.23"/>
    <s v="Retail"/>
    <s v="Net Banking"/>
  </r>
  <r>
    <s v="ORD10831"/>
    <x v="221"/>
    <x v="0"/>
    <s v="Odisha"/>
    <x v="3"/>
    <x v="1"/>
    <x v="11"/>
    <n v="7"/>
    <n v="21528.04"/>
    <x v="3"/>
    <n v="146175.37"/>
    <n v="114210.93"/>
    <n v="31964.44"/>
    <s v="Retail"/>
    <s v="Debit Card"/>
  </r>
  <r>
    <s v="ORD11189"/>
    <x v="18"/>
    <x v="2"/>
    <s v="Gujarat"/>
    <x v="0"/>
    <x v="1"/>
    <x v="11"/>
    <n v="4"/>
    <n v="23172.36"/>
    <x v="4"/>
    <n v="85274.29"/>
    <n v="53303.19"/>
    <n v="31971.1"/>
    <s v="Retail"/>
    <s v="UPI"/>
  </r>
  <r>
    <s v="ORD10715"/>
    <x v="224"/>
    <x v="2"/>
    <s v="Maharashtra"/>
    <x v="0"/>
    <x v="1"/>
    <x v="11"/>
    <n v="8"/>
    <n v="22871.73"/>
    <x v="5"/>
    <n v="173825.18"/>
    <n v="141846.63"/>
    <n v="31978.55"/>
    <s v="Online"/>
    <s v="Cash"/>
  </r>
  <r>
    <s v="ORD10935"/>
    <x v="332"/>
    <x v="1"/>
    <s v="Andhra Pradesh"/>
    <x v="8"/>
    <x v="2"/>
    <x v="15"/>
    <n v="6"/>
    <n v="37550.42"/>
    <x v="5"/>
    <n v="214037.39"/>
    <n v="182018.01"/>
    <n v="32019.38"/>
    <s v="Retail"/>
    <s v="Debit Card"/>
  </r>
  <r>
    <s v="ORD10775"/>
    <x v="246"/>
    <x v="3"/>
    <s v="Delhi"/>
    <x v="3"/>
    <x v="3"/>
    <x v="18"/>
    <n v="5"/>
    <n v="28762.74"/>
    <x v="3"/>
    <n v="139499.28"/>
    <n v="107407.6"/>
    <n v="32091.68"/>
    <s v="Online"/>
    <s v="Debit Card"/>
  </r>
  <r>
    <s v="ORD10567"/>
    <x v="181"/>
    <x v="0"/>
    <s v="West Bengal"/>
    <x v="2"/>
    <x v="0"/>
    <x v="9"/>
    <n v="7"/>
    <n v="15114.79"/>
    <x v="3"/>
    <n v="102629.4"/>
    <n v="70505.509999999995"/>
    <n v="32123.89"/>
    <s v="Retail"/>
    <s v="Credit Card"/>
  </r>
  <r>
    <s v="ORD11038"/>
    <x v="296"/>
    <x v="3"/>
    <s v="Punjab"/>
    <x v="3"/>
    <x v="2"/>
    <x v="15"/>
    <n v="3"/>
    <n v="35486.910000000003"/>
    <x v="5"/>
    <n v="101137.69"/>
    <n v="68784.39"/>
    <n v="32353.3"/>
    <s v="Retail"/>
    <s v="Debit Card"/>
  </r>
  <r>
    <s v="ORD10521"/>
    <x v="35"/>
    <x v="2"/>
    <s v="Maharashtra"/>
    <x v="4"/>
    <x v="2"/>
    <x v="16"/>
    <n v="3"/>
    <n v="44476.7"/>
    <x v="5"/>
    <n v="126758.6"/>
    <n v="94307.21"/>
    <n v="32451.39"/>
    <s v="Online"/>
    <s v="Net Banking"/>
  </r>
  <r>
    <s v="ORD10445"/>
    <x v="131"/>
    <x v="1"/>
    <s v="Tamil Nadu"/>
    <x v="3"/>
    <x v="2"/>
    <x v="15"/>
    <n v="5"/>
    <n v="37840.949999999997"/>
    <x v="1"/>
    <n v="170284.28"/>
    <n v="137769.88"/>
    <n v="32514.400000000001"/>
    <s v="Corporate"/>
    <s v="Credit Card"/>
  </r>
  <r>
    <s v="ORD11172"/>
    <x v="73"/>
    <x v="1"/>
    <s v="Andhra Pradesh"/>
    <x v="2"/>
    <x v="1"/>
    <x v="19"/>
    <n v="2"/>
    <n v="62615.63"/>
    <x v="0"/>
    <n v="106446.57"/>
    <n v="73874.47"/>
    <n v="32572.1"/>
    <s v="Retail"/>
    <s v="Net Banking"/>
  </r>
  <r>
    <s v="ORD11179"/>
    <x v="220"/>
    <x v="3"/>
    <s v="Haryana"/>
    <x v="2"/>
    <x v="1"/>
    <x v="11"/>
    <n v="5"/>
    <n v="21449.85"/>
    <x v="4"/>
    <n v="98669.31"/>
    <n v="65630.41"/>
    <n v="33038.9"/>
    <s v="Online"/>
    <s v="Credit Card"/>
  </r>
  <r>
    <s v="ORD10965"/>
    <x v="122"/>
    <x v="3"/>
    <s v="Punjab"/>
    <x v="5"/>
    <x v="0"/>
    <x v="9"/>
    <n v="8"/>
    <n v="14805.13"/>
    <x v="3"/>
    <n v="114887.84"/>
    <n v="81713.61"/>
    <n v="33174.230000000003"/>
    <s v="Retail"/>
    <s v="UPI"/>
  </r>
  <r>
    <s v="ORD10155"/>
    <x v="94"/>
    <x v="1"/>
    <s v="Karnataka"/>
    <x v="7"/>
    <x v="2"/>
    <x v="17"/>
    <n v="4"/>
    <n v="48828.71"/>
    <x v="4"/>
    <n v="179689.66"/>
    <n v="146468.01999999999"/>
    <n v="33221.64"/>
    <s v="Online"/>
    <s v="Cash"/>
  </r>
  <r>
    <s v="ORD10361"/>
    <x v="171"/>
    <x v="3"/>
    <s v="Haryana"/>
    <x v="5"/>
    <x v="1"/>
    <x v="12"/>
    <n v="8"/>
    <n v="28403.96"/>
    <x v="2"/>
    <n v="227231.66"/>
    <n v="193950.95"/>
    <n v="33280.71"/>
    <s v="Retail"/>
    <s v="Net Banking"/>
  </r>
  <r>
    <s v="ORD10112"/>
    <x v="276"/>
    <x v="0"/>
    <s v="West Bengal"/>
    <x v="6"/>
    <x v="2"/>
    <x v="15"/>
    <n v="3"/>
    <n v="34136.800000000003"/>
    <x v="3"/>
    <n v="99338.09"/>
    <n v="66034.52"/>
    <n v="33303.57"/>
    <s v="Online"/>
    <s v="Cash"/>
  </r>
  <r>
    <s v="ORD10226"/>
    <x v="78"/>
    <x v="3"/>
    <s v="Haryana"/>
    <x v="6"/>
    <x v="2"/>
    <x v="17"/>
    <n v="5"/>
    <n v="48358.26"/>
    <x v="5"/>
    <n v="229701.73"/>
    <n v="196264.53"/>
    <n v="33437.199999999997"/>
    <s v="Corporate"/>
    <s v="UPI"/>
  </r>
  <r>
    <s v="ORD10801"/>
    <x v="51"/>
    <x v="0"/>
    <s v="Bihar"/>
    <x v="5"/>
    <x v="1"/>
    <x v="11"/>
    <n v="5"/>
    <n v="21722.34"/>
    <x v="5"/>
    <n v="103181.11"/>
    <n v="69701.279999999999"/>
    <n v="33479.83"/>
    <s v="Online"/>
    <s v="Credit Card"/>
  </r>
  <r>
    <s v="ORD11188"/>
    <x v="16"/>
    <x v="0"/>
    <s v="West Bengal"/>
    <x v="4"/>
    <x v="1"/>
    <x v="19"/>
    <n v="2"/>
    <n v="64541.61"/>
    <x v="1"/>
    <n v="116174.91"/>
    <n v="82642.990000000005"/>
    <n v="33531.919999999998"/>
    <s v="Online"/>
    <s v="Debit Card"/>
  </r>
  <r>
    <s v="ORD10145"/>
    <x v="285"/>
    <x v="2"/>
    <s v="Gujarat"/>
    <x v="5"/>
    <x v="2"/>
    <x v="17"/>
    <n v="2"/>
    <n v="51737.8"/>
    <x v="2"/>
    <n v="103475.6"/>
    <n v="69894.81"/>
    <n v="33580.79"/>
    <s v="Retail"/>
    <s v="Debit Card"/>
  </r>
  <r>
    <s v="ORD10066"/>
    <x v="156"/>
    <x v="3"/>
    <s v="Haryana"/>
    <x v="1"/>
    <x v="3"/>
    <x v="18"/>
    <n v="6"/>
    <n v="26296.53"/>
    <x v="1"/>
    <n v="142001.29"/>
    <n v="108270.61"/>
    <n v="33730.68"/>
    <s v="Retail"/>
    <s v="UPI"/>
  </r>
  <r>
    <s v="ORD10511"/>
    <x v="304"/>
    <x v="1"/>
    <s v="Tamil Nadu"/>
    <x v="0"/>
    <x v="1"/>
    <x v="11"/>
    <n v="5"/>
    <n v="20880"/>
    <x v="5"/>
    <n v="99179.99"/>
    <n v="65431.02"/>
    <n v="33748.97"/>
    <s v="Online"/>
    <s v="UPI"/>
  </r>
  <r>
    <s v="ORD10984"/>
    <x v="34"/>
    <x v="0"/>
    <s v="Jharkhand"/>
    <x v="4"/>
    <x v="0"/>
    <x v="8"/>
    <n v="8"/>
    <n v="14571.99"/>
    <x v="2"/>
    <n v="116575.92"/>
    <n v="82807.72"/>
    <n v="33768.199999999997"/>
    <s v="Retail"/>
    <s v="Debit Card"/>
  </r>
  <r>
    <s v="ORD11111"/>
    <x v="105"/>
    <x v="3"/>
    <s v="Delhi"/>
    <x v="4"/>
    <x v="1"/>
    <x v="11"/>
    <n v="7"/>
    <n v="21339.67"/>
    <x v="5"/>
    <n v="141908.79999999999"/>
    <n v="108035.49"/>
    <n v="33873.31"/>
    <s v="Corporate"/>
    <s v="Net Banking"/>
  </r>
  <r>
    <s v="ORD10376"/>
    <x v="161"/>
    <x v="0"/>
    <s v="Odisha"/>
    <x v="2"/>
    <x v="1"/>
    <x v="11"/>
    <n v="7"/>
    <n v="22960.16"/>
    <x v="3"/>
    <n v="155899.46"/>
    <n v="122002.92"/>
    <n v="33896.54"/>
    <s v="Online"/>
    <s v="Credit Card"/>
  </r>
  <r>
    <s v="ORD10778"/>
    <x v="249"/>
    <x v="1"/>
    <s v="Telangana"/>
    <x v="7"/>
    <x v="1"/>
    <x v="11"/>
    <n v="5"/>
    <n v="22589.08"/>
    <x v="2"/>
    <n v="112945.38"/>
    <n v="78879.839999999997"/>
    <n v="34065.54"/>
    <s v="Retail"/>
    <s v="Debit Card"/>
  </r>
  <r>
    <s v="ORD10956"/>
    <x v="279"/>
    <x v="1"/>
    <s v="Tamil Nadu"/>
    <x v="1"/>
    <x v="2"/>
    <x v="17"/>
    <n v="4"/>
    <n v="48039.66"/>
    <x v="5"/>
    <n v="182550.71"/>
    <n v="148475.68"/>
    <n v="34075.03"/>
    <s v="Corporate"/>
    <s v="Credit Card"/>
  </r>
  <r>
    <s v="ORD10796"/>
    <x v="232"/>
    <x v="1"/>
    <s v="Tamil Nadu"/>
    <x v="5"/>
    <x v="1"/>
    <x v="12"/>
    <n v="4"/>
    <n v="31653.13"/>
    <x v="3"/>
    <n v="122814.15"/>
    <n v="88383.360000000001"/>
    <n v="34430.79"/>
    <s v="Corporate"/>
    <s v="UPI"/>
  </r>
  <r>
    <s v="ORD10290"/>
    <x v="54"/>
    <x v="3"/>
    <s v="Punjab"/>
    <x v="5"/>
    <x v="1"/>
    <x v="11"/>
    <n v="6"/>
    <n v="21749.03"/>
    <x v="2"/>
    <n v="130494.19"/>
    <n v="95967.21"/>
    <n v="34526.980000000003"/>
    <s v="Retail"/>
    <s v="Net Banking"/>
  </r>
  <r>
    <s v="ORD10279"/>
    <x v="244"/>
    <x v="3"/>
    <s v="Haryana"/>
    <x v="7"/>
    <x v="0"/>
    <x v="8"/>
    <n v="8"/>
    <n v="14899.19"/>
    <x v="5"/>
    <n v="113233.84"/>
    <n v="78437.06"/>
    <n v="34796.78"/>
    <s v="Online"/>
    <s v="Cash"/>
  </r>
  <r>
    <s v="ORD10498"/>
    <x v="53"/>
    <x v="3"/>
    <s v="Punjab"/>
    <x v="6"/>
    <x v="0"/>
    <x v="8"/>
    <n v="8"/>
    <n v="14670"/>
    <x v="1"/>
    <n v="105624.03"/>
    <n v="70660.47"/>
    <n v="34963.56"/>
    <s v="Online"/>
    <s v="Credit Card"/>
  </r>
  <r>
    <s v="ORD10678"/>
    <x v="125"/>
    <x v="1"/>
    <s v="Telangana"/>
    <x v="7"/>
    <x v="2"/>
    <x v="17"/>
    <n v="2"/>
    <n v="48162.61"/>
    <x v="2"/>
    <n v="96325.23"/>
    <n v="61237.7"/>
    <n v="35087.53"/>
    <s v="Retail"/>
    <s v="Credit Card"/>
  </r>
  <r>
    <s v="ORD10004"/>
    <x v="118"/>
    <x v="3"/>
    <s v="Haryana"/>
    <x v="3"/>
    <x v="1"/>
    <x v="12"/>
    <n v="4"/>
    <n v="32122.57"/>
    <x v="5"/>
    <n v="122065.76"/>
    <n v="86971.85"/>
    <n v="35093.910000000003"/>
    <s v="Retail"/>
    <s v="Net Banking"/>
  </r>
  <r>
    <s v="ORD10897"/>
    <x v="313"/>
    <x v="3"/>
    <s v="Haryana"/>
    <x v="0"/>
    <x v="1"/>
    <x v="12"/>
    <n v="5"/>
    <n v="32230.19"/>
    <x v="5"/>
    <n v="153093.4"/>
    <n v="117975.83"/>
    <n v="35117.57"/>
    <s v="Corporate"/>
    <s v="Credit Card"/>
  </r>
  <r>
    <s v="ORD11043"/>
    <x v="30"/>
    <x v="2"/>
    <s v="Maharashtra"/>
    <x v="0"/>
    <x v="2"/>
    <x v="16"/>
    <n v="3"/>
    <n v="42720.58"/>
    <x v="5"/>
    <n v="121753.66"/>
    <n v="86580.42"/>
    <n v="35173.24"/>
    <s v="Retail"/>
    <s v="Debit Card"/>
  </r>
  <r>
    <s v="ORD10966"/>
    <x v="238"/>
    <x v="1"/>
    <s v="Karnataka"/>
    <x v="4"/>
    <x v="1"/>
    <x v="19"/>
    <n v="4"/>
    <n v="64864.97"/>
    <x v="1"/>
    <n v="233513.88"/>
    <n v="198279.67999999999"/>
    <n v="35234.199999999997"/>
    <s v="Online"/>
    <s v="Cash"/>
  </r>
  <r>
    <s v="ORD10638"/>
    <x v="312"/>
    <x v="3"/>
    <s v="Haryana"/>
    <x v="5"/>
    <x v="2"/>
    <x v="17"/>
    <n v="5"/>
    <n v="49329.5"/>
    <x v="0"/>
    <n v="209650.35"/>
    <n v="174403.42"/>
    <n v="35246.93"/>
    <s v="Online"/>
    <s v="Debit Card"/>
  </r>
  <r>
    <s v="ORD10015"/>
    <x v="294"/>
    <x v="1"/>
    <s v="Karnataka"/>
    <x v="1"/>
    <x v="1"/>
    <x v="10"/>
    <n v="6"/>
    <n v="18565.36"/>
    <x v="4"/>
    <n v="102480.77"/>
    <n v="67180.33"/>
    <n v="35300.44"/>
    <s v="Retail"/>
    <s v="Credit Card"/>
  </r>
  <r>
    <s v="ORD10177"/>
    <x v="292"/>
    <x v="3"/>
    <s v="Punjab"/>
    <x v="6"/>
    <x v="0"/>
    <x v="8"/>
    <n v="7"/>
    <n v="14374.03"/>
    <x v="2"/>
    <n v="100618.23"/>
    <n v="65314.55"/>
    <n v="35303.68"/>
    <s v="Retail"/>
    <s v="Net Banking"/>
  </r>
  <r>
    <s v="ORD11125"/>
    <x v="112"/>
    <x v="1"/>
    <s v="Telangana"/>
    <x v="3"/>
    <x v="1"/>
    <x v="12"/>
    <n v="4"/>
    <n v="28011.02"/>
    <x v="2"/>
    <n v="112044.08"/>
    <n v="76655.98"/>
    <n v="35388.1"/>
    <s v="Retail"/>
    <s v="Net Banking"/>
  </r>
  <r>
    <s v="ORD10592"/>
    <x v="204"/>
    <x v="3"/>
    <s v="Delhi"/>
    <x v="2"/>
    <x v="1"/>
    <x v="12"/>
    <n v="6"/>
    <n v="29610.86"/>
    <x v="5"/>
    <n v="168781.9"/>
    <n v="133363.26"/>
    <n v="35418.639999999999"/>
    <s v="Online"/>
    <s v="UPI"/>
  </r>
  <r>
    <s v="ORD10737"/>
    <x v="6"/>
    <x v="0"/>
    <s v="Jharkhand"/>
    <x v="4"/>
    <x v="2"/>
    <x v="16"/>
    <n v="5"/>
    <n v="43778.400000000001"/>
    <x v="3"/>
    <n v="212325.26"/>
    <n v="176872.46"/>
    <n v="35452.800000000003"/>
    <s v="Corporate"/>
    <s v="Debit Card"/>
  </r>
  <r>
    <s v="ORD10483"/>
    <x v="215"/>
    <x v="1"/>
    <s v="Telangana"/>
    <x v="4"/>
    <x v="1"/>
    <x v="10"/>
    <n v="6"/>
    <n v="18990.37"/>
    <x v="4"/>
    <n v="104826.86"/>
    <n v="69214.61"/>
    <n v="35612.25"/>
    <s v="Retail"/>
    <s v="Credit Card"/>
  </r>
  <r>
    <s v="ORD10844"/>
    <x v="107"/>
    <x v="1"/>
    <s v="Karnataka"/>
    <x v="6"/>
    <x v="1"/>
    <x v="12"/>
    <n v="5"/>
    <n v="30099.15"/>
    <x v="4"/>
    <n v="138456.07"/>
    <n v="102781"/>
    <n v="35675.07"/>
    <s v="Retail"/>
    <s v="Cash"/>
  </r>
  <r>
    <s v="ORD10517"/>
    <x v="123"/>
    <x v="1"/>
    <s v="Karnataka"/>
    <x v="2"/>
    <x v="1"/>
    <x v="10"/>
    <n v="6"/>
    <n v="17528.61"/>
    <x v="1"/>
    <n v="94654.5"/>
    <n v="58958.46"/>
    <n v="35696.04"/>
    <s v="Corporate"/>
    <s v="Debit Card"/>
  </r>
  <r>
    <s v="ORD10561"/>
    <x v="195"/>
    <x v="4"/>
    <s v="Odisha"/>
    <x v="6"/>
    <x v="1"/>
    <x v="11"/>
    <n v="5"/>
    <n v="21971.85"/>
    <x v="3"/>
    <n v="106563.45"/>
    <n v="70717.98"/>
    <n v="35845.47"/>
    <s v="Retail"/>
    <s v="Credit Card"/>
  </r>
  <r>
    <s v="ORD10636"/>
    <x v="57"/>
    <x v="3"/>
    <s v="Uttar Pradesh"/>
    <x v="3"/>
    <x v="2"/>
    <x v="15"/>
    <n v="4"/>
    <n v="34036.76"/>
    <x v="5"/>
    <n v="129339.67"/>
    <n v="93211.94"/>
    <n v="36127.730000000003"/>
    <s v="Corporate"/>
    <s v="Credit Card"/>
  </r>
  <r>
    <s v="ORD10363"/>
    <x v="231"/>
    <x v="3"/>
    <s v="Punjab"/>
    <x v="5"/>
    <x v="1"/>
    <x v="12"/>
    <n v="7"/>
    <n v="29051.61"/>
    <x v="5"/>
    <n v="193193.23"/>
    <n v="157049.32"/>
    <n v="36143.910000000003"/>
    <s v="Corporate"/>
    <s v="Debit Card"/>
  </r>
  <r>
    <s v="ORD10553"/>
    <x v="117"/>
    <x v="2"/>
    <s v="Gujarat"/>
    <x v="4"/>
    <x v="2"/>
    <x v="17"/>
    <n v="2"/>
    <n v="50199.03"/>
    <x v="5"/>
    <n v="95378.15"/>
    <n v="59196.44"/>
    <n v="36181.71"/>
    <s v="Retail"/>
    <s v="Credit Card"/>
  </r>
  <r>
    <s v="ORD11011"/>
    <x v="333"/>
    <x v="0"/>
    <s v="West Bengal"/>
    <x v="3"/>
    <x v="2"/>
    <x v="17"/>
    <n v="5"/>
    <n v="51301.96"/>
    <x v="5"/>
    <n v="243684.29"/>
    <n v="207432.9"/>
    <n v="36251.39"/>
    <s v="Retail"/>
    <s v="Net Banking"/>
  </r>
  <r>
    <s v="ORD10789"/>
    <x v="282"/>
    <x v="1"/>
    <s v="Tamil Nadu"/>
    <x v="2"/>
    <x v="2"/>
    <x v="15"/>
    <n v="3"/>
    <n v="37307.39"/>
    <x v="5"/>
    <n v="106326.07"/>
    <n v="70069.279999999999"/>
    <n v="36256.79"/>
    <s v="Retail"/>
    <s v="Credit Card"/>
  </r>
  <r>
    <s v="ORD10885"/>
    <x v="269"/>
    <x v="2"/>
    <s v="Goa"/>
    <x v="4"/>
    <x v="1"/>
    <x v="10"/>
    <n v="7"/>
    <n v="17176.830000000002"/>
    <x v="2"/>
    <n v="120237.79"/>
    <n v="83940.5"/>
    <n v="36297.29"/>
    <s v="Corporate"/>
    <s v="UPI"/>
  </r>
  <r>
    <s v="ORD11060"/>
    <x v="199"/>
    <x v="2"/>
    <s v="Maharashtra"/>
    <x v="3"/>
    <x v="2"/>
    <x v="15"/>
    <n v="5"/>
    <n v="36261.29"/>
    <x v="2"/>
    <n v="181306.45"/>
    <n v="144849.48000000001"/>
    <n v="36456.97"/>
    <s v="Retail"/>
    <s v="UPI"/>
  </r>
  <r>
    <s v="ORD10720"/>
    <x v="7"/>
    <x v="1"/>
    <s v="Andhra Pradesh"/>
    <x v="2"/>
    <x v="0"/>
    <x v="9"/>
    <n v="8"/>
    <n v="13994.55"/>
    <x v="3"/>
    <n v="108597.69"/>
    <n v="72098.17"/>
    <n v="36499.519999999997"/>
    <s v="Corporate"/>
    <s v="Net Banking"/>
  </r>
  <r>
    <s v="ORD10814"/>
    <x v="115"/>
    <x v="3"/>
    <s v="Haryana"/>
    <x v="6"/>
    <x v="1"/>
    <x v="10"/>
    <n v="8"/>
    <n v="18812.169999999998"/>
    <x v="1"/>
    <n v="135447.59"/>
    <n v="98711.88"/>
    <n v="36735.71"/>
    <s v="Online"/>
    <s v="UPI"/>
  </r>
  <r>
    <s v="ORD10809"/>
    <x v="257"/>
    <x v="2"/>
    <s v="Maharashtra"/>
    <x v="3"/>
    <x v="2"/>
    <x v="16"/>
    <n v="7"/>
    <n v="39400.269999999997"/>
    <x v="5"/>
    <n v="262011.82"/>
    <n v="225218.39"/>
    <n v="36793.43"/>
    <s v="Corporate"/>
    <s v="Credit Card"/>
  </r>
  <r>
    <s v="ORD10021"/>
    <x v="196"/>
    <x v="3"/>
    <s v="Haryana"/>
    <x v="7"/>
    <x v="3"/>
    <x v="13"/>
    <n v="8"/>
    <n v="29541.64"/>
    <x v="1"/>
    <n v="212699.8"/>
    <n v="175312.03"/>
    <n v="37387.769999999997"/>
    <s v="Retail"/>
    <s v="Net Banking"/>
  </r>
  <r>
    <s v="ORD10509"/>
    <x v="142"/>
    <x v="0"/>
    <s v="Odisha"/>
    <x v="7"/>
    <x v="2"/>
    <x v="17"/>
    <n v="4"/>
    <n v="49751.93"/>
    <x v="4"/>
    <n v="183087.12"/>
    <n v="145645.82999999999"/>
    <n v="37441.29"/>
    <s v="Online"/>
    <s v="Debit Card"/>
  </r>
  <r>
    <s v="ORD10228"/>
    <x v="112"/>
    <x v="1"/>
    <s v="Tamil Nadu"/>
    <x v="1"/>
    <x v="1"/>
    <x v="10"/>
    <n v="6"/>
    <n v="17189.12"/>
    <x v="2"/>
    <n v="103134.7"/>
    <n v="65635.11"/>
    <n v="37499.589999999997"/>
    <s v="Retail"/>
    <s v="UPI"/>
  </r>
  <r>
    <s v="ORD10148"/>
    <x v="71"/>
    <x v="3"/>
    <s v="Haryana"/>
    <x v="7"/>
    <x v="3"/>
    <x v="14"/>
    <n v="7"/>
    <n v="32883.72"/>
    <x v="5"/>
    <n v="218676.76"/>
    <n v="181141.8"/>
    <n v="37534.959999999999"/>
    <s v="Retail"/>
    <s v="UPI"/>
  </r>
  <r>
    <s v="ORD11092"/>
    <x v="138"/>
    <x v="0"/>
    <s v="Odisha"/>
    <x v="7"/>
    <x v="1"/>
    <x v="19"/>
    <n v="4"/>
    <n v="65816.22"/>
    <x v="5"/>
    <n v="250101.62"/>
    <n v="212062.29"/>
    <n v="38039.33"/>
    <s v="Retail"/>
    <s v="Cash"/>
  </r>
  <r>
    <s v="ORD10107"/>
    <x v="209"/>
    <x v="0"/>
    <s v="West Bengal"/>
    <x v="7"/>
    <x v="2"/>
    <x v="17"/>
    <n v="6"/>
    <n v="47366.45"/>
    <x v="5"/>
    <n v="269988.75"/>
    <n v="231564.47"/>
    <n v="38424.28"/>
    <s v="Online"/>
    <s v="Cash"/>
  </r>
  <r>
    <s v="ORD11088"/>
    <x v="265"/>
    <x v="3"/>
    <s v="Delhi"/>
    <x v="1"/>
    <x v="1"/>
    <x v="11"/>
    <n v="8"/>
    <n v="22956.76"/>
    <x v="1"/>
    <n v="165288.64000000001"/>
    <n v="126842.35"/>
    <n v="38446.29"/>
    <s v="Retail"/>
    <s v="UPI"/>
  </r>
  <r>
    <s v="ORD10998"/>
    <x v="222"/>
    <x v="0"/>
    <s v="Bihar"/>
    <x v="3"/>
    <x v="2"/>
    <x v="17"/>
    <n v="5"/>
    <n v="47310.87"/>
    <x v="2"/>
    <n v="236554.33"/>
    <n v="198099.44"/>
    <n v="38454.89"/>
    <s v="Corporate"/>
    <s v="UPI"/>
  </r>
  <r>
    <s v="ORD10225"/>
    <x v="238"/>
    <x v="1"/>
    <s v="Andhra Pradesh"/>
    <x v="2"/>
    <x v="3"/>
    <x v="14"/>
    <n v="7"/>
    <n v="33573.870000000003"/>
    <x v="2"/>
    <n v="235017.07"/>
    <n v="196409.26"/>
    <n v="38607.81"/>
    <s v="Online"/>
    <s v="Debit Card"/>
  </r>
  <r>
    <s v="ORD10551"/>
    <x v="272"/>
    <x v="2"/>
    <s v="Maharashtra"/>
    <x v="2"/>
    <x v="1"/>
    <x v="10"/>
    <n v="7"/>
    <n v="19343.87"/>
    <x v="5"/>
    <n v="128636.75"/>
    <n v="89664.87"/>
    <n v="38971.879999999997"/>
    <s v="Retail"/>
    <s v="Net Banking"/>
  </r>
  <r>
    <s v="ORD10035"/>
    <x v="14"/>
    <x v="3"/>
    <s v="Delhi"/>
    <x v="2"/>
    <x v="3"/>
    <x v="13"/>
    <n v="5"/>
    <n v="29876.03"/>
    <x v="2"/>
    <n v="149380.17000000001"/>
    <n v="110240.74"/>
    <n v="39139.43"/>
    <s v="Retail"/>
    <s v="Cash"/>
  </r>
  <r>
    <s v="ORD10952"/>
    <x v="250"/>
    <x v="2"/>
    <s v="Rajasthan"/>
    <x v="6"/>
    <x v="1"/>
    <x v="11"/>
    <n v="7"/>
    <n v="20867.439999999999"/>
    <x v="1"/>
    <n v="131464.88"/>
    <n v="92256.8"/>
    <n v="39208.080000000002"/>
    <s v="Online"/>
    <s v="Debit Card"/>
  </r>
  <r>
    <s v="ORD10022"/>
    <x v="24"/>
    <x v="0"/>
    <s v="Jharkhand"/>
    <x v="2"/>
    <x v="3"/>
    <x v="14"/>
    <n v="5"/>
    <n v="30893.68"/>
    <x v="3"/>
    <n v="149834.32999999999"/>
    <n v="110360.07"/>
    <n v="39474.26"/>
    <s v="Corporate"/>
    <s v="UPI"/>
  </r>
  <r>
    <s v="ORD10022"/>
    <x v="24"/>
    <x v="0"/>
    <s v="Jharkhand"/>
    <x v="2"/>
    <x v="3"/>
    <x v="14"/>
    <n v="5"/>
    <n v="30893.68"/>
    <x v="3"/>
    <n v="149834.32999999999"/>
    <n v="110360.07"/>
    <n v="39474.26"/>
    <s v="Corporate"/>
    <s v="UPI"/>
  </r>
  <r>
    <s v="ORD10396"/>
    <x v="306"/>
    <x v="3"/>
    <s v="Uttar Pradesh"/>
    <x v="2"/>
    <x v="1"/>
    <x v="12"/>
    <n v="4"/>
    <n v="30087.73"/>
    <x v="4"/>
    <n v="110722.83"/>
    <n v="71192.009999999995"/>
    <n v="39530.82"/>
    <s v="Corporate"/>
    <s v="Debit Card"/>
  </r>
  <r>
    <s v="ORD10725"/>
    <x v="200"/>
    <x v="1"/>
    <s v="Tamil Nadu"/>
    <x v="0"/>
    <x v="2"/>
    <x v="17"/>
    <n v="4"/>
    <n v="46670.54"/>
    <x v="2"/>
    <n v="186682.16"/>
    <n v="147150.85"/>
    <n v="39531.31"/>
    <s v="Online"/>
    <s v="Cash"/>
  </r>
  <r>
    <s v="ORD10587"/>
    <x v="310"/>
    <x v="2"/>
    <s v="Goa"/>
    <x v="5"/>
    <x v="2"/>
    <x v="17"/>
    <n v="3"/>
    <n v="48563.96"/>
    <x v="2"/>
    <n v="145691.87"/>
    <n v="106038.32"/>
    <n v="39653.550000000003"/>
    <s v="Retail"/>
    <s v="Cash"/>
  </r>
  <r>
    <s v="ORD10622"/>
    <x v="253"/>
    <x v="0"/>
    <s v="Bihar"/>
    <x v="0"/>
    <x v="3"/>
    <x v="18"/>
    <n v="6"/>
    <n v="26582.37"/>
    <x v="1"/>
    <n v="143544.78"/>
    <n v="103773.15"/>
    <n v="39771.629999999997"/>
    <s v="Online"/>
    <s v="Credit Card"/>
  </r>
  <r>
    <s v="ORD10609"/>
    <x v="218"/>
    <x v="2"/>
    <s v="Goa"/>
    <x v="4"/>
    <x v="3"/>
    <x v="13"/>
    <n v="7"/>
    <n v="31398.29"/>
    <x v="3"/>
    <n v="213194.4"/>
    <n v="173375.79"/>
    <n v="39818.61"/>
    <s v="Retail"/>
    <s v="Cash"/>
  </r>
  <r>
    <s v="ORD10398"/>
    <x v="327"/>
    <x v="3"/>
    <s v="Delhi"/>
    <x v="0"/>
    <x v="2"/>
    <x v="15"/>
    <n v="3"/>
    <n v="38267.1"/>
    <x v="4"/>
    <n v="105617.21"/>
    <n v="65686.95"/>
    <n v="39930.26"/>
    <s v="Retail"/>
    <s v="Net Banking"/>
  </r>
  <r>
    <s v="ORD10444"/>
    <x v="287"/>
    <x v="3"/>
    <s v="Uttar Pradesh"/>
    <x v="1"/>
    <x v="2"/>
    <x v="15"/>
    <n v="4"/>
    <n v="38507.78"/>
    <x v="5"/>
    <n v="146329.56"/>
    <n v="106365.9"/>
    <n v="39963.660000000003"/>
    <s v="Retail"/>
    <s v="Net Banking"/>
  </r>
  <r>
    <s v="ORD10901"/>
    <x v="149"/>
    <x v="1"/>
    <s v="Andhra Pradesh"/>
    <x v="0"/>
    <x v="2"/>
    <x v="16"/>
    <n v="5"/>
    <n v="40945.26"/>
    <x v="5"/>
    <n v="194489.96"/>
    <n v="154211.06"/>
    <n v="40278.9"/>
    <s v="Online"/>
    <s v="Cash"/>
  </r>
  <r>
    <s v="ORD10606"/>
    <x v="10"/>
    <x v="0"/>
    <s v="Bihar"/>
    <x v="5"/>
    <x v="1"/>
    <x v="19"/>
    <n v="3"/>
    <n v="63607.58"/>
    <x v="2"/>
    <n v="190822.73"/>
    <n v="150478.47"/>
    <n v="40344.26"/>
    <s v="Retail"/>
    <s v="Credit Card"/>
  </r>
  <r>
    <s v="ORD10171"/>
    <x v="232"/>
    <x v="2"/>
    <s v="Gujarat"/>
    <x v="3"/>
    <x v="3"/>
    <x v="18"/>
    <n v="7"/>
    <n v="26484.7"/>
    <x v="1"/>
    <n v="166853.63"/>
    <n v="126458.53"/>
    <n v="40395.1"/>
    <s v="Online"/>
    <s v="Credit Card"/>
  </r>
  <r>
    <s v="ORD11133"/>
    <x v="254"/>
    <x v="3"/>
    <s v="Uttar Pradesh"/>
    <x v="6"/>
    <x v="2"/>
    <x v="16"/>
    <n v="4"/>
    <n v="44530.79"/>
    <x v="1"/>
    <n v="160310.82999999999"/>
    <n v="119738.28"/>
    <n v="40572.550000000003"/>
    <s v="Corporate"/>
    <s v="Net Banking"/>
  </r>
  <r>
    <s v="ORD10352"/>
    <x v="121"/>
    <x v="2"/>
    <s v="Rajasthan"/>
    <x v="6"/>
    <x v="2"/>
    <x v="15"/>
    <n v="5"/>
    <n v="35361.97"/>
    <x v="3"/>
    <n v="171505.54"/>
    <n v="130900.65"/>
    <n v="40604.89"/>
    <s v="Online"/>
    <s v="Net Banking"/>
  </r>
  <r>
    <s v="ORD10097"/>
    <x v="207"/>
    <x v="3"/>
    <s v="Haryana"/>
    <x v="1"/>
    <x v="1"/>
    <x v="11"/>
    <n v="8"/>
    <n v="21122.57"/>
    <x v="4"/>
    <n v="155462.13"/>
    <n v="114828.33"/>
    <n v="40633.800000000003"/>
    <s v="Online"/>
    <s v="Cash"/>
  </r>
  <r>
    <s v="ORD10482"/>
    <x v="140"/>
    <x v="3"/>
    <s v="Uttar Pradesh"/>
    <x v="0"/>
    <x v="0"/>
    <x v="8"/>
    <n v="7"/>
    <n v="15829.57"/>
    <x v="3"/>
    <n v="107482.77"/>
    <n v="66681.72"/>
    <n v="40801.050000000003"/>
    <s v="Retail"/>
    <s v="UPI"/>
  </r>
  <r>
    <s v="ORD10824"/>
    <x v="63"/>
    <x v="0"/>
    <s v="Odisha"/>
    <x v="3"/>
    <x v="3"/>
    <x v="14"/>
    <n v="7"/>
    <n v="31290.7"/>
    <x v="4"/>
    <n v="201512.12"/>
    <n v="160668.1"/>
    <n v="40844.019999999997"/>
    <s v="Corporate"/>
    <s v="UPI"/>
  </r>
  <r>
    <s v="ORD10084"/>
    <x v="307"/>
    <x v="0"/>
    <s v="West Bengal"/>
    <x v="3"/>
    <x v="1"/>
    <x v="19"/>
    <n v="2"/>
    <n v="68149.679999999993"/>
    <x v="2"/>
    <n v="136299.35"/>
    <n v="95414.97"/>
    <n v="40884.379999999997"/>
    <s v="Retail"/>
    <s v="Credit Card"/>
  </r>
  <r>
    <s v="ORD11107"/>
    <x v="146"/>
    <x v="2"/>
    <s v="Goa"/>
    <x v="2"/>
    <x v="3"/>
    <x v="14"/>
    <n v="4"/>
    <n v="29993.71"/>
    <x v="5"/>
    <n v="113976.09"/>
    <n v="73012.47"/>
    <n v="40963.620000000003"/>
    <s v="Retail"/>
    <s v="Cash"/>
  </r>
  <r>
    <s v="ORD10881"/>
    <x v="98"/>
    <x v="3"/>
    <s v="Uttar Pradesh"/>
    <x v="0"/>
    <x v="1"/>
    <x v="11"/>
    <n v="8"/>
    <n v="23057.279999999999"/>
    <x v="5"/>
    <n v="175235.34"/>
    <n v="134153.68"/>
    <n v="41081.660000000003"/>
    <s v="Retail"/>
    <s v="Cash"/>
  </r>
  <r>
    <s v="ORD10920"/>
    <x v="53"/>
    <x v="0"/>
    <s v="Odisha"/>
    <x v="7"/>
    <x v="2"/>
    <x v="16"/>
    <n v="3"/>
    <n v="38991.300000000003"/>
    <x v="3"/>
    <n v="113464.67"/>
    <n v="72369.95"/>
    <n v="41094.720000000001"/>
    <s v="Corporate"/>
    <s v="Debit Card"/>
  </r>
  <r>
    <s v="ORD11027"/>
    <x v="100"/>
    <x v="0"/>
    <s v="Bihar"/>
    <x v="3"/>
    <x v="2"/>
    <x v="17"/>
    <n v="5"/>
    <n v="49865.54"/>
    <x v="1"/>
    <n v="224394.93"/>
    <n v="183199.75"/>
    <n v="41195.18"/>
    <s v="Retail"/>
    <s v="Net Banking"/>
  </r>
  <r>
    <s v="ORD11012"/>
    <x v="314"/>
    <x v="1"/>
    <s v="Tamil Nadu"/>
    <x v="1"/>
    <x v="1"/>
    <x v="11"/>
    <n v="6"/>
    <n v="21829.27"/>
    <x v="1"/>
    <n v="117878.03"/>
    <n v="76550.53"/>
    <n v="41327.5"/>
    <s v="Retail"/>
    <s v="Credit Card"/>
  </r>
  <r>
    <s v="ORD10754"/>
    <x v="39"/>
    <x v="0"/>
    <s v="Jharkhand"/>
    <x v="6"/>
    <x v="1"/>
    <x v="12"/>
    <n v="6"/>
    <n v="30910.26"/>
    <x v="3"/>
    <n v="179897.74"/>
    <n v="138563.74"/>
    <n v="41334"/>
    <s v="Corporate"/>
    <s v="Cash"/>
  </r>
  <r>
    <s v="ORD10513"/>
    <x v="11"/>
    <x v="2"/>
    <s v="Goa"/>
    <x v="3"/>
    <x v="1"/>
    <x v="19"/>
    <n v="2"/>
    <n v="67351.28"/>
    <x v="2"/>
    <n v="134702.56"/>
    <n v="93303.89"/>
    <n v="41398.67"/>
    <s v="Corporate"/>
    <s v="Net Banking"/>
  </r>
  <r>
    <s v="ORD11066"/>
    <x v="37"/>
    <x v="3"/>
    <s v="Uttar Pradesh"/>
    <x v="3"/>
    <x v="1"/>
    <x v="19"/>
    <n v="2"/>
    <n v="68269.960000000006"/>
    <x v="5"/>
    <n v="129712.92"/>
    <n v="88260.46"/>
    <n v="41452.46"/>
    <s v="Retail"/>
    <s v="UPI"/>
  </r>
  <r>
    <s v="ORD10374"/>
    <x v="260"/>
    <x v="1"/>
    <s v="Andhra Pradesh"/>
    <x v="3"/>
    <x v="3"/>
    <x v="18"/>
    <n v="4"/>
    <n v="28005.71"/>
    <x v="2"/>
    <n v="112022.86"/>
    <n v="70392.789999999994"/>
    <n v="41630.07"/>
    <s v="Corporate"/>
    <s v="UPI"/>
  </r>
  <r>
    <s v="ORD10047"/>
    <x v="171"/>
    <x v="1"/>
    <s v="Tamil Nadu"/>
    <x v="6"/>
    <x v="1"/>
    <x v="11"/>
    <n v="7"/>
    <n v="21769.27"/>
    <x v="3"/>
    <n v="147813.35"/>
    <n v="106018.9"/>
    <n v="41794.449999999997"/>
    <s v="Retail"/>
    <s v="Net Banking"/>
  </r>
  <r>
    <s v="ORD10467"/>
    <x v="309"/>
    <x v="3"/>
    <s v="Delhi"/>
    <x v="5"/>
    <x v="2"/>
    <x v="17"/>
    <n v="5"/>
    <n v="45996.03"/>
    <x v="4"/>
    <n v="211581.74"/>
    <n v="169773.47"/>
    <n v="41808.269999999997"/>
    <s v="Corporate"/>
    <s v="Net Banking"/>
  </r>
  <r>
    <s v="ORD10779"/>
    <x v="4"/>
    <x v="3"/>
    <s v="Delhi"/>
    <x v="0"/>
    <x v="1"/>
    <x v="12"/>
    <n v="7"/>
    <n v="28860.93"/>
    <x v="3"/>
    <n v="195965.7"/>
    <n v="153910.35999999999"/>
    <n v="42055.34"/>
    <s v="Retail"/>
    <s v="UPI"/>
  </r>
  <r>
    <s v="ORD10816"/>
    <x v="113"/>
    <x v="0"/>
    <s v="Odisha"/>
    <x v="4"/>
    <x v="1"/>
    <x v="19"/>
    <n v="2"/>
    <n v="60860.31"/>
    <x v="5"/>
    <n v="115634.58"/>
    <n v="73426.5"/>
    <n v="42208.08"/>
    <s v="Retail"/>
    <s v="Debit Card"/>
  </r>
  <r>
    <s v="ORD11051"/>
    <x v="35"/>
    <x v="2"/>
    <s v="Rajasthan"/>
    <x v="2"/>
    <x v="3"/>
    <x v="18"/>
    <n v="5"/>
    <n v="29004.44"/>
    <x v="1"/>
    <n v="130519.97"/>
    <n v="88305.23"/>
    <n v="42214.74"/>
    <s v="Retail"/>
    <s v="Net Banking"/>
  </r>
  <r>
    <s v="ORD10623"/>
    <x v="53"/>
    <x v="3"/>
    <s v="Punjab"/>
    <x v="7"/>
    <x v="1"/>
    <x v="12"/>
    <n v="8"/>
    <n v="28193.72"/>
    <x v="4"/>
    <n v="207505.75"/>
    <n v="165245.59"/>
    <n v="42260.160000000003"/>
    <s v="Online"/>
    <s v="Credit Card"/>
  </r>
  <r>
    <s v="ORD10629"/>
    <x v="34"/>
    <x v="3"/>
    <s v="Haryana"/>
    <x v="0"/>
    <x v="3"/>
    <x v="13"/>
    <n v="6"/>
    <n v="29760.31"/>
    <x v="3"/>
    <n v="173204.99"/>
    <n v="130936.8"/>
    <n v="42268.19"/>
    <s v="Retail"/>
    <s v="UPI"/>
  </r>
  <r>
    <s v="ORD11140"/>
    <x v="84"/>
    <x v="3"/>
    <s v="Punjab"/>
    <x v="4"/>
    <x v="1"/>
    <x v="19"/>
    <n v="2"/>
    <n v="66119.289999999994"/>
    <x v="3"/>
    <n v="128271.41"/>
    <n v="85893"/>
    <n v="42378.41"/>
    <s v="Corporate"/>
    <s v="Cash"/>
  </r>
  <r>
    <s v="ORD11070"/>
    <x v="313"/>
    <x v="1"/>
    <s v="Karnataka"/>
    <x v="6"/>
    <x v="1"/>
    <x v="10"/>
    <n v="8"/>
    <n v="16956.66"/>
    <x v="4"/>
    <n v="124801"/>
    <n v="82365.03"/>
    <n v="42435.97"/>
    <s v="Online"/>
    <s v="Debit Card"/>
  </r>
  <r>
    <s v="ORD10717"/>
    <x v="189"/>
    <x v="1"/>
    <s v="Tamil Nadu"/>
    <x v="5"/>
    <x v="3"/>
    <x v="13"/>
    <n v="8"/>
    <n v="30180.92"/>
    <x v="4"/>
    <n v="222131.59"/>
    <n v="179516.37"/>
    <n v="42615.22"/>
    <s v="Corporate"/>
    <s v="UPI"/>
  </r>
  <r>
    <s v="ORD10993"/>
    <x v="206"/>
    <x v="3"/>
    <s v="Delhi"/>
    <x v="4"/>
    <x v="1"/>
    <x v="19"/>
    <n v="2"/>
    <n v="61736.12"/>
    <x v="2"/>
    <n v="123472.23"/>
    <n v="80653.399999999994"/>
    <n v="42818.83"/>
    <s v="Online"/>
    <s v="Cash"/>
  </r>
  <r>
    <s v="ORD10092"/>
    <x v="334"/>
    <x v="3"/>
    <s v="Haryana"/>
    <x v="1"/>
    <x v="1"/>
    <x v="11"/>
    <n v="8"/>
    <n v="20878.650000000001"/>
    <x v="4"/>
    <n v="153666.88"/>
    <n v="110815.62"/>
    <n v="42851.26"/>
    <s v="Online"/>
    <s v="Cash"/>
  </r>
  <r>
    <s v="ORD10873"/>
    <x v="307"/>
    <x v="3"/>
    <s v="Punjab"/>
    <x v="1"/>
    <x v="2"/>
    <x v="15"/>
    <n v="4"/>
    <n v="36362.949999999997"/>
    <x v="5"/>
    <n v="138179.23000000001"/>
    <n v="95228.79"/>
    <n v="42950.44"/>
    <s v="Corporate"/>
    <s v="Net Banking"/>
  </r>
  <r>
    <s v="ORD10219"/>
    <x v="66"/>
    <x v="0"/>
    <s v="Odisha"/>
    <x v="5"/>
    <x v="3"/>
    <x v="18"/>
    <n v="7"/>
    <n v="28699.48"/>
    <x v="2"/>
    <n v="200896.36"/>
    <n v="157672.82999999999"/>
    <n v="43223.53"/>
    <s v="Corporate"/>
    <s v="UPI"/>
  </r>
  <r>
    <s v="ORD10466"/>
    <x v="62"/>
    <x v="2"/>
    <s v="Gujarat"/>
    <x v="0"/>
    <x v="0"/>
    <x v="8"/>
    <n v="8"/>
    <n v="15332.37"/>
    <x v="3"/>
    <n v="118979.22"/>
    <n v="75398.100000000006"/>
    <n v="43581.120000000003"/>
    <s v="Retail"/>
    <s v="Cash"/>
  </r>
  <r>
    <s v="ORD10410"/>
    <x v="105"/>
    <x v="3"/>
    <s v="Uttar Pradesh"/>
    <x v="2"/>
    <x v="2"/>
    <x v="15"/>
    <n v="5"/>
    <n v="34539.949999999997"/>
    <x v="0"/>
    <n v="146794.81"/>
    <n v="103160.97"/>
    <n v="43633.84"/>
    <s v="Online"/>
    <s v="Net Banking"/>
  </r>
  <r>
    <s v="ORD10451"/>
    <x v="187"/>
    <x v="3"/>
    <s v="Uttar Pradesh"/>
    <x v="6"/>
    <x v="0"/>
    <x v="8"/>
    <n v="8"/>
    <n v="15367.14"/>
    <x v="5"/>
    <n v="116790.23"/>
    <n v="73032.72"/>
    <n v="43757.51"/>
    <s v="Retail"/>
    <s v="Debit Card"/>
  </r>
  <r>
    <s v="ORD11194"/>
    <x v="332"/>
    <x v="3"/>
    <s v="Punjab"/>
    <x v="4"/>
    <x v="2"/>
    <x v="16"/>
    <n v="5"/>
    <n v="41346.5"/>
    <x v="2"/>
    <n v="206732.52"/>
    <n v="162677.35"/>
    <n v="44055.17"/>
    <s v="Online"/>
    <s v="Net Banking"/>
  </r>
  <r>
    <s v="ORD10188"/>
    <x v="303"/>
    <x v="2"/>
    <s v="Rajasthan"/>
    <x v="2"/>
    <x v="3"/>
    <x v="18"/>
    <n v="5"/>
    <n v="26321.05"/>
    <x v="5"/>
    <n v="125024.97"/>
    <n v="80934.86"/>
    <n v="44090.11"/>
    <s v="Corporate"/>
    <s v="Net Banking"/>
  </r>
  <r>
    <s v="ORD10357"/>
    <x v="268"/>
    <x v="1"/>
    <s v="Telangana"/>
    <x v="4"/>
    <x v="2"/>
    <x v="15"/>
    <n v="4"/>
    <n v="33572.49"/>
    <x v="4"/>
    <n v="123546.77"/>
    <n v="79413.149999999994"/>
    <n v="44133.62"/>
    <s v="Retail"/>
    <s v="Cash"/>
  </r>
  <r>
    <s v="ORD11173"/>
    <x v="334"/>
    <x v="2"/>
    <s v="Gujarat"/>
    <x v="7"/>
    <x v="1"/>
    <x v="19"/>
    <n v="2"/>
    <n v="63331.56"/>
    <x v="5"/>
    <n v="120329.97"/>
    <n v="75818.8"/>
    <n v="44511.17"/>
    <s v="Online"/>
    <s v="Debit Card"/>
  </r>
  <r>
    <s v="ORD10447"/>
    <x v="306"/>
    <x v="2"/>
    <s v="Rajasthan"/>
    <x v="7"/>
    <x v="1"/>
    <x v="12"/>
    <n v="4"/>
    <n v="29877.29"/>
    <x v="2"/>
    <n v="119509.15"/>
    <n v="74835.94"/>
    <n v="44673.21"/>
    <s v="Corporate"/>
    <s v="Cash"/>
  </r>
  <r>
    <s v="ORD11057"/>
    <x v="150"/>
    <x v="0"/>
    <s v="Odisha"/>
    <x v="7"/>
    <x v="1"/>
    <x v="11"/>
    <n v="8"/>
    <n v="21588.44"/>
    <x v="5"/>
    <n v="164072.16"/>
    <n v="119368.74"/>
    <n v="44703.42"/>
    <s v="Retail"/>
    <s v="Net Banking"/>
  </r>
  <r>
    <s v="ORD11165"/>
    <x v="227"/>
    <x v="0"/>
    <s v="Bihar"/>
    <x v="5"/>
    <x v="2"/>
    <x v="17"/>
    <n v="4"/>
    <n v="48978.239999999998"/>
    <x v="0"/>
    <n v="166526.03"/>
    <n v="121806.58"/>
    <n v="44719.45"/>
    <s v="Corporate"/>
    <s v="Credit Card"/>
  </r>
  <r>
    <s v="ORD10205"/>
    <x v="279"/>
    <x v="3"/>
    <s v="Uttar Pradesh"/>
    <x v="5"/>
    <x v="1"/>
    <x v="10"/>
    <n v="8"/>
    <n v="17919.53"/>
    <x v="2"/>
    <n v="143356.26999999999"/>
    <n v="98608.9"/>
    <n v="44747.37"/>
    <s v="Retail"/>
    <s v="Net Banking"/>
  </r>
  <r>
    <s v="ORD10972"/>
    <x v="335"/>
    <x v="1"/>
    <s v="Karnataka"/>
    <x v="5"/>
    <x v="1"/>
    <x v="10"/>
    <n v="7"/>
    <n v="19264.63"/>
    <x v="4"/>
    <n v="124064.24"/>
    <n v="79145.42"/>
    <n v="44918.82"/>
    <s v="Corporate"/>
    <s v="Net Banking"/>
  </r>
  <r>
    <s v="ORD10768"/>
    <x v="273"/>
    <x v="1"/>
    <s v="Andhra Pradesh"/>
    <x v="7"/>
    <x v="1"/>
    <x v="10"/>
    <n v="8"/>
    <n v="17725.400000000001"/>
    <x v="5"/>
    <n v="134713.06"/>
    <n v="89725.57"/>
    <n v="44987.49"/>
    <s v="Online"/>
    <s v="Net Banking"/>
  </r>
  <r>
    <s v="ORD10667"/>
    <x v="121"/>
    <x v="1"/>
    <s v="Karnataka"/>
    <x v="3"/>
    <x v="3"/>
    <x v="14"/>
    <n v="7"/>
    <n v="32880.519999999997"/>
    <x v="3"/>
    <n v="223258.72"/>
    <n v="178264.19"/>
    <n v="44994.53"/>
    <s v="Retail"/>
    <s v="Cash"/>
  </r>
  <r>
    <s v="ORD10795"/>
    <x v="23"/>
    <x v="2"/>
    <s v="Maharashtra"/>
    <x v="6"/>
    <x v="1"/>
    <x v="19"/>
    <n v="4"/>
    <n v="61740.42"/>
    <x v="3"/>
    <n v="239552.82"/>
    <n v="194555.06"/>
    <n v="44997.760000000002"/>
    <s v="Retail"/>
    <s v="Net Banking"/>
  </r>
  <r>
    <s v="ORD10864"/>
    <x v="96"/>
    <x v="2"/>
    <s v="Maharashtra"/>
    <x v="3"/>
    <x v="1"/>
    <x v="11"/>
    <n v="6"/>
    <n v="20576.419999999998"/>
    <x v="2"/>
    <n v="123458.53"/>
    <n v="78196.149999999994"/>
    <n v="45262.38"/>
    <s v="Online"/>
    <s v="Debit Card"/>
  </r>
  <r>
    <s v="ORD10939"/>
    <x v="129"/>
    <x v="1"/>
    <s v="Andhra Pradesh"/>
    <x v="6"/>
    <x v="2"/>
    <x v="15"/>
    <n v="7"/>
    <n v="38170.61"/>
    <x v="2"/>
    <n v="267194.28999999998"/>
    <n v="221784.71"/>
    <n v="45409.58"/>
    <s v="Online"/>
    <s v="Cash"/>
  </r>
  <r>
    <s v="ORD10677"/>
    <x v="333"/>
    <x v="0"/>
    <s v="Odisha"/>
    <x v="6"/>
    <x v="1"/>
    <x v="11"/>
    <n v="7"/>
    <n v="21166.04"/>
    <x v="4"/>
    <n v="136309.31"/>
    <n v="90712.94"/>
    <n v="45596.37"/>
    <s v="Online"/>
    <s v="Credit Card"/>
  </r>
  <r>
    <s v="ORD11187"/>
    <x v="312"/>
    <x v="2"/>
    <s v="Gujarat"/>
    <x v="3"/>
    <x v="2"/>
    <x v="15"/>
    <n v="4"/>
    <n v="37027.35"/>
    <x v="3"/>
    <n v="143666.13"/>
    <n v="97766.83"/>
    <n v="45899.3"/>
    <s v="Corporate"/>
    <s v="Credit Card"/>
  </r>
  <r>
    <s v="ORD10405"/>
    <x v="336"/>
    <x v="1"/>
    <s v="Karnataka"/>
    <x v="6"/>
    <x v="1"/>
    <x v="19"/>
    <n v="3"/>
    <n v="63886.11"/>
    <x v="2"/>
    <n v="191658.33"/>
    <n v="145656.60999999999"/>
    <n v="46001.72"/>
    <s v="Online"/>
    <s v="Debit Card"/>
  </r>
  <r>
    <s v="ORD10132"/>
    <x v="327"/>
    <x v="2"/>
    <s v="Gujarat"/>
    <x v="1"/>
    <x v="3"/>
    <x v="18"/>
    <n v="6"/>
    <n v="27202.98"/>
    <x v="0"/>
    <n v="138735.22"/>
    <n v="92703.73"/>
    <n v="46031.49"/>
    <s v="Online"/>
    <s v="Credit Card"/>
  </r>
  <r>
    <s v="ORD10093"/>
    <x v="293"/>
    <x v="1"/>
    <s v="Karnataka"/>
    <x v="3"/>
    <x v="2"/>
    <x v="17"/>
    <n v="4"/>
    <n v="48953.46"/>
    <x v="5"/>
    <n v="186023.16"/>
    <n v="139980.81"/>
    <n v="46042.35"/>
    <s v="Online"/>
    <s v="Debit Card"/>
  </r>
  <r>
    <s v="ORD11195"/>
    <x v="81"/>
    <x v="3"/>
    <s v="Delhi"/>
    <x v="5"/>
    <x v="2"/>
    <x v="15"/>
    <n v="4"/>
    <n v="36399.93"/>
    <x v="5"/>
    <n v="138319.74"/>
    <n v="92149.6"/>
    <n v="46170.14"/>
    <s v="Corporate"/>
    <s v="UPI"/>
  </r>
  <r>
    <s v="ORD10931"/>
    <x v="126"/>
    <x v="1"/>
    <s v="Karnataka"/>
    <x v="1"/>
    <x v="3"/>
    <x v="14"/>
    <n v="6"/>
    <n v="34364.22"/>
    <x v="5"/>
    <n v="195876.08"/>
    <n v="149700.22"/>
    <n v="46175.86"/>
    <s v="Online"/>
    <s v="UPI"/>
  </r>
  <r>
    <s v="ORD10189"/>
    <x v="97"/>
    <x v="3"/>
    <s v="Punjab"/>
    <x v="3"/>
    <x v="1"/>
    <x v="12"/>
    <n v="7"/>
    <n v="28056.06"/>
    <x v="5"/>
    <n v="186572.77"/>
    <n v="140306.84"/>
    <n v="46265.93"/>
    <s v="Online"/>
    <s v="Net Banking"/>
  </r>
  <r>
    <s v="ORD10859"/>
    <x v="117"/>
    <x v="2"/>
    <s v="Rajasthan"/>
    <x v="5"/>
    <x v="1"/>
    <x v="11"/>
    <n v="8"/>
    <n v="22865.54"/>
    <x v="5"/>
    <n v="173778.11"/>
    <n v="127476.92"/>
    <n v="46301.19"/>
    <s v="Retail"/>
    <s v="Debit Card"/>
  </r>
  <r>
    <s v="ORD10728"/>
    <x v="27"/>
    <x v="3"/>
    <s v="Uttar Pradesh"/>
    <x v="3"/>
    <x v="1"/>
    <x v="19"/>
    <n v="3"/>
    <n v="66311.42"/>
    <x v="1"/>
    <n v="179040.83"/>
    <n v="132733.26999999999"/>
    <n v="46307.56"/>
    <s v="Retail"/>
    <s v="Debit Card"/>
  </r>
  <r>
    <s v="ORD10340"/>
    <x v="116"/>
    <x v="1"/>
    <s v="Karnataka"/>
    <x v="2"/>
    <x v="3"/>
    <x v="14"/>
    <n v="4"/>
    <n v="32675.78"/>
    <x v="2"/>
    <n v="130703.13"/>
    <n v="84288.21"/>
    <n v="46414.92"/>
    <s v="Retail"/>
    <s v="UPI"/>
  </r>
  <r>
    <s v="ORD10906"/>
    <x v="196"/>
    <x v="3"/>
    <s v="Haryana"/>
    <x v="4"/>
    <x v="1"/>
    <x v="11"/>
    <n v="7"/>
    <n v="21412.19"/>
    <x v="5"/>
    <n v="142391.04000000001"/>
    <n v="95605.9"/>
    <n v="46785.14"/>
    <s v="Online"/>
    <s v="UPI"/>
  </r>
  <r>
    <s v="ORD10743"/>
    <x v="189"/>
    <x v="1"/>
    <s v="Andhra Pradesh"/>
    <x v="1"/>
    <x v="3"/>
    <x v="14"/>
    <n v="4"/>
    <n v="33138.550000000003"/>
    <x v="2"/>
    <n v="132554.21"/>
    <n v="85559.93"/>
    <n v="46994.28"/>
    <s v="Corporate"/>
    <s v="Credit Card"/>
  </r>
  <r>
    <s v="ORD10786"/>
    <x v="232"/>
    <x v="2"/>
    <s v="Rajasthan"/>
    <x v="3"/>
    <x v="1"/>
    <x v="11"/>
    <n v="7"/>
    <n v="23199.56"/>
    <x v="2"/>
    <n v="162396.94"/>
    <n v="114980.36"/>
    <n v="47416.58"/>
    <s v="Retail"/>
    <s v="Credit Card"/>
  </r>
  <r>
    <s v="ORD10761"/>
    <x v="99"/>
    <x v="3"/>
    <s v="Uttar Pradesh"/>
    <x v="7"/>
    <x v="2"/>
    <x v="16"/>
    <n v="4"/>
    <n v="43013.3"/>
    <x v="4"/>
    <n v="158288.93"/>
    <n v="110833.01"/>
    <n v="47455.92"/>
    <s v="Retail"/>
    <s v="UPI"/>
  </r>
  <r>
    <s v="ORD10440"/>
    <x v="118"/>
    <x v="2"/>
    <s v="Goa"/>
    <x v="2"/>
    <x v="2"/>
    <x v="15"/>
    <n v="5"/>
    <n v="34244.339999999997"/>
    <x v="4"/>
    <n v="157523.94"/>
    <n v="109879.87"/>
    <n v="47644.07"/>
    <s v="Online"/>
    <s v="Cash"/>
  </r>
  <r>
    <s v="ORD10364"/>
    <x v="120"/>
    <x v="3"/>
    <s v="Uttar Pradesh"/>
    <x v="2"/>
    <x v="3"/>
    <x v="14"/>
    <n v="7"/>
    <n v="34479.279999999999"/>
    <x v="5"/>
    <n v="229287.22"/>
    <n v="181514.02"/>
    <n v="47773.2"/>
    <s v="Retail"/>
    <s v="UPI"/>
  </r>
  <r>
    <s v="ORD10719"/>
    <x v="337"/>
    <x v="2"/>
    <s v="Rajasthan"/>
    <x v="1"/>
    <x v="2"/>
    <x v="15"/>
    <n v="8"/>
    <n v="37743.300000000003"/>
    <x v="3"/>
    <n v="292888.01"/>
    <n v="244827.14"/>
    <n v="48060.87"/>
    <s v="Corporate"/>
    <s v="Credit Card"/>
  </r>
  <r>
    <s v="ORD11174"/>
    <x v="96"/>
    <x v="1"/>
    <s v="Karnataka"/>
    <x v="5"/>
    <x v="2"/>
    <x v="17"/>
    <n v="5"/>
    <n v="49607.61"/>
    <x v="1"/>
    <n v="223234.23"/>
    <n v="175150.71"/>
    <n v="48083.519999999997"/>
    <s v="Corporate"/>
    <s v="Credit Card"/>
  </r>
  <r>
    <s v="ORD10872"/>
    <x v="215"/>
    <x v="3"/>
    <s v="Uttar Pradesh"/>
    <x v="6"/>
    <x v="2"/>
    <x v="17"/>
    <n v="6"/>
    <n v="50425.77"/>
    <x v="1"/>
    <n v="272299.15000000002"/>
    <n v="224094.05"/>
    <n v="48205.1"/>
    <s v="Retail"/>
    <s v="Cash"/>
  </r>
  <r>
    <s v="ORD10292"/>
    <x v="31"/>
    <x v="2"/>
    <s v="Rajasthan"/>
    <x v="4"/>
    <x v="2"/>
    <x v="15"/>
    <n v="5"/>
    <n v="34565.769999999997"/>
    <x v="5"/>
    <n v="164187.4"/>
    <n v="115925.96"/>
    <n v="48261.440000000002"/>
    <s v="Online"/>
    <s v="UPI"/>
  </r>
  <r>
    <s v="ORD10303"/>
    <x v="294"/>
    <x v="0"/>
    <s v="Jharkhand"/>
    <x v="3"/>
    <x v="2"/>
    <x v="16"/>
    <n v="7"/>
    <n v="43307.68"/>
    <x v="4"/>
    <n v="278901.46999999997"/>
    <n v="230597.36"/>
    <n v="48304.11"/>
    <s v="Retail"/>
    <s v="UPI"/>
  </r>
  <r>
    <s v="ORD10943"/>
    <x v="35"/>
    <x v="0"/>
    <s v="Bihar"/>
    <x v="7"/>
    <x v="1"/>
    <x v="11"/>
    <n v="8"/>
    <n v="21986.69"/>
    <x v="4"/>
    <n v="161822.06"/>
    <n v="113329.89"/>
    <n v="48492.17"/>
    <s v="Online"/>
    <s v="Net Banking"/>
  </r>
  <r>
    <s v="ORD10485"/>
    <x v="320"/>
    <x v="0"/>
    <s v="Jharkhand"/>
    <x v="2"/>
    <x v="1"/>
    <x v="12"/>
    <n v="7"/>
    <n v="31201.25"/>
    <x v="3"/>
    <n v="211856.5"/>
    <n v="163112.42000000001"/>
    <n v="48744.08"/>
    <s v="Corporate"/>
    <s v="UPI"/>
  </r>
  <r>
    <s v="ORD10585"/>
    <x v="247"/>
    <x v="0"/>
    <s v="Bihar"/>
    <x v="3"/>
    <x v="1"/>
    <x v="12"/>
    <n v="5"/>
    <n v="29668.720000000001"/>
    <x v="5"/>
    <n v="140926.43"/>
    <n v="92129.53"/>
    <n v="48796.9"/>
    <s v="Retail"/>
    <s v="Net Banking"/>
  </r>
  <r>
    <s v="ORD11014"/>
    <x v="184"/>
    <x v="2"/>
    <s v="Goa"/>
    <x v="5"/>
    <x v="2"/>
    <x v="15"/>
    <n v="7"/>
    <n v="38607.35"/>
    <x v="5"/>
    <n v="256738.9"/>
    <n v="207666.53"/>
    <n v="49072.37"/>
    <s v="Retail"/>
    <s v="Cash"/>
  </r>
  <r>
    <s v="ORD10635"/>
    <x v="94"/>
    <x v="2"/>
    <s v="Rajasthan"/>
    <x v="3"/>
    <x v="2"/>
    <x v="17"/>
    <n v="7"/>
    <n v="48984.63"/>
    <x v="2"/>
    <n v="342892.39"/>
    <n v="293729.91999999998"/>
    <n v="49162.47"/>
    <s v="Retail"/>
    <s v="Net Banking"/>
  </r>
  <r>
    <s v="ORD11086"/>
    <x v="338"/>
    <x v="1"/>
    <s v="Telangana"/>
    <x v="3"/>
    <x v="2"/>
    <x v="17"/>
    <n v="4"/>
    <n v="47478.66"/>
    <x v="5"/>
    <n v="180418.91"/>
    <n v="131176.71"/>
    <n v="49242.2"/>
    <s v="Online"/>
    <s v="Credit Card"/>
  </r>
  <r>
    <s v="ORD11058"/>
    <x v="141"/>
    <x v="3"/>
    <s v="Haryana"/>
    <x v="1"/>
    <x v="2"/>
    <x v="17"/>
    <n v="3"/>
    <n v="48702.79"/>
    <x v="4"/>
    <n v="134419.71"/>
    <n v="85050.87"/>
    <n v="49368.84"/>
    <s v="Online"/>
    <s v="Credit Card"/>
  </r>
  <r>
    <s v="ORD10892"/>
    <x v="238"/>
    <x v="1"/>
    <s v="Tamil Nadu"/>
    <x v="7"/>
    <x v="2"/>
    <x v="17"/>
    <n v="3"/>
    <n v="47376.07"/>
    <x v="5"/>
    <n v="135021.79999999999"/>
    <n v="85461.21"/>
    <n v="49560.59"/>
    <s v="Retail"/>
    <s v="UPI"/>
  </r>
  <r>
    <s v="ORD11053"/>
    <x v="288"/>
    <x v="0"/>
    <s v="West Bengal"/>
    <x v="2"/>
    <x v="3"/>
    <x v="14"/>
    <n v="6"/>
    <n v="30462.61"/>
    <x v="3"/>
    <n v="177292.38"/>
    <n v="127539.93"/>
    <n v="49752.45"/>
    <s v="Online"/>
    <s v="Net Banking"/>
  </r>
  <r>
    <s v="ORD10973"/>
    <x v="177"/>
    <x v="3"/>
    <s v="Delhi"/>
    <x v="1"/>
    <x v="3"/>
    <x v="18"/>
    <n v="6"/>
    <n v="26457.42"/>
    <x v="3"/>
    <n v="153982.21"/>
    <n v="103809.68"/>
    <n v="50172.53"/>
    <s v="Corporate"/>
    <s v="UPI"/>
  </r>
  <r>
    <s v="ORD10248"/>
    <x v="75"/>
    <x v="1"/>
    <s v="Telangana"/>
    <x v="5"/>
    <x v="1"/>
    <x v="11"/>
    <n v="8"/>
    <n v="21697.81"/>
    <x v="5"/>
    <n v="164903.35"/>
    <n v="114635.78"/>
    <n v="50267.57"/>
    <s v="Corporate"/>
    <s v="Credit Card"/>
  </r>
  <r>
    <s v="ORD11175"/>
    <x v="2"/>
    <x v="0"/>
    <s v="Odisha"/>
    <x v="4"/>
    <x v="1"/>
    <x v="11"/>
    <n v="8"/>
    <n v="22269.34"/>
    <x v="0"/>
    <n v="151431.48000000001"/>
    <n v="101158.65"/>
    <n v="50272.83"/>
    <s v="Retail"/>
    <s v="Cash"/>
  </r>
  <r>
    <s v="ORD10497"/>
    <x v="32"/>
    <x v="3"/>
    <s v="Delhi"/>
    <x v="0"/>
    <x v="1"/>
    <x v="12"/>
    <n v="7"/>
    <n v="31559.07"/>
    <x v="4"/>
    <n v="203240.43"/>
    <n v="152931.25"/>
    <n v="50309.18"/>
    <s v="Corporate"/>
    <s v="Debit Card"/>
  </r>
  <r>
    <s v="ORD11138"/>
    <x v="169"/>
    <x v="3"/>
    <s v="Punjab"/>
    <x v="7"/>
    <x v="2"/>
    <x v="16"/>
    <n v="5"/>
    <n v="39076.120000000003"/>
    <x v="4"/>
    <n v="179750.16"/>
    <n v="129427.99"/>
    <n v="50322.17"/>
    <s v="Online"/>
    <s v="Net Banking"/>
  </r>
  <r>
    <s v="ORD11064"/>
    <x v="318"/>
    <x v="1"/>
    <s v="Andhra Pradesh"/>
    <x v="5"/>
    <x v="3"/>
    <x v="14"/>
    <n v="6"/>
    <n v="31856.32"/>
    <x v="1"/>
    <n v="172024.12"/>
    <n v="121649.51"/>
    <n v="50374.61"/>
    <s v="Corporate"/>
    <s v="Cash"/>
  </r>
  <r>
    <s v="ORD10646"/>
    <x v="101"/>
    <x v="3"/>
    <s v="Uttar Pradesh"/>
    <x v="7"/>
    <x v="2"/>
    <x v="17"/>
    <n v="5"/>
    <n v="46358.63"/>
    <x v="3"/>
    <n v="224839.35"/>
    <n v="174218.35"/>
    <n v="50621"/>
    <s v="Online"/>
    <s v="Net Banking"/>
  </r>
  <r>
    <s v="ORD10408"/>
    <x v="244"/>
    <x v="0"/>
    <s v="West Bengal"/>
    <x v="2"/>
    <x v="1"/>
    <x v="12"/>
    <n v="7"/>
    <n v="27846.21"/>
    <x v="5"/>
    <n v="185177.3"/>
    <n v="134458.29"/>
    <n v="50719.01"/>
    <s v="Corporate"/>
    <s v="Net Banking"/>
  </r>
  <r>
    <s v="ORD10964"/>
    <x v="250"/>
    <x v="3"/>
    <s v="Uttar Pradesh"/>
    <x v="7"/>
    <x v="1"/>
    <x v="12"/>
    <n v="7"/>
    <n v="28740.080000000002"/>
    <x v="5"/>
    <n v="191121.51"/>
    <n v="140324.76"/>
    <n v="50796.75"/>
    <s v="Corporate"/>
    <s v="Credit Card"/>
  </r>
  <r>
    <s v="ORD10549"/>
    <x v="331"/>
    <x v="3"/>
    <s v="Punjab"/>
    <x v="3"/>
    <x v="2"/>
    <x v="15"/>
    <n v="8"/>
    <n v="38689.74"/>
    <x v="5"/>
    <n v="294042.01"/>
    <n v="243238.48"/>
    <n v="50803.53"/>
    <s v="Online"/>
    <s v="Credit Card"/>
  </r>
  <r>
    <s v="ORD11050"/>
    <x v="37"/>
    <x v="0"/>
    <s v="Bihar"/>
    <x v="0"/>
    <x v="2"/>
    <x v="15"/>
    <n v="5"/>
    <n v="38754.83"/>
    <x v="1"/>
    <n v="174396.75"/>
    <n v="123154.97"/>
    <n v="51241.78"/>
    <s v="Online"/>
    <s v="Debit Card"/>
  </r>
  <r>
    <s v="ORD10904"/>
    <x v="296"/>
    <x v="1"/>
    <s v="Andhra Pradesh"/>
    <x v="3"/>
    <x v="2"/>
    <x v="17"/>
    <n v="6"/>
    <n v="48937.19"/>
    <x v="5"/>
    <n v="278941.96000000002"/>
    <n v="227645.79"/>
    <n v="51296.17"/>
    <s v="Online"/>
    <s v="Net Banking"/>
  </r>
  <r>
    <s v="ORD10002"/>
    <x v="280"/>
    <x v="3"/>
    <s v="Punjab"/>
    <x v="7"/>
    <x v="3"/>
    <x v="18"/>
    <n v="8"/>
    <n v="30205.11"/>
    <x v="4"/>
    <n v="222309.59"/>
    <n v="170466.27"/>
    <n v="51843.32"/>
    <s v="Corporate"/>
    <s v="UPI"/>
  </r>
  <r>
    <s v="ORD10838"/>
    <x v="90"/>
    <x v="2"/>
    <s v="Goa"/>
    <x v="1"/>
    <x v="2"/>
    <x v="15"/>
    <n v="8"/>
    <n v="37086.6"/>
    <x v="0"/>
    <n v="252188.85"/>
    <n v="200335.06"/>
    <n v="51853.79"/>
    <s v="Online"/>
    <s v="Credit Card"/>
  </r>
  <r>
    <s v="ORD11130"/>
    <x v="267"/>
    <x v="2"/>
    <s v="Goa"/>
    <x v="6"/>
    <x v="1"/>
    <x v="19"/>
    <n v="5"/>
    <n v="67271.789999999994"/>
    <x v="5"/>
    <n v="319541.01"/>
    <n v="267514.33"/>
    <n v="52026.68"/>
    <s v="Corporate"/>
    <s v="UPI"/>
  </r>
  <r>
    <s v="ORD10321"/>
    <x v="22"/>
    <x v="0"/>
    <s v="Odisha"/>
    <x v="7"/>
    <x v="1"/>
    <x v="12"/>
    <n v="6"/>
    <n v="29439.759999999998"/>
    <x v="5"/>
    <n v="167806.66"/>
    <n v="115449.83"/>
    <n v="52356.83"/>
    <s v="Retail"/>
    <s v="UPI"/>
  </r>
  <r>
    <s v="ORD10631"/>
    <x v="336"/>
    <x v="3"/>
    <s v="Haryana"/>
    <x v="2"/>
    <x v="3"/>
    <x v="13"/>
    <n v="6"/>
    <n v="31452.95"/>
    <x v="1"/>
    <n v="169845.92"/>
    <n v="117419.82"/>
    <n v="52426.1"/>
    <s v="Retail"/>
    <s v="Cash"/>
  </r>
  <r>
    <s v="ORD10946"/>
    <x v="339"/>
    <x v="0"/>
    <s v="Jharkhand"/>
    <x v="1"/>
    <x v="1"/>
    <x v="11"/>
    <n v="8"/>
    <n v="21226.07"/>
    <x v="2"/>
    <n v="169808.58"/>
    <n v="117066.51"/>
    <n v="52742.07"/>
    <s v="Corporate"/>
    <s v="Cash"/>
  </r>
  <r>
    <s v="ORD11108"/>
    <x v="58"/>
    <x v="0"/>
    <s v="Jharkhand"/>
    <x v="7"/>
    <x v="2"/>
    <x v="15"/>
    <n v="8"/>
    <n v="38876.14"/>
    <x v="0"/>
    <n v="264357.75"/>
    <n v="211126.9"/>
    <n v="53230.85"/>
    <s v="Retail"/>
    <s v="Debit Card"/>
  </r>
  <r>
    <s v="ORD10390"/>
    <x v="69"/>
    <x v="0"/>
    <s v="Odisha"/>
    <x v="4"/>
    <x v="3"/>
    <x v="14"/>
    <n v="6"/>
    <n v="31884.03"/>
    <x v="5"/>
    <n v="181738.99"/>
    <n v="128492.07"/>
    <n v="53246.92"/>
    <s v="Retail"/>
    <s v="Credit Card"/>
  </r>
  <r>
    <s v="ORD10265"/>
    <x v="145"/>
    <x v="0"/>
    <s v="Jharkhand"/>
    <x v="2"/>
    <x v="1"/>
    <x v="12"/>
    <n v="6"/>
    <n v="29823.23"/>
    <x v="3"/>
    <n v="173571.19"/>
    <n v="120244.32"/>
    <n v="53326.87"/>
    <s v="Corporate"/>
    <s v="Net Banking"/>
  </r>
  <r>
    <s v="ORD10469"/>
    <x v="110"/>
    <x v="3"/>
    <s v="Delhi"/>
    <x v="4"/>
    <x v="3"/>
    <x v="18"/>
    <n v="7"/>
    <n v="28591.45"/>
    <x v="4"/>
    <n v="184128.91"/>
    <n v="130376.29"/>
    <n v="53752.62"/>
    <s v="Corporate"/>
    <s v="Net Banking"/>
  </r>
  <r>
    <s v="ORD10314"/>
    <x v="286"/>
    <x v="1"/>
    <s v="Karnataka"/>
    <x v="5"/>
    <x v="2"/>
    <x v="17"/>
    <n v="3"/>
    <n v="49140.52"/>
    <x v="3"/>
    <n v="142998.9"/>
    <n v="89177.91"/>
    <n v="53820.99"/>
    <s v="Retail"/>
    <s v="Debit Card"/>
  </r>
  <r>
    <s v="ORD11168"/>
    <x v="138"/>
    <x v="1"/>
    <s v="Karnataka"/>
    <x v="0"/>
    <x v="3"/>
    <x v="13"/>
    <n v="7"/>
    <n v="27989.7"/>
    <x v="4"/>
    <n v="180253.68"/>
    <n v="126308.89"/>
    <n v="53944.79"/>
    <s v="Online"/>
    <s v="Cash"/>
  </r>
  <r>
    <s v="ORD10282"/>
    <x v="69"/>
    <x v="3"/>
    <s v="Delhi"/>
    <x v="0"/>
    <x v="2"/>
    <x v="17"/>
    <n v="7"/>
    <n v="45418.61"/>
    <x v="4"/>
    <n v="292495.82"/>
    <n v="238198.78"/>
    <n v="54297.04"/>
    <s v="Online"/>
    <s v="Net Banking"/>
  </r>
  <r>
    <s v="ORD10105"/>
    <x v="48"/>
    <x v="0"/>
    <s v="Bihar"/>
    <x v="7"/>
    <x v="1"/>
    <x v="11"/>
    <n v="7"/>
    <n v="23039.599999999999"/>
    <x v="4"/>
    <n v="148375.04999999999"/>
    <n v="93946.9"/>
    <n v="54428.15"/>
    <s v="Retail"/>
    <s v="Debit Card"/>
  </r>
  <r>
    <s v="ORD10910"/>
    <x v="39"/>
    <x v="1"/>
    <s v="Tamil Nadu"/>
    <x v="7"/>
    <x v="1"/>
    <x v="12"/>
    <n v="8"/>
    <n v="28002.26"/>
    <x v="5"/>
    <n v="212817.18"/>
    <n v="158203.9"/>
    <n v="54613.279999999999"/>
    <s v="Corporate"/>
    <s v="Debit Card"/>
  </r>
  <r>
    <s v="ORD10835"/>
    <x v="3"/>
    <x v="3"/>
    <s v="Punjab"/>
    <x v="7"/>
    <x v="3"/>
    <x v="14"/>
    <n v="5"/>
    <n v="31154.27"/>
    <x v="5"/>
    <n v="147982.78"/>
    <n v="92449.9"/>
    <n v="55532.88"/>
    <s v="Retail"/>
    <s v="Cash"/>
  </r>
  <r>
    <s v="ORD10086"/>
    <x v="247"/>
    <x v="1"/>
    <s v="Karnataka"/>
    <x v="0"/>
    <x v="3"/>
    <x v="14"/>
    <n v="5"/>
    <n v="32412.61"/>
    <x v="4"/>
    <n v="149098.01999999999"/>
    <n v="92909.34"/>
    <n v="56188.68"/>
    <s v="Retail"/>
    <s v="Net Banking"/>
  </r>
  <r>
    <s v="ORD10999"/>
    <x v="96"/>
    <x v="1"/>
    <s v="Andhra Pradesh"/>
    <x v="1"/>
    <x v="1"/>
    <x v="11"/>
    <n v="8"/>
    <n v="22007.5"/>
    <x v="2"/>
    <n v="176060.03"/>
    <n v="119841.46"/>
    <n v="56218.57"/>
    <s v="Corporate"/>
    <s v="Cash"/>
  </r>
  <r>
    <s v="ORD10528"/>
    <x v="52"/>
    <x v="3"/>
    <s v="Punjab"/>
    <x v="0"/>
    <x v="1"/>
    <x v="19"/>
    <n v="4"/>
    <n v="65055.8"/>
    <x v="5"/>
    <n v="247212.03"/>
    <n v="190920.26"/>
    <n v="56291.77"/>
    <s v="Online"/>
    <s v="Cash"/>
  </r>
  <r>
    <s v="ORD10104"/>
    <x v="138"/>
    <x v="3"/>
    <s v="Punjab"/>
    <x v="1"/>
    <x v="3"/>
    <x v="18"/>
    <n v="8"/>
    <n v="29905.11"/>
    <x v="3"/>
    <n v="232063.67"/>
    <n v="175511.34"/>
    <n v="56552.33"/>
    <s v="Retail"/>
    <s v="Cash"/>
  </r>
  <r>
    <s v="ORD10272"/>
    <x v="83"/>
    <x v="2"/>
    <s v="Maharashtra"/>
    <x v="4"/>
    <x v="2"/>
    <x v="17"/>
    <n v="7"/>
    <n v="49686.94"/>
    <x v="5"/>
    <n v="330418.15999999997"/>
    <n v="273831.78999999998"/>
    <n v="56586.37"/>
    <s v="Online"/>
    <s v="UPI"/>
  </r>
  <r>
    <s v="ORD11065"/>
    <x v="259"/>
    <x v="0"/>
    <s v="Odisha"/>
    <x v="6"/>
    <x v="3"/>
    <x v="18"/>
    <n v="8"/>
    <n v="26954.62"/>
    <x v="4"/>
    <n v="198386"/>
    <n v="141771"/>
    <n v="56615"/>
    <s v="Online"/>
    <s v="UPI"/>
  </r>
  <r>
    <s v="ORD10419"/>
    <x v="340"/>
    <x v="1"/>
    <s v="Telangana"/>
    <x v="4"/>
    <x v="1"/>
    <x v="12"/>
    <n v="8"/>
    <n v="27733.69"/>
    <x v="4"/>
    <n v="204119.96"/>
    <n v="147443.10999999999"/>
    <n v="56676.85"/>
    <s v="Online"/>
    <s v="Debit Card"/>
  </r>
  <r>
    <s v="ORD10970"/>
    <x v="341"/>
    <x v="2"/>
    <s v="Maharashtra"/>
    <x v="7"/>
    <x v="2"/>
    <x v="15"/>
    <n v="6"/>
    <n v="36327.42"/>
    <x v="1"/>
    <n v="196168.09"/>
    <n v="139419.1"/>
    <n v="56748.99"/>
    <s v="Retail"/>
    <s v="Credit Card"/>
  </r>
  <r>
    <s v="ORD11167"/>
    <x v="156"/>
    <x v="0"/>
    <s v="Bihar"/>
    <x v="0"/>
    <x v="3"/>
    <x v="18"/>
    <n v="8"/>
    <n v="27003.41"/>
    <x v="5"/>
    <n v="205225.91"/>
    <n v="148456.87"/>
    <n v="56769.04"/>
    <s v="Retail"/>
    <s v="Net Banking"/>
  </r>
  <r>
    <s v="ORD11067"/>
    <x v="267"/>
    <x v="1"/>
    <s v="Telangana"/>
    <x v="2"/>
    <x v="1"/>
    <x v="11"/>
    <n v="7"/>
    <n v="23556.34"/>
    <x v="3"/>
    <n v="159947.56"/>
    <n v="103131.33"/>
    <n v="56816.23"/>
    <s v="Corporate"/>
    <s v="Credit Card"/>
  </r>
  <r>
    <s v="ORD10978"/>
    <x v="30"/>
    <x v="0"/>
    <s v="West Bengal"/>
    <x v="2"/>
    <x v="1"/>
    <x v="12"/>
    <n v="6"/>
    <n v="28916.46"/>
    <x v="5"/>
    <n v="164823.79999999999"/>
    <n v="107907.45"/>
    <n v="56916.35"/>
    <s v="Retail"/>
    <s v="Credit Card"/>
  </r>
  <r>
    <s v="ORD10081"/>
    <x v="146"/>
    <x v="2"/>
    <s v="Goa"/>
    <x v="2"/>
    <x v="1"/>
    <x v="12"/>
    <n v="6"/>
    <n v="30551.759999999998"/>
    <x v="1"/>
    <n v="164979.51"/>
    <n v="107795.61"/>
    <n v="57183.9"/>
    <s v="Corporate"/>
    <s v="Net Banking"/>
  </r>
  <r>
    <s v="ORD10642"/>
    <x v="24"/>
    <x v="2"/>
    <s v="Gujarat"/>
    <x v="1"/>
    <x v="1"/>
    <x v="12"/>
    <n v="6"/>
    <n v="27685.03"/>
    <x v="4"/>
    <n v="152821.35"/>
    <n v="95545.13"/>
    <n v="57276.22"/>
    <s v="Online"/>
    <s v="Cash"/>
  </r>
  <r>
    <s v="ORD10767"/>
    <x v="179"/>
    <x v="1"/>
    <s v="Tamil Nadu"/>
    <x v="4"/>
    <x v="2"/>
    <x v="16"/>
    <n v="5"/>
    <n v="41512.839999999997"/>
    <x v="3"/>
    <n v="201337.27"/>
    <n v="143392.12"/>
    <n v="57945.15"/>
    <s v="Retail"/>
    <s v="Debit Card"/>
  </r>
  <r>
    <s v="ORD10741"/>
    <x v="116"/>
    <x v="3"/>
    <s v="Punjab"/>
    <x v="5"/>
    <x v="2"/>
    <x v="15"/>
    <n v="5"/>
    <n v="33846.639999999999"/>
    <x v="2"/>
    <n v="169233.21"/>
    <n v="110913.52"/>
    <n v="58319.69"/>
    <s v="Retail"/>
    <s v="UPI"/>
  </r>
  <r>
    <s v="ORD10202"/>
    <x v="196"/>
    <x v="1"/>
    <s v="Telangana"/>
    <x v="4"/>
    <x v="2"/>
    <x v="16"/>
    <n v="4"/>
    <n v="41074.22"/>
    <x v="5"/>
    <n v="156082.04"/>
    <n v="97752.19"/>
    <n v="58329.85"/>
    <s v="Corporate"/>
    <s v="Cash"/>
  </r>
  <r>
    <s v="ORD10255"/>
    <x v="342"/>
    <x v="2"/>
    <s v="Maharashtra"/>
    <x v="6"/>
    <x v="2"/>
    <x v="17"/>
    <n v="4"/>
    <n v="49955.49"/>
    <x v="5"/>
    <n v="189830.87"/>
    <n v="131474.47"/>
    <n v="58356.4"/>
    <s v="Retail"/>
    <s v="UPI"/>
  </r>
  <r>
    <s v="ORD10380"/>
    <x v="271"/>
    <x v="2"/>
    <s v="Gujarat"/>
    <x v="4"/>
    <x v="3"/>
    <x v="14"/>
    <n v="7"/>
    <n v="34482.410000000003"/>
    <x v="1"/>
    <n v="217239.18"/>
    <n v="158296.82"/>
    <n v="58942.36"/>
    <s v="Retail"/>
    <s v="Net Banking"/>
  </r>
  <r>
    <s v="ORD10967"/>
    <x v="57"/>
    <x v="1"/>
    <s v="Tamil Nadu"/>
    <x v="7"/>
    <x v="2"/>
    <x v="16"/>
    <n v="7"/>
    <n v="40762.15"/>
    <x v="4"/>
    <n v="262508.21999999997"/>
    <n v="203423.59"/>
    <n v="59084.63"/>
    <s v="Online"/>
    <s v="UPI"/>
  </r>
  <r>
    <s v="ORD10198"/>
    <x v="172"/>
    <x v="2"/>
    <s v="Goa"/>
    <x v="1"/>
    <x v="2"/>
    <x v="17"/>
    <n v="5"/>
    <n v="49093.06"/>
    <x v="2"/>
    <n v="245465.3"/>
    <n v="186356.3"/>
    <n v="59109"/>
    <s v="Online"/>
    <s v="Credit Card"/>
  </r>
  <r>
    <s v="ORD11157"/>
    <x v="23"/>
    <x v="0"/>
    <s v="Jharkhand"/>
    <x v="5"/>
    <x v="1"/>
    <x v="11"/>
    <n v="7"/>
    <n v="23647.25"/>
    <x v="3"/>
    <n v="160564.84"/>
    <n v="100982.98"/>
    <n v="59581.86"/>
    <s v="Corporate"/>
    <s v="Debit Card"/>
  </r>
  <r>
    <s v="ORD10122"/>
    <x v="191"/>
    <x v="1"/>
    <s v="Telangana"/>
    <x v="5"/>
    <x v="1"/>
    <x v="12"/>
    <n v="6"/>
    <n v="29260.240000000002"/>
    <x v="4"/>
    <n v="161516.51999999999"/>
    <n v="101913.38"/>
    <n v="59603.14"/>
    <s v="Online"/>
    <s v="Cash"/>
  </r>
  <r>
    <s v="ORD10125"/>
    <x v="219"/>
    <x v="0"/>
    <s v="Bihar"/>
    <x v="6"/>
    <x v="3"/>
    <x v="13"/>
    <n v="8"/>
    <n v="29675.21"/>
    <x v="1"/>
    <n v="213661.49"/>
    <n v="153993.22"/>
    <n v="59668.27"/>
    <s v="Retail"/>
    <s v="UPI"/>
  </r>
  <r>
    <s v="ORD10726"/>
    <x v="73"/>
    <x v="1"/>
    <s v="Karnataka"/>
    <x v="7"/>
    <x v="2"/>
    <x v="15"/>
    <n v="6"/>
    <n v="37530.160000000003"/>
    <x v="2"/>
    <n v="225180.94"/>
    <n v="165482.85999999999"/>
    <n v="59698.080000000002"/>
    <s v="Online"/>
    <s v="Credit Card"/>
  </r>
  <r>
    <s v="ORD10083"/>
    <x v="260"/>
    <x v="0"/>
    <s v="Jharkhand"/>
    <x v="1"/>
    <x v="3"/>
    <x v="14"/>
    <n v="6"/>
    <n v="30647.84"/>
    <x v="3"/>
    <n v="178370.42"/>
    <n v="118565.85"/>
    <n v="59804.57"/>
    <s v="Retail"/>
    <s v="Debit Card"/>
  </r>
  <r>
    <s v="ORD10311"/>
    <x v="274"/>
    <x v="2"/>
    <s v="Maharashtra"/>
    <x v="7"/>
    <x v="3"/>
    <x v="18"/>
    <n v="7"/>
    <n v="27695.439999999999"/>
    <x v="0"/>
    <n v="164787.9"/>
    <n v="104838.16"/>
    <n v="59949.74"/>
    <s v="Online"/>
    <s v="Credit Card"/>
  </r>
  <r>
    <s v="ORD10420"/>
    <x v="28"/>
    <x v="0"/>
    <s v="West Bengal"/>
    <x v="2"/>
    <x v="2"/>
    <x v="17"/>
    <n v="5"/>
    <n v="48590.45"/>
    <x v="5"/>
    <n v="230804.63"/>
    <n v="170810.86"/>
    <n v="59993.77"/>
    <s v="Retail"/>
    <s v="Credit Card"/>
  </r>
  <r>
    <s v="ORD10676"/>
    <x v="2"/>
    <x v="3"/>
    <s v="Delhi"/>
    <x v="0"/>
    <x v="2"/>
    <x v="15"/>
    <n v="8"/>
    <n v="35066.870000000003"/>
    <x v="1"/>
    <n v="252481.49"/>
    <n v="192130.53"/>
    <n v="60350.96"/>
    <s v="Corporate"/>
    <s v="Debit Card"/>
  </r>
  <r>
    <s v="ORD10867"/>
    <x v="107"/>
    <x v="1"/>
    <s v="Karnataka"/>
    <x v="5"/>
    <x v="2"/>
    <x v="16"/>
    <n v="7"/>
    <n v="38789.67"/>
    <x v="1"/>
    <n v="244374.93"/>
    <n v="184012.1"/>
    <n v="60362.83"/>
    <s v="Retail"/>
    <s v="Credit Card"/>
  </r>
  <r>
    <s v="ORD10262"/>
    <x v="101"/>
    <x v="3"/>
    <s v="Haryana"/>
    <x v="6"/>
    <x v="3"/>
    <x v="18"/>
    <n v="8"/>
    <n v="26265.93"/>
    <x v="1"/>
    <n v="189114.72"/>
    <n v="128245.4"/>
    <n v="60869.32"/>
    <s v="Retail"/>
    <s v="Credit Card"/>
  </r>
  <r>
    <s v="ORD10399"/>
    <x v="270"/>
    <x v="1"/>
    <s v="Tamil Nadu"/>
    <x v="2"/>
    <x v="1"/>
    <x v="12"/>
    <n v="7"/>
    <n v="29923.3"/>
    <x v="5"/>
    <n v="198989.94"/>
    <n v="138105.46"/>
    <n v="60884.480000000003"/>
    <s v="Retail"/>
    <s v="Debit Card"/>
  </r>
  <r>
    <s v="ORD10437"/>
    <x v="193"/>
    <x v="3"/>
    <s v="Delhi"/>
    <x v="5"/>
    <x v="1"/>
    <x v="19"/>
    <n v="4"/>
    <n v="61971.839999999997"/>
    <x v="2"/>
    <n v="247887.37"/>
    <n v="186552.07"/>
    <n v="61335.3"/>
    <s v="Online"/>
    <s v="Debit Card"/>
  </r>
  <r>
    <s v="ORD10771"/>
    <x v="343"/>
    <x v="1"/>
    <s v="Telangana"/>
    <x v="5"/>
    <x v="1"/>
    <x v="19"/>
    <n v="6"/>
    <n v="67424.789999999994"/>
    <x v="2"/>
    <n v="404548.75"/>
    <n v="343192.92"/>
    <n v="61355.83"/>
    <s v="Retail"/>
    <s v="Credit Card"/>
  </r>
  <r>
    <s v="ORD10756"/>
    <x v="156"/>
    <x v="0"/>
    <s v="Bihar"/>
    <x v="5"/>
    <x v="1"/>
    <x v="19"/>
    <n v="4"/>
    <n v="61008.28"/>
    <x v="4"/>
    <n v="224510.46"/>
    <n v="163112.56"/>
    <n v="61397.9"/>
    <s v="Retail"/>
    <s v="Cash"/>
  </r>
  <r>
    <s v="ORD11159"/>
    <x v="194"/>
    <x v="2"/>
    <s v="Gujarat"/>
    <x v="8"/>
    <x v="3"/>
    <x v="14"/>
    <n v="6"/>
    <n v="33250.839999999997"/>
    <x v="5"/>
    <n v="189529.76"/>
    <n v="127870.46"/>
    <n v="61659.3"/>
    <s v="Retail"/>
    <s v="Debit Card"/>
  </r>
  <r>
    <s v="ORD10232"/>
    <x v="318"/>
    <x v="2"/>
    <s v="Maharashtra"/>
    <x v="7"/>
    <x v="2"/>
    <x v="17"/>
    <n v="6"/>
    <n v="47497.7"/>
    <x v="4"/>
    <n v="262187.28999999998"/>
    <n v="200432.12"/>
    <n v="61755.17"/>
    <s v="Retail"/>
    <s v="Cash"/>
  </r>
  <r>
    <s v="ORD11030"/>
    <x v="344"/>
    <x v="1"/>
    <s v="Andhra Pradesh"/>
    <x v="1"/>
    <x v="2"/>
    <x v="15"/>
    <n v="8"/>
    <n v="38772.949999999997"/>
    <x v="5"/>
    <n v="294674.45"/>
    <n v="232417.87"/>
    <n v="62256.58"/>
    <s v="Retail"/>
    <s v="UPI"/>
  </r>
  <r>
    <s v="ORD10275"/>
    <x v="98"/>
    <x v="3"/>
    <s v="Punjab"/>
    <x v="2"/>
    <x v="1"/>
    <x v="12"/>
    <n v="6"/>
    <n v="31005.040000000001"/>
    <x v="1"/>
    <n v="167427.21"/>
    <n v="105067.48"/>
    <n v="62359.73"/>
    <s v="Retail"/>
    <s v="Net Banking"/>
  </r>
  <r>
    <s v="ORD10584"/>
    <x v="284"/>
    <x v="0"/>
    <s v="West Bengal"/>
    <x v="0"/>
    <x v="2"/>
    <x v="17"/>
    <n v="4"/>
    <n v="45979"/>
    <x v="3"/>
    <n v="178398.54"/>
    <n v="115942.57"/>
    <n v="62455.97"/>
    <s v="Retail"/>
    <s v="Net Banking"/>
  </r>
  <r>
    <s v="ORD10628"/>
    <x v="34"/>
    <x v="3"/>
    <s v="Punjab"/>
    <x v="7"/>
    <x v="1"/>
    <x v="19"/>
    <n v="5"/>
    <n v="67554.53"/>
    <x v="0"/>
    <n v="287106.77"/>
    <n v="223873.26"/>
    <n v="63233.51"/>
    <s v="Retail"/>
    <s v="Net Banking"/>
  </r>
  <r>
    <s v="ORD10245"/>
    <x v="330"/>
    <x v="0"/>
    <s v="Odisha"/>
    <x v="6"/>
    <x v="2"/>
    <x v="17"/>
    <n v="4"/>
    <n v="49446.95"/>
    <x v="5"/>
    <n v="187898.41"/>
    <n v="124021.68"/>
    <n v="63876.73"/>
    <s v="Retail"/>
    <s v="UPI"/>
  </r>
  <r>
    <s v="ORD10261"/>
    <x v="305"/>
    <x v="0"/>
    <s v="Jharkhand"/>
    <x v="3"/>
    <x v="2"/>
    <x v="17"/>
    <n v="6"/>
    <n v="44348.15"/>
    <x v="3"/>
    <n v="258106.22"/>
    <n v="194042.01"/>
    <n v="64064.21"/>
    <s v="Corporate"/>
    <s v="Credit Card"/>
  </r>
  <r>
    <s v="ORD11184"/>
    <x v="74"/>
    <x v="2"/>
    <s v="Goa"/>
    <x v="7"/>
    <x v="3"/>
    <x v="14"/>
    <n v="8"/>
    <n v="29568.02"/>
    <x v="1"/>
    <n v="212889.75"/>
    <n v="148411.57"/>
    <n v="64478.18"/>
    <s v="Corporate"/>
    <s v="UPI"/>
  </r>
  <r>
    <s v="ORD10962"/>
    <x v="6"/>
    <x v="3"/>
    <s v="Uttar Pradesh"/>
    <x v="3"/>
    <x v="2"/>
    <x v="16"/>
    <n v="5"/>
    <n v="45017.81"/>
    <x v="4"/>
    <n v="207081.95"/>
    <n v="142575.35999999999"/>
    <n v="64506.59"/>
    <s v="Corporate"/>
    <s v="Net Banking"/>
  </r>
  <r>
    <s v="ORD10369"/>
    <x v="53"/>
    <x v="2"/>
    <s v="Goa"/>
    <x v="0"/>
    <x v="2"/>
    <x v="16"/>
    <n v="6"/>
    <n v="41156.959999999999"/>
    <x v="1"/>
    <n v="222247.61"/>
    <n v="157389.93"/>
    <n v="64857.68"/>
    <s v="Retail"/>
    <s v="Debit Card"/>
  </r>
  <r>
    <s v="ORD10046"/>
    <x v="117"/>
    <x v="0"/>
    <s v="West Bengal"/>
    <x v="1"/>
    <x v="3"/>
    <x v="14"/>
    <n v="7"/>
    <n v="34087.39"/>
    <x v="4"/>
    <n v="219522.8"/>
    <n v="154555.54999999999"/>
    <n v="64967.25"/>
    <s v="Retail"/>
    <s v="Cash"/>
  </r>
  <r>
    <s v="ORD10486"/>
    <x v="176"/>
    <x v="1"/>
    <s v="Tamil Nadu"/>
    <x v="0"/>
    <x v="2"/>
    <x v="15"/>
    <n v="7"/>
    <n v="36988.35"/>
    <x v="2"/>
    <n v="258918.42"/>
    <n v="193772.47"/>
    <n v="65145.95"/>
    <s v="Online"/>
    <s v="Credit Card"/>
  </r>
  <r>
    <s v="ORD10959"/>
    <x v="108"/>
    <x v="2"/>
    <s v="Maharashtra"/>
    <x v="3"/>
    <x v="1"/>
    <x v="11"/>
    <n v="8"/>
    <n v="21570.67"/>
    <x v="2"/>
    <n v="172565.35"/>
    <n v="107373.72"/>
    <n v="65191.63"/>
    <s v="Corporate"/>
    <s v="Debit Card"/>
  </r>
  <r>
    <s v="ORD10545"/>
    <x v="114"/>
    <x v="2"/>
    <s v="Goa"/>
    <x v="1"/>
    <x v="1"/>
    <x v="12"/>
    <n v="7"/>
    <n v="30904.02"/>
    <x v="4"/>
    <n v="199021.92"/>
    <n v="133574.38"/>
    <n v="65447.54"/>
    <s v="Corporate"/>
    <s v="UPI"/>
  </r>
  <r>
    <s v="ORD10699"/>
    <x v="220"/>
    <x v="2"/>
    <s v="Goa"/>
    <x v="3"/>
    <x v="1"/>
    <x v="19"/>
    <n v="3"/>
    <n v="68271.48"/>
    <x v="3"/>
    <n v="198670"/>
    <n v="132741.70000000001"/>
    <n v="65928.3"/>
    <s v="Retail"/>
    <s v="Credit Card"/>
  </r>
  <r>
    <s v="ORD10929"/>
    <x v="169"/>
    <x v="2"/>
    <s v="Gujarat"/>
    <x v="5"/>
    <x v="1"/>
    <x v="12"/>
    <n v="7"/>
    <n v="28250.01"/>
    <x v="3"/>
    <n v="191817.57"/>
    <n v="125588.82"/>
    <n v="66228.75"/>
    <s v="Corporate"/>
    <s v="UPI"/>
  </r>
  <r>
    <s v="ORD10159"/>
    <x v="345"/>
    <x v="0"/>
    <s v="Odisha"/>
    <x v="7"/>
    <x v="3"/>
    <x v="13"/>
    <n v="6"/>
    <n v="31468.76"/>
    <x v="5"/>
    <n v="179371.96"/>
    <n v="113079.49"/>
    <n v="66292.47"/>
    <s v="Retail"/>
    <s v="Cash"/>
  </r>
  <r>
    <s v="ORD10802"/>
    <x v="31"/>
    <x v="1"/>
    <s v="Karnataka"/>
    <x v="0"/>
    <x v="2"/>
    <x v="16"/>
    <n v="6"/>
    <n v="41157.64"/>
    <x v="3"/>
    <n v="239537.48"/>
    <n v="173236.69"/>
    <n v="66300.789999999994"/>
    <s v="Retail"/>
    <s v="Credit Card"/>
  </r>
  <r>
    <s v="ORD10862"/>
    <x v="10"/>
    <x v="3"/>
    <s v="Punjab"/>
    <x v="1"/>
    <x v="2"/>
    <x v="16"/>
    <n v="8"/>
    <n v="40511.29"/>
    <x v="1"/>
    <n v="291681.26"/>
    <n v="225379.93"/>
    <n v="66301.33"/>
    <s v="Corporate"/>
    <s v="UPI"/>
  </r>
  <r>
    <s v="ORD10141"/>
    <x v="309"/>
    <x v="3"/>
    <s v="Delhi"/>
    <x v="2"/>
    <x v="2"/>
    <x v="17"/>
    <n v="5"/>
    <n v="47579.94"/>
    <x v="5"/>
    <n v="226004.74"/>
    <n v="159608.17000000001"/>
    <n v="66396.570000000007"/>
    <s v="Retail"/>
    <s v="UPI"/>
  </r>
  <r>
    <s v="ORD10259"/>
    <x v="196"/>
    <x v="1"/>
    <s v="Karnataka"/>
    <x v="1"/>
    <x v="1"/>
    <x v="19"/>
    <n v="6"/>
    <n v="59892.18"/>
    <x v="0"/>
    <n v="305450.11"/>
    <n v="238995.5"/>
    <n v="66454.61"/>
    <s v="Retail"/>
    <s v="Debit Card"/>
  </r>
  <r>
    <s v="ORD10162"/>
    <x v="289"/>
    <x v="3"/>
    <s v="Delhi"/>
    <x v="6"/>
    <x v="3"/>
    <x v="14"/>
    <n v="7"/>
    <n v="32181.03"/>
    <x v="3"/>
    <n v="218509.22"/>
    <n v="151851.94"/>
    <n v="66657.279999999999"/>
    <s v="Corporate"/>
    <s v="UPI"/>
  </r>
  <r>
    <s v="ORD10109"/>
    <x v="218"/>
    <x v="2"/>
    <s v="Gujarat"/>
    <x v="2"/>
    <x v="2"/>
    <x v="17"/>
    <n v="5"/>
    <n v="49783.85"/>
    <x v="2"/>
    <n v="248919.24"/>
    <n v="182247.36"/>
    <n v="66671.88"/>
    <s v="Online"/>
    <s v="Credit Card"/>
  </r>
  <r>
    <s v="ORD10664"/>
    <x v="192"/>
    <x v="1"/>
    <s v="Andhra Pradesh"/>
    <x v="2"/>
    <x v="3"/>
    <x v="18"/>
    <n v="7"/>
    <n v="30153.81"/>
    <x v="3"/>
    <n v="204744.37"/>
    <n v="138030.35999999999"/>
    <n v="66714.009999999995"/>
    <s v="Corporate"/>
    <s v="Cash"/>
  </r>
  <r>
    <s v="ORD11083"/>
    <x v="38"/>
    <x v="1"/>
    <s v="Tamil Nadu"/>
    <x v="4"/>
    <x v="2"/>
    <x v="17"/>
    <n v="7"/>
    <n v="47208.28"/>
    <x v="3"/>
    <n v="320544.25"/>
    <n v="253692.69"/>
    <n v="66851.56"/>
    <s v="Corporate"/>
    <s v="Cash"/>
  </r>
  <r>
    <s v="ORD10660"/>
    <x v="136"/>
    <x v="0"/>
    <s v="West Bengal"/>
    <x v="7"/>
    <x v="2"/>
    <x v="17"/>
    <n v="5"/>
    <n v="49747.68"/>
    <x v="4"/>
    <n v="228839.35"/>
    <n v="161640.54999999999"/>
    <n v="67198.8"/>
    <s v="Retail"/>
    <s v="Credit Card"/>
  </r>
  <r>
    <s v="ORD10694"/>
    <x v="221"/>
    <x v="2"/>
    <s v="Maharashtra"/>
    <x v="6"/>
    <x v="1"/>
    <x v="19"/>
    <n v="3"/>
    <n v="68073.66"/>
    <x v="5"/>
    <n v="194009.94"/>
    <n v="126380.3"/>
    <n v="67629.64"/>
    <s v="Corporate"/>
    <s v="Credit Card"/>
  </r>
  <r>
    <s v="ORD10620"/>
    <x v="291"/>
    <x v="1"/>
    <s v="Andhra Pradesh"/>
    <x v="2"/>
    <x v="2"/>
    <x v="16"/>
    <n v="5"/>
    <n v="45128.28"/>
    <x v="5"/>
    <n v="214359.33"/>
    <n v="146187.57999999999"/>
    <n v="68171.75"/>
    <s v="Corporate"/>
    <s v="Debit Card"/>
  </r>
  <r>
    <s v="ORD10643"/>
    <x v="215"/>
    <x v="1"/>
    <s v="Andhra Pradesh"/>
    <x v="4"/>
    <x v="2"/>
    <x v="17"/>
    <n v="7"/>
    <n v="46938.38"/>
    <x v="5"/>
    <n v="312140.23"/>
    <n v="243773.58"/>
    <n v="68366.649999999994"/>
    <s v="Retail"/>
    <s v="Net Banking"/>
  </r>
  <r>
    <s v="ORD10119"/>
    <x v="40"/>
    <x v="2"/>
    <s v="Rajasthan"/>
    <x v="3"/>
    <x v="3"/>
    <x v="18"/>
    <n v="8"/>
    <n v="27261.33"/>
    <x v="4"/>
    <n v="200643.41"/>
    <n v="132140.21"/>
    <n v="68503.199999999997"/>
    <s v="Corporate"/>
    <s v="Cash"/>
  </r>
  <r>
    <s v="ORD10065"/>
    <x v="231"/>
    <x v="0"/>
    <s v="Bihar"/>
    <x v="3"/>
    <x v="2"/>
    <x v="17"/>
    <n v="5"/>
    <n v="50820.21"/>
    <x v="5"/>
    <n v="241396"/>
    <n v="172675.22"/>
    <n v="68720.78"/>
    <s v="Retail"/>
    <s v="Cash"/>
  </r>
  <r>
    <s v="ORD10263"/>
    <x v="172"/>
    <x v="0"/>
    <s v="Jharkhand"/>
    <x v="3"/>
    <x v="1"/>
    <x v="12"/>
    <n v="7"/>
    <n v="29526.27"/>
    <x v="3"/>
    <n v="200483.37"/>
    <n v="131629.18"/>
    <n v="68854.19"/>
    <s v="Online"/>
    <s v="Cash"/>
  </r>
  <r>
    <s v="ORD10928"/>
    <x v="333"/>
    <x v="0"/>
    <s v="Jharkhand"/>
    <x v="5"/>
    <x v="1"/>
    <x v="12"/>
    <n v="8"/>
    <n v="31794.34"/>
    <x v="2"/>
    <n v="254354.76"/>
    <n v="185236.76"/>
    <n v="69118"/>
    <s v="Retail"/>
    <s v="Net Banking"/>
  </r>
  <r>
    <s v="ORD10439"/>
    <x v="221"/>
    <x v="3"/>
    <s v="Haryana"/>
    <x v="3"/>
    <x v="2"/>
    <x v="16"/>
    <n v="7"/>
    <n v="44953.9"/>
    <x v="4"/>
    <n v="289503.12"/>
    <n v="220251"/>
    <n v="69252.12"/>
    <s v="Retail"/>
    <s v="Debit Card"/>
  </r>
  <r>
    <s v="ORD10129"/>
    <x v="346"/>
    <x v="3"/>
    <s v="Punjab"/>
    <x v="2"/>
    <x v="1"/>
    <x v="12"/>
    <n v="8"/>
    <n v="29679.58"/>
    <x v="0"/>
    <n v="201821.17"/>
    <n v="132374.38"/>
    <n v="69446.789999999994"/>
    <s v="Retail"/>
    <s v="Credit Card"/>
  </r>
  <r>
    <s v="ORD10610"/>
    <x v="323"/>
    <x v="2"/>
    <s v="Rajasthan"/>
    <x v="6"/>
    <x v="1"/>
    <x v="19"/>
    <n v="7"/>
    <n v="66509.56"/>
    <x v="2"/>
    <n v="465566.93"/>
    <n v="395959.1"/>
    <n v="69607.83"/>
    <s v="Corporate"/>
    <s v="UPI"/>
  </r>
  <r>
    <s v="ORD10630"/>
    <x v="249"/>
    <x v="1"/>
    <s v="Telangana"/>
    <x v="7"/>
    <x v="2"/>
    <x v="15"/>
    <n v="6"/>
    <n v="36155.56"/>
    <x v="5"/>
    <n v="206086.71"/>
    <n v="136222.34"/>
    <n v="69864.37"/>
    <s v="Retail"/>
    <s v="Cash"/>
  </r>
  <r>
    <s v="ORD10522"/>
    <x v="226"/>
    <x v="2"/>
    <s v="Gujarat"/>
    <x v="0"/>
    <x v="1"/>
    <x v="12"/>
    <n v="7"/>
    <n v="28873"/>
    <x v="3"/>
    <n v="196047.68"/>
    <n v="126049.59"/>
    <n v="69998.09"/>
    <s v="Retail"/>
    <s v="Credit Card"/>
  </r>
  <r>
    <s v="ORD10499"/>
    <x v="347"/>
    <x v="1"/>
    <s v="Karnataka"/>
    <x v="3"/>
    <x v="2"/>
    <x v="16"/>
    <n v="7"/>
    <n v="41411.1"/>
    <x v="2"/>
    <n v="289877.71999999997"/>
    <n v="219781.98"/>
    <n v="70095.740000000005"/>
    <s v="Retail"/>
    <s v="Cash"/>
  </r>
  <r>
    <s v="ORD11059"/>
    <x v="161"/>
    <x v="2"/>
    <s v="Goa"/>
    <x v="4"/>
    <x v="1"/>
    <x v="19"/>
    <n v="3"/>
    <n v="69091.81"/>
    <x v="3"/>
    <n v="201057.17"/>
    <n v="130950.42"/>
    <n v="70106.75"/>
    <s v="Retail"/>
    <s v="Net Banking"/>
  </r>
  <r>
    <s v="ORD10090"/>
    <x v="65"/>
    <x v="1"/>
    <s v="Tamil Nadu"/>
    <x v="3"/>
    <x v="1"/>
    <x v="12"/>
    <n v="7"/>
    <n v="30762.83"/>
    <x v="2"/>
    <n v="215339.84"/>
    <n v="144982.57"/>
    <n v="70357.27"/>
    <s v="Retail"/>
    <s v="UPI"/>
  </r>
  <r>
    <s v="ORD10863"/>
    <x v="321"/>
    <x v="2"/>
    <s v="Rajasthan"/>
    <x v="1"/>
    <x v="1"/>
    <x v="19"/>
    <n v="8"/>
    <n v="63231.74"/>
    <x v="0"/>
    <n v="429975.82"/>
    <n v="359613.12"/>
    <n v="70362.7"/>
    <s v="Online"/>
    <s v="Debit Card"/>
  </r>
  <r>
    <s v="ORD10163"/>
    <x v="75"/>
    <x v="1"/>
    <s v="Telangana"/>
    <x v="1"/>
    <x v="2"/>
    <x v="15"/>
    <n v="8"/>
    <n v="33905.89"/>
    <x v="4"/>
    <n v="249547.37"/>
    <n v="178934.57"/>
    <n v="70612.800000000003"/>
    <s v="Online"/>
    <s v="UPI"/>
  </r>
  <r>
    <s v="ORD10659"/>
    <x v="3"/>
    <x v="2"/>
    <s v="Rajasthan"/>
    <x v="6"/>
    <x v="1"/>
    <x v="19"/>
    <n v="4"/>
    <n v="67353.56"/>
    <x v="3"/>
    <n v="261331.8"/>
    <n v="190192.06"/>
    <n v="71139.740000000005"/>
    <s v="Online"/>
    <s v="Credit Card"/>
  </r>
  <r>
    <s v="ORD10370"/>
    <x v="35"/>
    <x v="2"/>
    <s v="Rajasthan"/>
    <x v="0"/>
    <x v="1"/>
    <x v="19"/>
    <n v="7"/>
    <n v="62093.24"/>
    <x v="3"/>
    <n v="421613.13"/>
    <n v="349844.97"/>
    <n v="71768.160000000003"/>
    <s v="Corporate"/>
    <s v="Credit Card"/>
  </r>
  <r>
    <s v="ORD10661"/>
    <x v="247"/>
    <x v="1"/>
    <s v="Tamil Nadu"/>
    <x v="3"/>
    <x v="1"/>
    <x v="19"/>
    <n v="4"/>
    <n v="60484.3"/>
    <x v="4"/>
    <n v="222582.23"/>
    <n v="150726.07"/>
    <n v="71856.160000000003"/>
    <s v="Online"/>
    <s v="Cash"/>
  </r>
  <r>
    <s v="ORD11106"/>
    <x v="347"/>
    <x v="2"/>
    <s v="Gujarat"/>
    <x v="3"/>
    <x v="2"/>
    <x v="16"/>
    <n v="6"/>
    <n v="42845.77"/>
    <x v="1"/>
    <n v="231367.15"/>
    <n v="159028.28"/>
    <n v="72338.87"/>
    <s v="Retail"/>
    <s v="Net Banking"/>
  </r>
  <r>
    <s v="ORD10174"/>
    <x v="13"/>
    <x v="1"/>
    <s v="Telangana"/>
    <x v="5"/>
    <x v="2"/>
    <x v="16"/>
    <n v="6"/>
    <n v="44676.32"/>
    <x v="1"/>
    <n v="241252.12"/>
    <n v="167961.55"/>
    <n v="73290.570000000007"/>
    <s v="Corporate"/>
    <s v="Credit Card"/>
  </r>
  <r>
    <s v="ORD10547"/>
    <x v="145"/>
    <x v="1"/>
    <s v="Telangana"/>
    <x v="6"/>
    <x v="2"/>
    <x v="16"/>
    <n v="6"/>
    <n v="43828.86"/>
    <x v="3"/>
    <n v="255083.97"/>
    <n v="181692.18"/>
    <n v="73391.789999999994"/>
    <s v="Retail"/>
    <s v="UPI"/>
  </r>
  <r>
    <s v="ORD10837"/>
    <x v="57"/>
    <x v="1"/>
    <s v="Telangana"/>
    <x v="4"/>
    <x v="1"/>
    <x v="19"/>
    <n v="7"/>
    <n v="64662.93"/>
    <x v="1"/>
    <n v="407376.43"/>
    <n v="331848.33"/>
    <n v="75528.100000000006"/>
    <s v="Online"/>
    <s v="Cash"/>
  </r>
  <r>
    <s v="ORD10958"/>
    <x v="21"/>
    <x v="1"/>
    <s v="Tamil Nadu"/>
    <x v="3"/>
    <x v="2"/>
    <x v="15"/>
    <n v="7"/>
    <n v="38169.21"/>
    <x v="1"/>
    <n v="240465.99"/>
    <n v="164438.76999999999"/>
    <n v="76027.22"/>
    <s v="Retail"/>
    <s v="Cash"/>
  </r>
  <r>
    <s v="ORD10425"/>
    <x v="179"/>
    <x v="2"/>
    <s v="Maharashtra"/>
    <x v="1"/>
    <x v="2"/>
    <x v="16"/>
    <n v="7"/>
    <n v="41193.46"/>
    <x v="4"/>
    <n v="265285.88"/>
    <n v="189226.91"/>
    <n v="76058.97"/>
    <s v="Retail"/>
    <s v="UPI"/>
  </r>
  <r>
    <s v="ORD10988"/>
    <x v="113"/>
    <x v="2"/>
    <s v="Gujarat"/>
    <x v="6"/>
    <x v="2"/>
    <x v="15"/>
    <n v="7"/>
    <n v="36047.879999999997"/>
    <x v="2"/>
    <n v="252335.13"/>
    <n v="175404.73"/>
    <n v="76930.399999999994"/>
    <s v="Retail"/>
    <s v="Debit Card"/>
  </r>
  <r>
    <s v="ORD11013"/>
    <x v="240"/>
    <x v="1"/>
    <s v="Telangana"/>
    <x v="0"/>
    <x v="1"/>
    <x v="19"/>
    <n v="5"/>
    <n v="66424.2"/>
    <x v="3"/>
    <n v="322157.36"/>
    <n v="244499.69"/>
    <n v="77657.67"/>
    <s v="Online"/>
    <s v="UPI"/>
  </r>
  <r>
    <s v="ORD10023"/>
    <x v="308"/>
    <x v="3"/>
    <s v="Uttar Pradesh"/>
    <x v="1"/>
    <x v="2"/>
    <x v="17"/>
    <n v="8"/>
    <n v="49149.18"/>
    <x v="1"/>
    <n v="353874.1"/>
    <n v="275252.86"/>
    <n v="78621.240000000005"/>
    <s v="Corporate"/>
    <s v="Debit Card"/>
  </r>
  <r>
    <s v="ORD10128"/>
    <x v="342"/>
    <x v="2"/>
    <s v="Gujarat"/>
    <x v="6"/>
    <x v="1"/>
    <x v="19"/>
    <n v="6"/>
    <n v="61020.01"/>
    <x v="2"/>
    <n v="366120.03"/>
    <n v="287234.21999999997"/>
    <n v="78885.81"/>
    <s v="Corporate"/>
    <s v="UPI"/>
  </r>
  <r>
    <s v="ORD10828"/>
    <x v="297"/>
    <x v="0"/>
    <s v="West Bengal"/>
    <x v="5"/>
    <x v="3"/>
    <x v="14"/>
    <n v="8"/>
    <n v="30924.74"/>
    <x v="4"/>
    <n v="227606.05"/>
    <n v="147558.20000000001"/>
    <n v="80047.850000000006"/>
    <s v="Retail"/>
    <s v="Cash"/>
  </r>
  <r>
    <s v="ORD11071"/>
    <x v="172"/>
    <x v="2"/>
    <s v="Goa"/>
    <x v="6"/>
    <x v="1"/>
    <x v="19"/>
    <n v="7"/>
    <n v="60446.11"/>
    <x v="4"/>
    <n v="389272.94"/>
    <n v="308541.92"/>
    <n v="80731.02"/>
    <s v="Corporate"/>
    <s v="UPI"/>
  </r>
  <r>
    <s v="ORD10123"/>
    <x v="33"/>
    <x v="1"/>
    <s v="Tamil Nadu"/>
    <x v="6"/>
    <x v="2"/>
    <x v="17"/>
    <n v="7"/>
    <n v="44664.01"/>
    <x v="1"/>
    <n v="281383.26"/>
    <n v="199568.28"/>
    <n v="81814.98"/>
    <s v="Retail"/>
    <s v="Credit Card"/>
  </r>
  <r>
    <s v="ORD10415"/>
    <x v="162"/>
    <x v="3"/>
    <s v="Delhi"/>
    <x v="1"/>
    <x v="2"/>
    <x v="16"/>
    <n v="7"/>
    <n v="40053.339999999997"/>
    <x v="4"/>
    <n v="257943.51"/>
    <n v="175588.94"/>
    <n v="82354.570000000007"/>
    <s v="Corporate"/>
    <s v="Debit Card"/>
  </r>
  <r>
    <s v="ORD10278"/>
    <x v="152"/>
    <x v="1"/>
    <s v="Tamil Nadu"/>
    <x v="4"/>
    <x v="1"/>
    <x v="19"/>
    <n v="6"/>
    <n v="65734.759999999995"/>
    <x v="5"/>
    <n v="374688.11"/>
    <n v="291927.65999999997"/>
    <n v="82760.45"/>
    <s v="Online"/>
    <s v="Debit Card"/>
  </r>
  <r>
    <s v="ORD11177"/>
    <x v="48"/>
    <x v="3"/>
    <s v="Uttar Pradesh"/>
    <x v="1"/>
    <x v="1"/>
    <x v="19"/>
    <n v="8"/>
    <n v="60247.22"/>
    <x v="2"/>
    <n v="481977.78"/>
    <n v="398906.88"/>
    <n v="83070.899999999994"/>
    <s v="Retail"/>
    <s v="UPI"/>
  </r>
  <r>
    <s v="ORD11197"/>
    <x v="71"/>
    <x v="1"/>
    <s v="Tamil Nadu"/>
    <x v="5"/>
    <x v="2"/>
    <x v="16"/>
    <n v="6"/>
    <n v="45258.78"/>
    <x v="1"/>
    <n v="244397.43"/>
    <n v="161184.29"/>
    <n v="83213.14"/>
    <s v="Online"/>
    <s v="UPI"/>
  </r>
  <r>
    <s v="ORD10011"/>
    <x v="204"/>
    <x v="3"/>
    <s v="Delhi"/>
    <x v="6"/>
    <x v="1"/>
    <x v="19"/>
    <n v="4"/>
    <n v="65658.070000000007"/>
    <x v="4"/>
    <n v="241621.68"/>
    <n v="157885.16"/>
    <n v="83736.52"/>
    <s v="Retail"/>
    <s v="Debit Card"/>
  </r>
  <r>
    <s v="ORD10705"/>
    <x v="31"/>
    <x v="1"/>
    <s v="Tamil Nadu"/>
    <x v="5"/>
    <x v="2"/>
    <x v="17"/>
    <n v="8"/>
    <n v="44532.21"/>
    <x v="3"/>
    <n v="345569.91"/>
    <n v="261186.32"/>
    <n v="84383.59"/>
    <s v="Corporate"/>
    <s v="Cash"/>
  </r>
  <r>
    <s v="ORD10247"/>
    <x v="348"/>
    <x v="0"/>
    <s v="West Bengal"/>
    <x v="7"/>
    <x v="2"/>
    <x v="17"/>
    <n v="8"/>
    <n v="51748.12"/>
    <x v="5"/>
    <n v="393285.68"/>
    <n v="308802.34000000003"/>
    <n v="84483.34"/>
    <s v="Online"/>
    <s v="Debit Card"/>
  </r>
  <r>
    <s v="ORD10849"/>
    <x v="95"/>
    <x v="3"/>
    <s v="Uttar Pradesh"/>
    <x v="3"/>
    <x v="1"/>
    <x v="19"/>
    <n v="6"/>
    <n v="67201.490000000005"/>
    <x v="3"/>
    <n v="391112.69"/>
    <n v="305617.56"/>
    <n v="85495.13"/>
    <s v="Online"/>
    <s v="Net Banking"/>
  </r>
  <r>
    <s v="ORD10960"/>
    <x v="40"/>
    <x v="0"/>
    <s v="Bihar"/>
    <x v="6"/>
    <x v="2"/>
    <x v="16"/>
    <n v="7"/>
    <n v="39763.14"/>
    <x v="5"/>
    <n v="264424.90000000002"/>
    <n v="178683.96"/>
    <n v="85740.94"/>
    <s v="Retail"/>
    <s v="Net Banking"/>
  </r>
  <r>
    <s v="ORD10784"/>
    <x v="63"/>
    <x v="0"/>
    <s v="West Bengal"/>
    <x v="5"/>
    <x v="1"/>
    <x v="19"/>
    <n v="5"/>
    <n v="60552.52"/>
    <x v="1"/>
    <n v="272486.32"/>
    <n v="185726.35"/>
    <n v="86759.97"/>
    <s v="Corporate"/>
    <s v="UPI"/>
  </r>
  <r>
    <s v="ORD10067"/>
    <x v="42"/>
    <x v="1"/>
    <s v="Tamil Nadu"/>
    <x v="5"/>
    <x v="2"/>
    <x v="15"/>
    <n v="7"/>
    <n v="37413.730000000003"/>
    <x v="5"/>
    <n v="248801.31"/>
    <n v="161874.93"/>
    <n v="86926.38"/>
    <s v="Retail"/>
    <s v="Credit Card"/>
  </r>
  <r>
    <s v="ORD10532"/>
    <x v="154"/>
    <x v="1"/>
    <s v="Telangana"/>
    <x v="2"/>
    <x v="2"/>
    <x v="16"/>
    <n v="7"/>
    <n v="41627.53"/>
    <x v="4"/>
    <n v="268081.32"/>
    <n v="180901.14"/>
    <n v="87180.18"/>
    <s v="Retail"/>
    <s v="Credit Card"/>
  </r>
  <r>
    <s v="ORD10887"/>
    <x v="55"/>
    <x v="0"/>
    <s v="West Bengal"/>
    <x v="5"/>
    <x v="1"/>
    <x v="19"/>
    <n v="4"/>
    <n v="59923.74"/>
    <x v="3"/>
    <n v="232504.1"/>
    <n v="144483.10999999999"/>
    <n v="88020.99"/>
    <s v="Online"/>
    <s v="Net Banking"/>
  </r>
  <r>
    <s v="ORD11033"/>
    <x v="40"/>
    <x v="3"/>
    <s v="Punjab"/>
    <x v="2"/>
    <x v="1"/>
    <x v="19"/>
    <n v="4"/>
    <n v="64321.94"/>
    <x v="3"/>
    <n v="249569.11"/>
    <n v="161175.41"/>
    <n v="88393.7"/>
    <s v="Retail"/>
    <s v="Net Banking"/>
  </r>
  <r>
    <s v="ORD10788"/>
    <x v="192"/>
    <x v="2"/>
    <s v="Gujarat"/>
    <x v="7"/>
    <x v="2"/>
    <x v="16"/>
    <n v="7"/>
    <n v="41749.26"/>
    <x v="1"/>
    <n v="263020.34999999998"/>
    <n v="174412.71"/>
    <n v="88607.64"/>
    <s v="Retail"/>
    <s v="Credit Card"/>
  </r>
  <r>
    <s v="ORD10911"/>
    <x v="349"/>
    <x v="3"/>
    <s v="Delhi"/>
    <x v="3"/>
    <x v="3"/>
    <x v="14"/>
    <n v="8"/>
    <n v="32011.65"/>
    <x v="4"/>
    <n v="235605.72"/>
    <n v="146410.76"/>
    <n v="89194.96"/>
    <s v="Retail"/>
    <s v="Net Banking"/>
  </r>
  <r>
    <s v="ORD10505"/>
    <x v="13"/>
    <x v="2"/>
    <s v="Goa"/>
    <x v="0"/>
    <x v="2"/>
    <x v="17"/>
    <n v="8"/>
    <n v="44475.4"/>
    <x v="4"/>
    <n v="327338.96999999997"/>
    <n v="237985.03"/>
    <n v="89353.94"/>
    <s v="Retail"/>
    <s v="Credit Card"/>
  </r>
  <r>
    <s v="ORD10069"/>
    <x v="36"/>
    <x v="3"/>
    <s v="Punjab"/>
    <x v="3"/>
    <x v="1"/>
    <x v="19"/>
    <n v="7"/>
    <n v="60337.01"/>
    <x v="2"/>
    <n v="422359.06"/>
    <n v="332510.93"/>
    <n v="89848.13"/>
    <s v="Online"/>
    <s v="Net Banking"/>
  </r>
  <r>
    <s v="ORD10487"/>
    <x v="78"/>
    <x v="2"/>
    <s v="Goa"/>
    <x v="2"/>
    <x v="1"/>
    <x v="19"/>
    <n v="4"/>
    <n v="70118.210000000006"/>
    <x v="1"/>
    <n v="252425.56"/>
    <n v="162402.54"/>
    <n v="90023.02"/>
    <s v="Online"/>
    <s v="Net Banking"/>
  </r>
  <r>
    <s v="ORD10718"/>
    <x v="7"/>
    <x v="3"/>
    <s v="Punjab"/>
    <x v="3"/>
    <x v="2"/>
    <x v="17"/>
    <n v="8"/>
    <n v="44316.22"/>
    <x v="3"/>
    <n v="343893.86"/>
    <n v="253415.32"/>
    <n v="90478.54"/>
    <s v="Online"/>
    <s v="UPI"/>
  </r>
  <r>
    <s v="ORD10555"/>
    <x v="76"/>
    <x v="3"/>
    <s v="Delhi"/>
    <x v="5"/>
    <x v="2"/>
    <x v="16"/>
    <n v="7"/>
    <n v="40346.78"/>
    <x v="1"/>
    <n v="254184.7"/>
    <n v="163058.43"/>
    <n v="91126.27"/>
    <s v="Retail"/>
    <s v="Debit Card"/>
  </r>
  <r>
    <s v="ORD10937"/>
    <x v="271"/>
    <x v="2"/>
    <s v="Maharashtra"/>
    <x v="7"/>
    <x v="1"/>
    <x v="19"/>
    <n v="7"/>
    <n v="61539.93"/>
    <x v="3"/>
    <n v="417856.15"/>
    <n v="326457.03000000003"/>
    <n v="91399.12"/>
    <s v="Online"/>
    <s v="Debit Card"/>
  </r>
  <r>
    <s v="ORD10013"/>
    <x v="29"/>
    <x v="3"/>
    <s v="Punjab"/>
    <x v="2"/>
    <x v="2"/>
    <x v="15"/>
    <n v="7"/>
    <n v="38281.49"/>
    <x v="3"/>
    <n v="259931.29"/>
    <n v="168022.83"/>
    <n v="91908.46"/>
    <s v="Corporate"/>
    <s v="Net Banking"/>
  </r>
  <r>
    <s v="ORD10165"/>
    <x v="56"/>
    <x v="0"/>
    <s v="West Bengal"/>
    <x v="7"/>
    <x v="2"/>
    <x v="16"/>
    <n v="7"/>
    <n v="39106.53"/>
    <x v="5"/>
    <n v="260058.41"/>
    <n v="165456.19"/>
    <n v="94602.22"/>
    <s v="Retail"/>
    <s v="Cash"/>
  </r>
  <r>
    <s v="ORD10200"/>
    <x v="155"/>
    <x v="2"/>
    <s v="Goa"/>
    <x v="6"/>
    <x v="2"/>
    <x v="17"/>
    <n v="6"/>
    <n v="46680.52"/>
    <x v="5"/>
    <n v="266078.96999999997"/>
    <n v="170626.89"/>
    <n v="95452.08"/>
    <s v="Retail"/>
    <s v="Net Banking"/>
  </r>
  <r>
    <s v="ORD10700"/>
    <x v="253"/>
    <x v="1"/>
    <s v="Telangana"/>
    <x v="5"/>
    <x v="1"/>
    <x v="19"/>
    <n v="5"/>
    <n v="67421.52"/>
    <x v="5"/>
    <n v="320252.21000000002"/>
    <n v="223813.07"/>
    <n v="96439.14"/>
    <s v="Corporate"/>
    <s v="Credit Card"/>
  </r>
  <r>
    <s v="ORD10546"/>
    <x v="176"/>
    <x v="2"/>
    <s v="Goa"/>
    <x v="0"/>
    <x v="1"/>
    <x v="19"/>
    <n v="5"/>
    <n v="60400.51"/>
    <x v="1"/>
    <n v="271802.28000000003"/>
    <n v="172369.4"/>
    <n v="99432.88"/>
    <s v="Corporate"/>
    <s v="Cash"/>
  </r>
  <r>
    <s v="ORD10981"/>
    <x v="295"/>
    <x v="4"/>
    <s v="Uttar Pradesh"/>
    <x v="4"/>
    <x v="1"/>
    <x v="19"/>
    <n v="5"/>
    <n v="62361.22"/>
    <x v="1"/>
    <n v="280625.46999999997"/>
    <n v="181017.22"/>
    <n v="99608.25"/>
    <s v="Online"/>
    <s v="Cash"/>
  </r>
  <r>
    <s v="ORD10543"/>
    <x v="43"/>
    <x v="2"/>
    <s v="Rajasthan"/>
    <x v="1"/>
    <x v="2"/>
    <x v="16"/>
    <n v="7"/>
    <n v="41044.11"/>
    <x v="2"/>
    <n v="287308.78000000003"/>
    <n v="183257.12"/>
    <n v="104051.66"/>
    <s v="Retail"/>
    <s v="Cash"/>
  </r>
  <r>
    <s v="ORD10358"/>
    <x v="184"/>
    <x v="1"/>
    <s v="Karnataka"/>
    <x v="1"/>
    <x v="2"/>
    <x v="17"/>
    <n v="7"/>
    <n v="50940.79"/>
    <x v="4"/>
    <n v="328058.65999999997"/>
    <n v="220027.51"/>
    <n v="108031.15"/>
    <s v="Online"/>
    <s v="Debit Card"/>
  </r>
  <r>
    <s v="ORD10490"/>
    <x v="333"/>
    <x v="1"/>
    <s v="Telangana"/>
    <x v="2"/>
    <x v="1"/>
    <x v="19"/>
    <n v="7"/>
    <n v="67944.88"/>
    <x v="2"/>
    <n v="475614.15"/>
    <n v="367353.71"/>
    <n v="108260.44"/>
    <s v="Retail"/>
    <s v="Debit Card"/>
  </r>
  <r>
    <s v="ORD11037"/>
    <x v="84"/>
    <x v="3"/>
    <s v="Delhi"/>
    <x v="5"/>
    <x v="2"/>
    <x v="15"/>
    <n v="8"/>
    <n v="38152.35"/>
    <x v="5"/>
    <n v="289957.90000000002"/>
    <n v="181248.66"/>
    <n v="108709.24"/>
    <s v="Corporate"/>
    <s v="Debit Card"/>
  </r>
  <r>
    <s v="ORD10684"/>
    <x v="255"/>
    <x v="1"/>
    <s v="Karnataka"/>
    <x v="5"/>
    <x v="1"/>
    <x v="19"/>
    <n v="6"/>
    <n v="60729.13"/>
    <x v="5"/>
    <n v="346156.07"/>
    <n v="233785.61"/>
    <n v="112370.46"/>
    <s v="Online"/>
    <s v="Cash"/>
  </r>
  <r>
    <s v="ORD10985"/>
    <x v="162"/>
    <x v="1"/>
    <s v="Tamil Nadu"/>
    <x v="0"/>
    <x v="1"/>
    <x v="19"/>
    <n v="8"/>
    <n v="69725.78"/>
    <x v="5"/>
    <n v="529915.9"/>
    <n v="417460.06"/>
    <n v="112455.84"/>
    <s v="Corporate"/>
    <s v="Credit Card"/>
  </r>
  <r>
    <s v="ORD10273"/>
    <x v="3"/>
    <x v="2"/>
    <s v="Rajasthan"/>
    <x v="0"/>
    <x v="1"/>
    <x v="19"/>
    <n v="8"/>
    <n v="69480.399999999994"/>
    <x v="2"/>
    <n v="555843.17000000004"/>
    <n v="442953.19"/>
    <n v="112889.98"/>
    <s v="Corporate"/>
    <s v="Cash"/>
  </r>
  <r>
    <s v="ORD10753"/>
    <x v="81"/>
    <x v="0"/>
    <s v="Odisha"/>
    <x v="4"/>
    <x v="1"/>
    <x v="19"/>
    <n v="6"/>
    <n v="69949.06"/>
    <x v="3"/>
    <n v="407103.51"/>
    <n v="293812.28999999998"/>
    <n v="113291.22"/>
    <s v="Retail"/>
    <s v="Net Banking"/>
  </r>
  <r>
    <s v="ORD10271"/>
    <x v="85"/>
    <x v="2"/>
    <s v="Maharashtra"/>
    <x v="0"/>
    <x v="2"/>
    <x v="17"/>
    <n v="8"/>
    <n v="47483.360000000001"/>
    <x v="5"/>
    <n v="360873.53"/>
    <n v="241832.85"/>
    <n v="119040.68"/>
    <s v="Retail"/>
    <s v="Net Banking"/>
  </r>
  <r>
    <s v="ORD11039"/>
    <x v="77"/>
    <x v="2"/>
    <s v="Goa"/>
    <x v="7"/>
    <x v="1"/>
    <x v="19"/>
    <n v="5"/>
    <n v="66356.17"/>
    <x v="3"/>
    <n v="321827.42"/>
    <n v="200967.38"/>
    <n v="120860.04"/>
    <s v="Retail"/>
    <s v="Cash"/>
  </r>
  <r>
    <s v="ORD10853"/>
    <x v="335"/>
    <x v="1"/>
    <s v="Karnataka"/>
    <x v="6"/>
    <x v="1"/>
    <x v="19"/>
    <n v="8"/>
    <n v="62227.32"/>
    <x v="5"/>
    <n v="472927.64"/>
    <n v="351909.72"/>
    <n v="121017.92"/>
    <s v="Corporate"/>
    <s v="Net Banking"/>
  </r>
  <r>
    <s v="ORD10991"/>
    <x v="271"/>
    <x v="1"/>
    <s v="Karnataka"/>
    <x v="7"/>
    <x v="1"/>
    <x v="19"/>
    <n v="6"/>
    <n v="63465.3"/>
    <x v="5"/>
    <n v="361752.21"/>
    <n v="240612.2"/>
    <n v="121140.01"/>
    <s v="Corporate"/>
    <s v="Credit Card"/>
  </r>
  <r>
    <s v="ORD10267"/>
    <x v="136"/>
    <x v="1"/>
    <s v="Karnataka"/>
    <x v="4"/>
    <x v="1"/>
    <x v="19"/>
    <n v="7"/>
    <n v="65865.97"/>
    <x v="5"/>
    <n v="438008.71"/>
    <n v="307345.88"/>
    <n v="130662.83"/>
    <s v="Retail"/>
    <s v="Debit Card"/>
  </r>
  <r>
    <s v="ORD10110"/>
    <x v="301"/>
    <x v="3"/>
    <s v="Delhi"/>
    <x v="7"/>
    <x v="1"/>
    <x v="19"/>
    <n v="7"/>
    <n v="63797"/>
    <x v="4"/>
    <n v="410852.66"/>
    <n v="276249.49"/>
    <n v="134603.17000000001"/>
    <s v="Online"/>
    <s v="Debit Card"/>
  </r>
  <r>
    <s v="ORD10506"/>
    <x v="78"/>
    <x v="0"/>
    <s v="Bihar"/>
    <x v="5"/>
    <x v="2"/>
    <x v="17"/>
    <n v="8"/>
    <n v="49241.89"/>
    <x v="3"/>
    <n v="382117.03"/>
    <n v="247261.19"/>
    <n v="134855.84"/>
    <s v="Retail"/>
    <s v="Credit Card"/>
  </r>
  <r>
    <s v="ORD10530"/>
    <x v="140"/>
    <x v="0"/>
    <s v="Jharkhand"/>
    <x v="6"/>
    <x v="1"/>
    <x v="19"/>
    <n v="7"/>
    <n v="67480.88"/>
    <x v="2"/>
    <n v="472366.15"/>
    <n v="336765.68"/>
    <n v="135600.47"/>
    <s v="Retail"/>
    <s v="Net Banking"/>
  </r>
  <r>
    <s v="ORD10797"/>
    <x v="293"/>
    <x v="3"/>
    <s v="Delhi"/>
    <x v="6"/>
    <x v="1"/>
    <x v="19"/>
    <n v="7"/>
    <n v="69221.820000000007"/>
    <x v="5"/>
    <n v="460325.08"/>
    <n v="324557.61"/>
    <n v="135767.47"/>
    <s v="Retail"/>
    <s v="Credit Card"/>
  </r>
  <r>
    <s v="ORD10668"/>
    <x v="72"/>
    <x v="1"/>
    <s v="Telangana"/>
    <x v="8"/>
    <x v="1"/>
    <x v="19"/>
    <n v="6"/>
    <n v="62766.2"/>
    <x v="5"/>
    <n v="357767.35"/>
    <n v="221953.24"/>
    <n v="135814.10999999999"/>
    <s v="Corporate"/>
    <s v="Cash"/>
  </r>
  <r>
    <s v="ORD10243"/>
    <x v="80"/>
    <x v="2"/>
    <s v="Gujarat"/>
    <x v="1"/>
    <x v="1"/>
    <x v="19"/>
    <n v="7"/>
    <n v="68293.919999999998"/>
    <x v="2"/>
    <n v="478057.45"/>
    <n v="340842.64"/>
    <n v="137214.81"/>
    <s v="Corporate"/>
    <s v="Debit Card"/>
  </r>
  <r>
    <s v="ORD10365"/>
    <x v="331"/>
    <x v="3"/>
    <s v="Delhi"/>
    <x v="7"/>
    <x v="2"/>
    <x v="17"/>
    <n v="8"/>
    <n v="49261.07"/>
    <x v="3"/>
    <n v="382265.9"/>
    <n v="241129.79"/>
    <n v="141136.10999999999"/>
    <s v="Corporate"/>
    <s v="UPI"/>
  </r>
  <r>
    <s v="ORD10170"/>
    <x v="187"/>
    <x v="2"/>
    <s v="Gujarat"/>
    <x v="0"/>
    <x v="1"/>
    <x v="19"/>
    <n v="7"/>
    <n v="62536.37"/>
    <x v="5"/>
    <n v="415866.87"/>
    <n v="266584.90999999997"/>
    <n v="149281.96"/>
    <s v="Corporate"/>
    <s v="Debit Card"/>
  </r>
  <r>
    <s v="ORD10337"/>
    <x v="306"/>
    <x v="2"/>
    <s v="Rajasthan"/>
    <x v="6"/>
    <x v="1"/>
    <x v="19"/>
    <n v="8"/>
    <n v="59961.29"/>
    <x v="3"/>
    <n v="465299.58"/>
    <n v="311708.62"/>
    <n v="153590.96"/>
    <s v="Online"/>
    <s v="Net Banking"/>
  </r>
  <r>
    <s v="ORD10674"/>
    <x v="157"/>
    <x v="3"/>
    <s v="Punjab"/>
    <x v="1"/>
    <x v="1"/>
    <x v="19"/>
    <n v="8"/>
    <n v="65937.78"/>
    <x v="5"/>
    <n v="501127.1"/>
    <n v="334858.40000000002"/>
    <n v="166268.70000000001"/>
    <s v="Retail"/>
    <s v="Cash"/>
  </r>
  <r>
    <s v="ORD10056"/>
    <x v="141"/>
    <x v="2"/>
    <s v="Maharashtra"/>
    <x v="5"/>
    <x v="1"/>
    <x v="19"/>
    <n v="8"/>
    <n v="66228.53"/>
    <x v="5"/>
    <n v="503336.86"/>
    <n v="325786.71000000002"/>
    <n v="177550.15"/>
    <s v="Corporate"/>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FBDB84-6832-491E-9184-89BE1D13207D}"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6" firstHeaderRow="0" firstDataRow="1" firstDataCol="1"/>
  <pivotFields count="17">
    <pivotField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showAll="0">
      <items count="6">
        <item x="0"/>
        <item x="3"/>
        <item x="1"/>
        <item x="4"/>
        <item x="2"/>
        <item t="default"/>
      </items>
    </pivotField>
    <pivotField showAll="0"/>
    <pivotField showAll="0"/>
    <pivotField showAll="0">
      <items count="5">
        <item x="1"/>
        <item x="3"/>
        <item x="2"/>
        <item x="0"/>
        <item t="default"/>
      </items>
    </pivotField>
    <pivotField showAll="0"/>
    <pivotField showAll="0"/>
    <pivotField showAll="0"/>
    <pivotField showAll="0"/>
    <pivotField dataField="1"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10" baseField="16" baseItem="1"/>
    <dataField name="Total Profit" fld="12" baseField="16" baseItem="1"/>
  </dataFields>
  <formats count="6">
    <format dxfId="41">
      <pivotArea field="16" grandRow="1" outline="0" collapsedLevelsAreSubtotals="1" axis="axisRow" fieldPosition="0">
        <references count="1">
          <reference field="4294967294" count="1" selected="0">
            <x v="0"/>
          </reference>
        </references>
      </pivotArea>
    </format>
    <format dxfId="40">
      <pivotArea field="16" grandRow="1" outline="0" collapsedLevelsAreSubtotals="1" axis="axisRow" fieldPosition="0">
        <references count="1">
          <reference field="4294967294" count="1" selected="0">
            <x v="1"/>
          </reference>
        </references>
      </pivotArea>
    </format>
    <format dxfId="39">
      <pivotArea collapsedLevelsAreSubtotals="1" fieldPosition="0">
        <references count="2">
          <reference field="4294967294" count="1" selected="0">
            <x v="0"/>
          </reference>
          <reference field="16" count="12">
            <x v="1"/>
            <x v="2"/>
            <x v="3"/>
            <x v="4"/>
            <x v="5"/>
            <x v="6"/>
            <x v="7"/>
            <x v="8"/>
            <x v="9"/>
            <x v="10"/>
            <x v="11"/>
            <x v="12"/>
          </reference>
        </references>
      </pivotArea>
    </format>
    <format dxfId="38">
      <pivotArea dataOnly="0" labelOnly="1" outline="0" fieldPosition="0">
        <references count="1">
          <reference field="4294967294" count="1">
            <x v="0"/>
          </reference>
        </references>
      </pivotArea>
    </format>
    <format dxfId="37">
      <pivotArea collapsedLevelsAreSubtotals="1" fieldPosition="0">
        <references count="2">
          <reference field="4294967294" count="1" selected="0">
            <x v="1"/>
          </reference>
          <reference field="16" count="12">
            <x v="1"/>
            <x v="2"/>
            <x v="3"/>
            <x v="4"/>
            <x v="5"/>
            <x v="6"/>
            <x v="7"/>
            <x v="8"/>
            <x v="9"/>
            <x v="10"/>
            <x v="11"/>
            <x v="12"/>
          </reference>
        </references>
      </pivotArea>
    </format>
    <format dxfId="36">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2AFEE-475A-4704-ADE9-70EB98B8EB2A}"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9" firstHeaderRow="0" firstDataRow="1" firstDataCol="1"/>
  <pivotFields count="17">
    <pivotField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axis="axisRow" showAll="0">
      <items count="6">
        <item x="0"/>
        <item x="3"/>
        <item x="1"/>
        <item x="4"/>
        <item x="2"/>
        <item t="default"/>
      </items>
    </pivotField>
    <pivotField showAll="0"/>
    <pivotField showAll="0"/>
    <pivotField showAll="0">
      <items count="5">
        <item x="1"/>
        <item x="3"/>
        <item x="2"/>
        <item x="0"/>
        <item t="default"/>
      </items>
    </pivotField>
    <pivotField showAll="0"/>
    <pivotField showAll="0"/>
    <pivotField showAll="0"/>
    <pivotField showAll="0"/>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Fields count="1">
    <field x="-2"/>
  </colFields>
  <colItems count="2">
    <i>
      <x/>
    </i>
    <i i="1">
      <x v="1"/>
    </i>
  </colItems>
  <dataFields count="2">
    <dataField name="Total Revenue" fld="10" baseField="2" baseItem="0"/>
    <dataField name="Total Profit" fld="12" baseField="2" baseItem="0"/>
  </dataFields>
  <formats count="1">
    <format dxfId="3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53D742-FBF0-428A-B1F3-6EB2926AF094}"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17">
    <pivotField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showAll="0">
      <items count="6">
        <item x="0"/>
        <item x="3"/>
        <item x="1"/>
        <item x="4"/>
        <item x="2"/>
        <item t="default"/>
      </items>
    </pivotField>
    <pivotField showAll="0"/>
    <pivotField showAll="0"/>
    <pivotField axis="axisRow" showAll="0">
      <items count="5">
        <item x="1"/>
        <item x="3"/>
        <item x="2"/>
        <item x="0"/>
        <item t="default"/>
      </items>
    </pivotField>
    <pivotField showAll="0"/>
    <pivotField showAll="0"/>
    <pivotField showAll="0"/>
    <pivotField showAll="0"/>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Fields count="1">
    <field x="-2"/>
  </colFields>
  <colItems count="2">
    <i>
      <x/>
    </i>
    <i i="1">
      <x v="1"/>
    </i>
  </colItems>
  <dataFields count="2">
    <dataField name="Total Revenue" fld="10" baseField="5" baseItem="0"/>
    <dataField name="Total Profit" fld="12" baseField="5" baseItem="0"/>
  </dataFields>
  <formats count="1">
    <format dxfId="3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EB0290-195F-4167-BD0B-7BE66DB2AC51}"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24" firstHeaderRow="0" firstDataRow="1" firstDataCol="1"/>
  <pivotFields count="17">
    <pivotField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showAll="0">
      <items count="6">
        <item x="0"/>
        <item x="3"/>
        <item x="1"/>
        <item x="4"/>
        <item x="2"/>
        <item t="default"/>
      </items>
    </pivotField>
    <pivotField showAll="0"/>
    <pivotField showAll="0"/>
    <pivotField showAll="0">
      <items count="5">
        <item x="1"/>
        <item x="3"/>
        <item x="2"/>
        <item x="0"/>
        <item t="default"/>
      </items>
    </pivotField>
    <pivotField axis="axisRow" showAll="0" sortType="descending">
      <items count="21">
        <item x="17"/>
        <item x="13"/>
        <item x="6"/>
        <item x="4"/>
        <item x="9"/>
        <item x="18"/>
        <item x="2"/>
        <item x="19"/>
        <item x="7"/>
        <item x="3"/>
        <item x="10"/>
        <item x="0"/>
        <item x="5"/>
        <item x="8"/>
        <item x="16"/>
        <item x="12"/>
        <item x="14"/>
        <item x="1"/>
        <item x="11"/>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1">
    <i>
      <x v="7"/>
    </i>
    <i>
      <x/>
    </i>
    <i>
      <x v="19"/>
    </i>
    <i>
      <x v="14"/>
    </i>
    <i>
      <x v="18"/>
    </i>
    <i>
      <x v="15"/>
    </i>
    <i>
      <x v="10"/>
    </i>
    <i>
      <x v="16"/>
    </i>
    <i>
      <x v="1"/>
    </i>
    <i>
      <x v="5"/>
    </i>
    <i>
      <x v="13"/>
    </i>
    <i>
      <x v="4"/>
    </i>
    <i>
      <x v="8"/>
    </i>
    <i>
      <x v="3"/>
    </i>
    <i>
      <x v="2"/>
    </i>
    <i>
      <x v="12"/>
    </i>
    <i>
      <x v="9"/>
    </i>
    <i>
      <x v="6"/>
    </i>
    <i>
      <x v="17"/>
    </i>
    <i>
      <x v="11"/>
    </i>
    <i t="grand">
      <x/>
    </i>
  </rowItems>
  <colFields count="1">
    <field x="-2"/>
  </colFields>
  <colItems count="2">
    <i>
      <x/>
    </i>
    <i i="1">
      <x v="1"/>
    </i>
  </colItems>
  <dataFields count="2">
    <dataField name="Total Revenue" fld="10" baseField="6" baseItem="0"/>
    <dataField name="Total Profit" fld="12" baseField="6" baseItem="0"/>
  </dataFields>
  <formats count="1">
    <format dxfId="3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DCA968-2EE8-4878-A113-F46343297087}"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3" firstHeaderRow="0" firstDataRow="1" firstDataCol="1"/>
  <pivotFields count="17">
    <pivotField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showAll="0">
      <items count="6">
        <item x="0"/>
        <item x="3"/>
        <item x="1"/>
        <item x="4"/>
        <item x="2"/>
        <item t="default"/>
      </items>
    </pivotField>
    <pivotField showAll="0"/>
    <pivotField axis="axisRow" showAll="0" sortType="descending">
      <items count="10">
        <item x="1"/>
        <item x="3"/>
        <item x="7"/>
        <item x="2"/>
        <item x="4"/>
        <item x="6"/>
        <item x="5"/>
        <item x="8"/>
        <item x="0"/>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pivotField showAll="0"/>
    <pivotField showAll="0"/>
    <pivotField showAll="0"/>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0">
    <i>
      <x v="1"/>
    </i>
    <i>
      <x v="2"/>
    </i>
    <i>
      <x v="6"/>
    </i>
    <i>
      <x/>
    </i>
    <i>
      <x v="5"/>
    </i>
    <i>
      <x v="8"/>
    </i>
    <i>
      <x v="3"/>
    </i>
    <i>
      <x v="4"/>
    </i>
    <i>
      <x v="7"/>
    </i>
    <i t="grand">
      <x/>
    </i>
  </rowItems>
  <colFields count="1">
    <field x="-2"/>
  </colFields>
  <colItems count="2">
    <i>
      <x/>
    </i>
    <i i="1">
      <x v="1"/>
    </i>
  </colItems>
  <dataFields count="2">
    <dataField name="Total Revenue" fld="10" baseField="4" baseItem="1"/>
    <dataField name="Total Profit" fld="12" baseField="4" baseItem="1"/>
  </dataFields>
  <chartFormats count="8">
    <chartFormat chart="4" format="7"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6D1340-4D12-41A1-901F-4569B4F10652}"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iscount %">
  <location ref="A3:C10" firstHeaderRow="0" firstDataRow="1" firstDataCol="1"/>
  <pivotFields count="17">
    <pivotField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showAll="0">
      <items count="6">
        <item x="0"/>
        <item x="3"/>
        <item x="1"/>
        <item x="4"/>
        <item x="2"/>
        <item t="default"/>
      </items>
    </pivotField>
    <pivotField showAll="0"/>
    <pivotField showAll="0"/>
    <pivotField showAll="0">
      <items count="5">
        <item x="1"/>
        <item x="3"/>
        <item x="2"/>
        <item x="0"/>
        <item t="default"/>
      </items>
    </pivotField>
    <pivotField showAll="0"/>
    <pivotField showAll="0"/>
    <pivotField showAll="0"/>
    <pivotField axis="axisRow" showAll="0">
      <items count="7">
        <item x="2"/>
        <item x="3"/>
        <item x="5"/>
        <item x="4"/>
        <item x="1"/>
        <item x="0"/>
        <item t="default"/>
      </items>
    </pivotField>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7">
    <i>
      <x/>
    </i>
    <i>
      <x v="1"/>
    </i>
    <i>
      <x v="2"/>
    </i>
    <i>
      <x v="3"/>
    </i>
    <i>
      <x v="4"/>
    </i>
    <i>
      <x v="5"/>
    </i>
    <i t="grand">
      <x/>
    </i>
  </rowItems>
  <colFields count="1">
    <field x="-2"/>
  </colFields>
  <colItems count="2">
    <i>
      <x/>
    </i>
    <i i="1">
      <x v="1"/>
    </i>
  </colItems>
  <dataFields count="2">
    <dataField name="Total Revenue" fld="10" baseField="9" baseItem="0"/>
    <dataField name="Total Profit" fld="12" baseField="9" baseItem="0"/>
  </dataFields>
  <formats count="5">
    <format dxfId="32">
      <pivotArea dataOnly="0" labelOnly="1" fieldPosition="0">
        <references count="1">
          <reference field="9" count="0"/>
        </references>
      </pivotArea>
    </format>
    <format dxfId="31">
      <pivotArea outline="0" collapsedLevelsAreSubtotals="1" fieldPosition="0"/>
    </format>
    <format dxfId="30">
      <pivotArea dataOnly="0" labelOnly="1" outline="0" fieldPosition="0">
        <references count="1">
          <reference field="4294967294" count="1">
            <x v="0"/>
          </reference>
        </references>
      </pivotArea>
    </format>
    <format dxfId="29">
      <pivotArea dataOnly="0" labelOnly="1" outline="0" fieldPosition="0">
        <references count="1">
          <reference field="4294967294" count="1">
            <x v="0"/>
          </reference>
        </references>
      </pivotArea>
    </format>
    <format dxfId="28">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F83AF-7A45-44BF-828A-57B8DED5BEF2}" name="PivotTable3" cacheId="36" dataOnRows="1" applyNumberFormats="0" applyBorderFormats="0" applyFontFormats="0" applyPatternFormats="0" applyAlignmentFormats="0" applyWidthHeightFormats="1" dataCaption="KPI PivotTable" updatedVersion="8" minRefreshableVersion="3" useAutoFormatting="1" itemPrintTitles="1" createdVersion="8" indent="0" outline="1" outlineData="1" multipleFieldFilters="0">
  <location ref="A10:B14" firstHeaderRow="1" firstDataRow="1" firstDataCol="1"/>
  <pivotFields count="17">
    <pivotField dataField="1" showAll="0"/>
    <pivotField numFmtId="22" showAll="0">
      <items count="351">
        <item x="217"/>
        <item x="334"/>
        <item x="206"/>
        <item x="108"/>
        <item x="56"/>
        <item x="230"/>
        <item x="330"/>
        <item x="77"/>
        <item x="93"/>
        <item x="159"/>
        <item x="181"/>
        <item x="151"/>
        <item x="35"/>
        <item x="263"/>
        <item x="214"/>
        <item x="119"/>
        <item x="277"/>
        <item x="320"/>
        <item x="267"/>
        <item x="195"/>
        <item x="122"/>
        <item x="284"/>
        <item x="304"/>
        <item x="322"/>
        <item x="13"/>
        <item x="318"/>
        <item x="150"/>
        <item x="216"/>
        <item x="183"/>
        <item x="323"/>
        <item x="173"/>
        <item x="308"/>
        <item x="226"/>
        <item x="144"/>
        <item x="8"/>
        <item x="139"/>
        <item x="246"/>
        <item x="14"/>
        <item x="163"/>
        <item x="233"/>
        <item x="188"/>
        <item x="167"/>
        <item x="194"/>
        <item x="184"/>
        <item x="326"/>
        <item x="220"/>
        <item x="116"/>
        <item x="247"/>
        <item x="46"/>
        <item x="252"/>
        <item x="165"/>
        <item x="131"/>
        <item x="135"/>
        <item x="172"/>
        <item x="333"/>
        <item x="33"/>
        <item x="242"/>
        <item x="302"/>
        <item x="87"/>
        <item x="317"/>
        <item x="307"/>
        <item x="38"/>
        <item x="169"/>
        <item x="47"/>
        <item x="50"/>
        <item x="156"/>
        <item x="58"/>
        <item x="106"/>
        <item x="174"/>
        <item x="339"/>
        <item x="102"/>
        <item x="269"/>
        <item x="248"/>
        <item x="154"/>
        <item x="316"/>
        <item x="203"/>
        <item x="294"/>
        <item x="186"/>
        <item x="211"/>
        <item x="219"/>
        <item x="287"/>
        <item x="71"/>
        <item x="74"/>
        <item x="76"/>
        <item x="179"/>
        <item x="55"/>
        <item x="0"/>
        <item x="111"/>
        <item x="332"/>
        <item x="275"/>
        <item x="107"/>
        <item x="234"/>
        <item x="315"/>
        <item x="264"/>
        <item x="110"/>
        <item x="42"/>
        <item x="37"/>
        <item x="48"/>
        <item x="283"/>
        <item x="297"/>
        <item x="279"/>
        <item x="80"/>
        <item x="89"/>
        <item x="254"/>
        <item x="28"/>
        <item x="98"/>
        <item x="91"/>
        <item x="196"/>
        <item x="97"/>
        <item x="238"/>
        <item x="155"/>
        <item x="62"/>
        <item x="251"/>
        <item x="229"/>
        <item x="259"/>
        <item x="70"/>
        <item x="327"/>
        <item x="340"/>
        <item x="75"/>
        <item x="171"/>
        <item x="60"/>
        <item x="190"/>
        <item x="319"/>
        <item x="309"/>
        <item x="66"/>
        <item x="221"/>
        <item x="125"/>
        <item x="130"/>
        <item x="152"/>
        <item x="306"/>
        <item x="271"/>
        <item x="21"/>
        <item x="121"/>
        <item x="243"/>
        <item x="54"/>
        <item x="349"/>
        <item x="153"/>
        <item x="147"/>
        <item x="123"/>
        <item x="175"/>
        <item x="298"/>
        <item x="210"/>
        <item x="34"/>
        <item x="82"/>
        <item x="197"/>
        <item x="95"/>
        <item x="241"/>
        <item x="141"/>
        <item x="132"/>
        <item x="6"/>
        <item x="274"/>
        <item x="218"/>
        <item x="16"/>
        <item x="289"/>
        <item x="26"/>
        <item x="24"/>
        <item x="104"/>
        <item x="100"/>
        <item x="124"/>
        <item x="331"/>
        <item x="86"/>
        <item x="199"/>
        <item x="311"/>
        <item x="310"/>
        <item x="43"/>
        <item x="207"/>
        <item x="22"/>
        <item x="69"/>
        <item x="236"/>
        <item x="19"/>
        <item x="193"/>
        <item x="212"/>
        <item x="105"/>
        <item x="120"/>
        <item x="321"/>
        <item x="325"/>
        <item x="343"/>
        <item x="5"/>
        <item x="337"/>
        <item x="53"/>
        <item x="305"/>
        <item x="208"/>
        <item x="292"/>
        <item x="224"/>
        <item x="231"/>
        <item x="295"/>
        <item x="244"/>
        <item x="176"/>
        <item x="84"/>
        <item x="12"/>
        <item x="261"/>
        <item x="347"/>
        <item x="128"/>
        <item x="18"/>
        <item x="129"/>
        <item x="257"/>
        <item x="9"/>
        <item x="32"/>
        <item x="146"/>
        <item x="205"/>
        <item x="270"/>
        <item x="30"/>
        <item x="15"/>
        <item x="4"/>
        <item x="157"/>
        <item x="227"/>
        <item x="338"/>
        <item x="256"/>
        <item x="79"/>
        <item x="215"/>
        <item x="328"/>
        <item x="36"/>
        <item x="134"/>
        <item x="266"/>
        <item x="293"/>
        <item x="85"/>
        <item x="342"/>
        <item x="235"/>
        <item x="278"/>
        <item x="204"/>
        <item x="296"/>
        <item x="92"/>
        <item x="23"/>
        <item x="272"/>
        <item x="127"/>
        <item x="249"/>
        <item x="20"/>
        <item x="281"/>
        <item x="324"/>
        <item x="164"/>
        <item x="10"/>
        <item x="288"/>
        <item x="61"/>
        <item x="114"/>
        <item x="299"/>
        <item x="126"/>
        <item x="187"/>
        <item x="138"/>
        <item x="209"/>
        <item x="117"/>
        <item x="280"/>
        <item x="109"/>
        <item x="65"/>
        <item x="313"/>
        <item x="11"/>
        <item x="273"/>
        <item x="276"/>
        <item x="213"/>
        <item x="225"/>
        <item x="336"/>
        <item x="57"/>
        <item x="115"/>
        <item x="300"/>
        <item x="2"/>
        <item x="39"/>
        <item x="303"/>
        <item x="329"/>
        <item x="49"/>
        <item x="255"/>
        <item x="314"/>
        <item x="103"/>
        <item x="180"/>
        <item x="113"/>
        <item x="346"/>
        <item x="64"/>
        <item x="200"/>
        <item x="162"/>
        <item x="189"/>
        <item x="285"/>
        <item x="29"/>
        <item x="52"/>
        <item x="99"/>
        <item x="112"/>
        <item x="81"/>
        <item x="68"/>
        <item x="177"/>
        <item x="133"/>
        <item x="239"/>
        <item x="63"/>
        <item x="301"/>
        <item x="341"/>
        <item x="185"/>
        <item x="265"/>
        <item x="291"/>
        <item x="258"/>
        <item x="268"/>
        <item x="282"/>
        <item x="96"/>
        <item x="44"/>
        <item x="250"/>
        <item x="25"/>
        <item x="45"/>
        <item x="191"/>
        <item x="140"/>
        <item x="166"/>
        <item x="72"/>
        <item x="83"/>
        <item x="228"/>
        <item x="17"/>
        <item x="260"/>
        <item x="222"/>
        <item x="253"/>
        <item x="232"/>
        <item x="90"/>
        <item x="149"/>
        <item x="182"/>
        <item x="136"/>
        <item x="178"/>
        <item x="142"/>
        <item x="286"/>
        <item x="31"/>
        <item x="168"/>
        <item x="3"/>
        <item x="148"/>
        <item x="7"/>
        <item x="158"/>
        <item x="237"/>
        <item x="192"/>
        <item x="41"/>
        <item x="143"/>
        <item x="78"/>
        <item x="145"/>
        <item x="88"/>
        <item x="67"/>
        <item x="245"/>
        <item x="312"/>
        <item x="201"/>
        <item x="161"/>
        <item x="344"/>
        <item x="1"/>
        <item x="202"/>
        <item x="290"/>
        <item x="118"/>
        <item x="170"/>
        <item x="335"/>
        <item x="262"/>
        <item x="160"/>
        <item x="137"/>
        <item x="27"/>
        <item x="240"/>
        <item x="223"/>
        <item x="40"/>
        <item x="59"/>
        <item x="101"/>
        <item x="198"/>
        <item x="51"/>
        <item x="345"/>
        <item x="73"/>
        <item x="94"/>
        <item x="348"/>
        <item t="default"/>
      </items>
    </pivotField>
    <pivotField showAll="0">
      <items count="6">
        <item x="0"/>
        <item x="3"/>
        <item x="1"/>
        <item x="4"/>
        <item x="2"/>
        <item t="default"/>
      </items>
    </pivotField>
    <pivotField showAll="0"/>
    <pivotField showAll="0"/>
    <pivotField showAll="0">
      <items count="5">
        <item x="1"/>
        <item x="3"/>
        <item x="2"/>
        <item x="0"/>
        <item t="default"/>
      </items>
    </pivotField>
    <pivotField showAll="0"/>
    <pivotField dataField="1" showAll="0"/>
    <pivotField showAll="0"/>
    <pivotField showAll="0"/>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i="1">
      <x v="1"/>
    </i>
    <i i="2">
      <x v="2"/>
    </i>
    <i i="3">
      <x v="3"/>
    </i>
  </rowItems>
  <colItems count="1">
    <i/>
  </colItems>
  <dataFields count="4">
    <dataField name="Total Revenue" fld="10" baseField="0" baseItem="0"/>
    <dataField name="Total Profit" fld="12" baseField="0" baseItem="0"/>
    <dataField name="Total Orders" fld="0" subtotal="count" baseField="0" baseItem="0"/>
    <dataField name="Total Quantity" fld="7" baseField="0" baseItem="0"/>
  </dataFields>
  <formats count="5">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outline="0" fieldPosition="0">
        <references count="1">
          <reference field="4294967294" count="4">
            <x v="0"/>
            <x v="1"/>
            <x v="2"/>
            <x v="3"/>
          </reference>
        </references>
      </pivotArea>
    </format>
    <format dxfId="23">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DD1D4E-1118-45FA-A7D0-B4315A70C92A}" autoFormatId="16" applyNumberFormats="0" applyBorderFormats="0" applyFontFormats="0" applyPatternFormats="0" applyAlignmentFormats="0" applyWidthHeightFormats="0">
  <queryTableRefresh nextId="16">
    <queryTableFields count="15">
      <queryTableField id="1" name="Order_ID" tableColumnId="1"/>
      <queryTableField id="2" name="Order_Date" tableColumnId="2"/>
      <queryTableField id="3" name="Region" tableColumnId="3"/>
      <queryTableField id="4" name="State" tableColumnId="4"/>
      <queryTableField id="5" name="Salesperson" tableColumnId="5"/>
      <queryTableField id="6" name="Category" tableColumnId="6"/>
      <queryTableField id="7" name="Product" tableColumnId="7"/>
      <queryTableField id="8" name="Quantity" tableColumnId="8"/>
      <queryTableField id="9" name="Unit_Price" tableColumnId="9"/>
      <queryTableField id="10" name="Discount" tableColumnId="10"/>
      <queryTableField id="11" name="Revenue" tableColumnId="11"/>
      <queryTableField id="12" name="Cost" tableColumnId="12"/>
      <queryTableField id="13" name="Profit" tableColumnId="13"/>
      <queryTableField id="14" name="Customer_Type" tableColumnId="14"/>
      <queryTableField id="15" name="Payment_Mod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A9892F-01EE-4215-A6BE-B3DEAB268556}" sourceName="Region">
  <pivotTables>
    <pivotTable tabId="8" name="PivotTable2"/>
    <pivotTable tabId="6" name="PivotTable3"/>
    <pivotTable tabId="9" name="PivotTable3"/>
    <pivotTable tabId="12" name="PivotTable1"/>
    <pivotTable tabId="7" name="PivotTable1"/>
    <pivotTable tabId="10" name="PivotTable4"/>
    <pivotTable tabId="11" name="PivotTable5"/>
  </pivotTables>
  <data>
    <tabular pivotCacheId="1447778536">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812A6F-6011-4C39-9B07-457867832E57}" sourceName="Category">
  <pivotTables>
    <pivotTable tabId="9" name="PivotTable3"/>
    <pivotTable tabId="6" name="PivotTable3"/>
    <pivotTable tabId="12" name="PivotTable1"/>
    <pivotTable tabId="7" name="PivotTable1"/>
    <pivotTable tabId="10" name="PivotTable4"/>
    <pivotTable tabId="8" name="PivotTable2"/>
    <pivotTable tabId="11" name="PivotTable5"/>
  </pivotTables>
  <data>
    <tabular pivotCacheId="1447778536">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84D254-C98B-4144-BBEE-E7EAC991F66C}" cache="Slicer_Region" caption="Region" columnCount="5" style="SlicerStyleDark3" rowHeight="216000"/>
  <slicer name="Category" xr10:uid="{D65EE13D-4E7D-40F5-B975-2228A7FEE3E3}" cache="Slicer_Category" caption="Category" columnCount="4" style="SlicerStyleDark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55D530-0E48-4FE2-9C32-7206BFEB8354}" name="Table3" displayName="Table3" ref="A1:O1201" totalsRowShown="0" headerRowDxfId="59" headerRowBorderDxfId="58" tableBorderDxfId="57">
  <autoFilter ref="A1:O1201" xr:uid="{1755D530-0E48-4FE2-9C32-7206BFEB8354}"/>
  <tableColumns count="15">
    <tableColumn id="1" xr3:uid="{A2B30FB5-6A4C-4DC3-8322-0C9D1CB847F1}" name="Order_ID" dataDxfId="56"/>
    <tableColumn id="2" xr3:uid="{67F96C3C-4C32-47E0-97B2-CCE331405BEA}" name="Order_Date" dataDxfId="55"/>
    <tableColumn id="3" xr3:uid="{188160F8-01D0-47BC-92F5-82E921734210}" name="Region" dataDxfId="54"/>
    <tableColumn id="4" xr3:uid="{2A2B74AE-32C6-4BE6-95D7-049474DC1DBE}" name="State" dataDxfId="53"/>
    <tableColumn id="5" xr3:uid="{3D774E78-B45F-48FC-9734-97B16DE79432}" name="Salesperson" dataDxfId="52"/>
    <tableColumn id="6" xr3:uid="{3C8F06B4-E9B8-446B-B4E2-53C218D2995C}" name="Category" dataDxfId="51"/>
    <tableColumn id="7" xr3:uid="{DA9C8ED5-1443-437B-A294-17FEAC758968}" name="Product" dataDxfId="50"/>
    <tableColumn id="8" xr3:uid="{47CB0421-F7E7-4DAE-ABD8-C6454A8EC076}" name="Quantity" dataDxfId="49"/>
    <tableColumn id="9" xr3:uid="{5470DE45-4B20-49D1-91F8-2D40B3C15203}" name="Unit_Price" dataDxfId="48"/>
    <tableColumn id="10" xr3:uid="{2F62E0E1-BD80-4621-8568-D560605B705A}" name="Discount" dataDxfId="47"/>
    <tableColumn id="11" xr3:uid="{EA07FED9-32E4-4B1D-9C58-771C858D3DAF}" name="Revenue" dataDxfId="46"/>
    <tableColumn id="12" xr3:uid="{B1C1CD01-3C21-48F6-BCAF-BC0B9A9DD732}" name="Cost" dataDxfId="45"/>
    <tableColumn id="13" xr3:uid="{63CA699C-198D-49EE-A228-E4C795B8AAEE}" name="Profit" dataDxfId="44"/>
    <tableColumn id="14" xr3:uid="{19AC4CE8-A002-47F9-B6E6-2D90EAFA06AB}" name="Customer_Type" dataDxfId="43"/>
    <tableColumn id="15" xr3:uid="{50F30F48-BF9F-41D1-ABDA-610D1653928C}" name="Payment_Mode" dataDxfId="42"/>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DC7FDA-B586-4FA0-89B3-BB644811DE7A}" name="Cleaned_Sales_Data" displayName="Cleaned_Sales_Data" ref="A1:O1181" tableType="queryTable" totalsRowShown="0">
  <autoFilter ref="A1:O1181" xr:uid="{FEDC7FDA-B586-4FA0-89B3-BB644811DE7A}"/>
  <tableColumns count="15">
    <tableColumn id="1" xr3:uid="{F211789A-9F31-4592-8DC0-BB1C17582699}" uniqueName="1" name="Order_ID" queryTableFieldId="1" dataDxfId="14"/>
    <tableColumn id="2" xr3:uid="{3096DD09-CFF8-4212-BCE2-8D40240673B7}" uniqueName="2" name="Order_Date" queryTableFieldId="2" dataDxfId="13"/>
    <tableColumn id="3" xr3:uid="{080D362F-646C-4F08-83D8-BD2BAD8102BC}" uniqueName="3" name="Region" queryTableFieldId="3" dataDxfId="12"/>
    <tableColumn id="4" xr3:uid="{061906E5-9754-41E7-AAF9-ECF7AB1E8C80}" uniqueName="4" name="State" queryTableFieldId="4" dataDxfId="11"/>
    <tableColumn id="5" xr3:uid="{F328DA26-D53C-4189-9F4D-F7BDBEAD43FD}" uniqueName="5" name="Salesperson" queryTableFieldId="5" dataDxfId="10"/>
    <tableColumn id="6" xr3:uid="{0266B1E1-91CA-41A8-A6E9-34CF26A95670}" uniqueName="6" name="Category" queryTableFieldId="6" dataDxfId="9"/>
    <tableColumn id="7" xr3:uid="{7F06506D-CCFC-47CB-A293-932DAC50397A}" uniqueName="7" name="Product" queryTableFieldId="7" dataDxfId="8"/>
    <tableColumn id="8" xr3:uid="{1E98FAC3-3FD1-46F0-8C76-193328A948C1}" uniqueName="8" name="Quantity" queryTableFieldId="8" dataDxfId="7"/>
    <tableColumn id="9" xr3:uid="{7240D230-3B8D-40B9-9198-A3F19C220CB2}" uniqueName="9" name="Unit_Price" queryTableFieldId="9" dataDxfId="6"/>
    <tableColumn id="10" xr3:uid="{CB745B54-9097-4351-A786-961073563352}" uniqueName="10" name="Discount" queryTableFieldId="10" dataDxfId="5"/>
    <tableColumn id="11" xr3:uid="{DB94A3D7-C679-4D80-BED7-179265F9F2B2}" uniqueName="11" name="Revenue" queryTableFieldId="11" dataDxfId="4"/>
    <tableColumn id="12" xr3:uid="{CB544890-1C01-4690-A29B-3EA90E07EE9E}" uniqueName="12" name="Cost" queryTableFieldId="12" dataDxfId="3"/>
    <tableColumn id="13" xr3:uid="{761BDF79-5E36-4BA2-82F4-D584E86FDFB6}" uniqueName="13" name="Profit" queryTableFieldId="13" dataDxfId="2"/>
    <tableColumn id="14" xr3:uid="{0DEDBB43-9DC1-4D49-AA5F-0640E8B6DE3C}" uniqueName="14" name="Customer_Type" queryTableFieldId="14" dataDxfId="1"/>
    <tableColumn id="15" xr3:uid="{466D6AAA-BF24-4268-936F-03D015F394A2}" uniqueName="15" name="Payment_Mode" queryTableFieldId="15"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913CB0-5CF5-4CEF-9520-BA2FFB15CA0B}" name="Table6" displayName="Table6" ref="A1:B7" totalsRowShown="0" headerRowDxfId="22" headerRowBorderDxfId="21" tableBorderDxfId="20" totalsRowBorderDxfId="19">
  <autoFilter ref="A1:B7" xr:uid="{BF913CB0-5CF5-4CEF-9520-BA2FFB15CA0B}"/>
  <tableColumns count="2">
    <tableColumn id="1" xr3:uid="{B9B92EF2-6DCB-4C5B-86BB-DBF13733A495}" name="KPI" dataDxfId="18"/>
    <tableColumn id="2" xr3:uid="{3C5EF8C3-A686-4821-AB68-C47704DF8C1A}" name="Value" dataDxfId="17">
      <calculatedColumnFormula>SUM(Cleaned_Sales_Data[Revenue])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AE0F28-6C13-434D-A69D-7DD9050F7F0D}" name="Table1" displayName="Table1" ref="D2:I7" totalsRowShown="0">
  <tableColumns count="6">
    <tableColumn id="1" xr3:uid="{C5A48713-3937-4F3C-8438-0202F2A267F8}" name="Region" dataDxfId="16"/>
    <tableColumn id="2" xr3:uid="{105BC2A6-9818-4771-8FD0-4B833D8D3D34}" name="Total Revenue" dataCellStyle="Comma">
      <calculatedColumnFormula>SUMIFS(Cleaned_Sales_Data[Revenue],Cleaned_Sales_Data[Region],Table1[[#This Row],[Region]])</calculatedColumnFormula>
    </tableColumn>
    <tableColumn id="3" xr3:uid="{0E17C65E-408E-4731-890D-D5D9874F9554}" name="Total Profit" dataCellStyle="Comma">
      <calculatedColumnFormula>SUMIFS(Cleaned_Sales_Data[Profit],Cleaned_Sales_Data[Region],Table1[[#This Row],[Region]])</calculatedColumnFormula>
    </tableColumn>
    <tableColumn id="4" xr3:uid="{42641945-C017-44A6-96D9-38F4859A18A3}" name="Order Count" dataDxfId="15" dataCellStyle="Comma">
      <calculatedColumnFormula>COUNTIFS(Cleaned_Sales_Data[Region],D3)</calculatedColumnFormula>
    </tableColumn>
    <tableColumn id="5" xr3:uid="{70EF8207-252F-4A04-985A-9F91341408F3}" name="Profit Margin">
      <calculatedColumnFormula>Table1[[#This Row],[Total Profit]]/Table1[[#This Row],[Total Revenue]]</calculatedColumnFormula>
    </tableColumn>
    <tableColumn id="6" xr3:uid="{328333A4-0BA5-43CE-AA29-72C10D686FC1}" name="Performance Status">
      <calculatedColumnFormula>IF(H3&gt;=25%,"Healthy","Needs Review")</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3D2A9B2-E61E-4E19-8D98-E4BB95E1D615}" name="Table8" displayName="Table8" ref="K1:L5" totalsRowShown="0">
  <tableColumns count="2">
    <tableColumn id="1" xr3:uid="{C7585645-0114-4FE9-B456-7BBB6778F723}" name="Selected Region"/>
    <tableColumn id="2" xr3:uid="{472F3D34-F2F1-4745-BBD5-583BB62E5A21}" name="Eas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1258C2-F0F6-4802-BDC1-2E4FB6C69E5A}" name="Table10" displayName="Table10" ref="K8:L10" totalsRowShown="0">
  <tableColumns count="2">
    <tableColumn id="1" xr3:uid="{32B33983-DBD4-4E45-929D-7AD814F65C06}" name="Selected Salesperson"/>
    <tableColumn id="2" xr3:uid="{DAB282B6-96F4-4E49-A2D9-D3E0F79F1037}" name="Am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workbookViewId="0">
      <selection activeCell="F12" sqref="F12"/>
    </sheetView>
  </sheetViews>
  <sheetFormatPr defaultRowHeight="14.4" x14ac:dyDescent="0.3"/>
  <cols>
    <col min="1" max="1" width="10.44140625" customWidth="1"/>
    <col min="2" max="2" width="18.109375" bestFit="1" customWidth="1"/>
    <col min="3" max="3" width="8.6640625" customWidth="1"/>
    <col min="4" max="4" width="13.77734375" bestFit="1" customWidth="1"/>
    <col min="5" max="5" width="12.88671875" customWidth="1"/>
    <col min="6" max="6" width="16.77734375" bestFit="1" customWidth="1"/>
    <col min="7" max="7" width="15.44140625" bestFit="1" customWidth="1"/>
    <col min="8" max="8" width="10.21875" customWidth="1"/>
    <col min="9" max="9" width="11.5546875" customWidth="1"/>
    <col min="10" max="11" width="10.21875" customWidth="1"/>
    <col min="12" max="13" width="10" bestFit="1" customWidth="1"/>
    <col min="14" max="14" width="16.109375" customWidth="1"/>
    <col min="15" max="15" width="16.441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t="s">
        <v>15</v>
      </c>
      <c r="B2" s="3">
        <v>45745</v>
      </c>
      <c r="C2" s="2" t="s">
        <v>16</v>
      </c>
      <c r="D2" s="2" t="s">
        <v>17</v>
      </c>
      <c r="E2" s="2" t="s">
        <v>18</v>
      </c>
      <c r="F2" s="2" t="s">
        <v>19</v>
      </c>
      <c r="G2" s="2" t="s">
        <v>20</v>
      </c>
      <c r="H2" s="2">
        <v>5</v>
      </c>
      <c r="I2" s="2">
        <v>661.47</v>
      </c>
      <c r="J2" s="2">
        <v>0.03</v>
      </c>
      <c r="K2" s="2">
        <v>3208.15</v>
      </c>
      <c r="L2" s="2">
        <v>2033.77</v>
      </c>
      <c r="M2" s="2">
        <v>1174.3800000000001</v>
      </c>
      <c r="N2" s="2" t="s">
        <v>21</v>
      </c>
      <c r="O2" s="2" t="s">
        <v>22</v>
      </c>
    </row>
    <row r="3" spans="1:15" x14ac:dyDescent="0.3">
      <c r="A3" s="2" t="s">
        <v>23</v>
      </c>
      <c r="B3" s="3">
        <v>45910</v>
      </c>
      <c r="C3" s="2" t="s">
        <v>24</v>
      </c>
      <c r="D3" s="2" t="s">
        <v>25</v>
      </c>
      <c r="E3" s="2" t="s">
        <v>26</v>
      </c>
      <c r="F3" s="2" t="s">
        <v>27</v>
      </c>
      <c r="G3" s="2" t="s">
        <v>28</v>
      </c>
      <c r="H3" s="2">
        <v>8</v>
      </c>
      <c r="I3" s="2">
        <v>30205.11</v>
      </c>
      <c r="J3" s="2">
        <v>0.08</v>
      </c>
      <c r="K3" s="2">
        <v>222309.59</v>
      </c>
      <c r="L3" s="2">
        <v>170466.27</v>
      </c>
      <c r="M3" s="2">
        <v>51843.32</v>
      </c>
      <c r="N3" s="2" t="s">
        <v>29</v>
      </c>
      <c r="O3" s="2" t="s">
        <v>30</v>
      </c>
    </row>
    <row r="4" spans="1:15" x14ac:dyDescent="0.3">
      <c r="A4" s="2" t="s">
        <v>31</v>
      </c>
      <c r="B4" s="3">
        <v>46021</v>
      </c>
      <c r="C4" s="2" t="s">
        <v>16</v>
      </c>
      <c r="D4" s="2" t="s">
        <v>32</v>
      </c>
      <c r="E4" s="2" t="s">
        <v>33</v>
      </c>
      <c r="F4" s="2" t="s">
        <v>34</v>
      </c>
      <c r="G4" s="2" t="s">
        <v>35</v>
      </c>
      <c r="H4" s="2">
        <v>8</v>
      </c>
      <c r="I4" s="2">
        <v>17230.38</v>
      </c>
      <c r="J4" s="2">
        <v>0</v>
      </c>
      <c r="K4" s="2">
        <v>137843.04999999999</v>
      </c>
      <c r="L4" s="2">
        <v>105920.34</v>
      </c>
      <c r="M4" s="2">
        <v>31922.71</v>
      </c>
      <c r="N4" s="2" t="s">
        <v>29</v>
      </c>
      <c r="O4" s="2" t="s">
        <v>30</v>
      </c>
    </row>
    <row r="5" spans="1:15" x14ac:dyDescent="0.3">
      <c r="A5" s="2" t="s">
        <v>36</v>
      </c>
      <c r="B5" s="3">
        <v>46003</v>
      </c>
      <c r="C5" s="2" t="s">
        <v>37</v>
      </c>
      <c r="D5" s="2" t="s">
        <v>38</v>
      </c>
      <c r="E5" s="2" t="s">
        <v>18</v>
      </c>
      <c r="F5" s="2" t="s">
        <v>34</v>
      </c>
      <c r="G5" s="2" t="s">
        <v>39</v>
      </c>
      <c r="H5" s="2">
        <v>4</v>
      </c>
      <c r="I5" s="2">
        <v>32122.57</v>
      </c>
      <c r="J5" s="2">
        <v>0.05</v>
      </c>
      <c r="K5" s="2">
        <v>122065.76</v>
      </c>
      <c r="L5" s="2">
        <v>86971.85</v>
      </c>
      <c r="M5" s="2">
        <v>35093.910000000003</v>
      </c>
      <c r="N5" s="2" t="s">
        <v>21</v>
      </c>
      <c r="O5" s="2" t="s">
        <v>40</v>
      </c>
    </row>
    <row r="6" spans="1:15" x14ac:dyDescent="0.3">
      <c r="A6" s="2" t="s">
        <v>41</v>
      </c>
      <c r="B6" s="3">
        <v>45711</v>
      </c>
      <c r="C6" s="2" t="s">
        <v>37</v>
      </c>
      <c r="D6" s="2" t="s">
        <v>42</v>
      </c>
      <c r="E6" s="2" t="s">
        <v>18</v>
      </c>
      <c r="F6" s="2" t="s">
        <v>43</v>
      </c>
      <c r="G6" s="2" t="s">
        <v>44</v>
      </c>
      <c r="H6" s="2">
        <v>6</v>
      </c>
      <c r="I6" s="2">
        <v>11790.84</v>
      </c>
      <c r="J6" s="2">
        <v>0.03</v>
      </c>
      <c r="K6" s="2">
        <v>68622.67</v>
      </c>
      <c r="L6" s="2">
        <v>54986.44</v>
      </c>
      <c r="M6" s="2">
        <v>13636.23</v>
      </c>
      <c r="N6" s="2" t="s">
        <v>29</v>
      </c>
      <c r="O6" s="2" t="s">
        <v>45</v>
      </c>
    </row>
    <row r="7" spans="1:15" x14ac:dyDescent="0.3">
      <c r="A7" s="2" t="s">
        <v>46</v>
      </c>
      <c r="B7" s="3">
        <v>45909</v>
      </c>
      <c r="C7" s="2" t="s">
        <v>47</v>
      </c>
      <c r="D7" s="2" t="s">
        <v>48</v>
      </c>
      <c r="E7" s="2" t="s">
        <v>49</v>
      </c>
      <c r="F7" s="2" t="s">
        <v>27</v>
      </c>
      <c r="G7" s="2" t="s">
        <v>50</v>
      </c>
      <c r="H7" s="2">
        <v>6</v>
      </c>
      <c r="I7" s="2">
        <v>31090.91</v>
      </c>
      <c r="J7" s="2"/>
      <c r="K7" s="2">
        <v>180949.07</v>
      </c>
      <c r="L7" s="2">
        <v>136961.54</v>
      </c>
      <c r="M7" s="2">
        <v>43987.53</v>
      </c>
      <c r="N7" s="2" t="s">
        <v>21</v>
      </c>
      <c r="O7" s="2" t="s">
        <v>45</v>
      </c>
    </row>
    <row r="8" spans="1:15" x14ac:dyDescent="0.3">
      <c r="A8" s="2" t="s">
        <v>51</v>
      </c>
      <c r="B8" s="3">
        <v>45672</v>
      </c>
      <c r="C8" s="2" t="s">
        <v>16</v>
      </c>
      <c r="D8" s="2" t="s">
        <v>52</v>
      </c>
      <c r="E8" s="2" t="s">
        <v>18</v>
      </c>
      <c r="F8" s="2" t="s">
        <v>27</v>
      </c>
      <c r="G8" s="2" t="s">
        <v>28</v>
      </c>
      <c r="H8" s="2">
        <v>1</v>
      </c>
      <c r="I8" s="2">
        <v>27018.59</v>
      </c>
      <c r="J8" s="2">
        <v>0.05</v>
      </c>
      <c r="K8" s="2">
        <v>25667.66</v>
      </c>
      <c r="L8" s="2">
        <v>16782.080000000002</v>
      </c>
      <c r="M8" s="2">
        <v>8885.58</v>
      </c>
      <c r="N8" s="2" t="s">
        <v>21</v>
      </c>
      <c r="O8" s="2" t="s">
        <v>30</v>
      </c>
    </row>
    <row r="9" spans="1:15" x14ac:dyDescent="0.3">
      <c r="A9" s="2" t="s">
        <v>53</v>
      </c>
      <c r="B9" s="3">
        <v>45918</v>
      </c>
      <c r="C9" s="2" t="s">
        <v>54</v>
      </c>
      <c r="D9" s="2" t="s">
        <v>55</v>
      </c>
      <c r="E9" s="2" t="s">
        <v>56</v>
      </c>
      <c r="F9" s="2" t="s">
        <v>34</v>
      </c>
      <c r="G9" s="2" t="s">
        <v>57</v>
      </c>
      <c r="H9" s="2">
        <v>3</v>
      </c>
      <c r="I9" s="2">
        <v>22728.14</v>
      </c>
      <c r="J9" s="2">
        <v>0.08</v>
      </c>
      <c r="K9" s="2">
        <v>62729.66</v>
      </c>
      <c r="L9" s="2">
        <v>50503.96</v>
      </c>
      <c r="M9" s="2">
        <v>12225.7</v>
      </c>
      <c r="N9" s="2" t="s">
        <v>58</v>
      </c>
      <c r="O9" s="2" t="s">
        <v>59</v>
      </c>
    </row>
    <row r="10" spans="1:15" x14ac:dyDescent="0.3">
      <c r="A10" s="2" t="s">
        <v>60</v>
      </c>
      <c r="B10" s="3">
        <v>45756</v>
      </c>
      <c r="C10" s="2" t="s">
        <v>37</v>
      </c>
      <c r="D10" s="2" t="s">
        <v>38</v>
      </c>
      <c r="E10" s="2" t="s">
        <v>56</v>
      </c>
      <c r="F10" s="2" t="s">
        <v>19</v>
      </c>
      <c r="G10" s="2" t="s">
        <v>61</v>
      </c>
      <c r="H10" s="2">
        <v>1</v>
      </c>
      <c r="I10" s="2">
        <v>8371.52</v>
      </c>
      <c r="J10" s="2">
        <v>0.03</v>
      </c>
      <c r="K10" s="2">
        <v>8120.38</v>
      </c>
      <c r="L10" s="2">
        <v>5668.38</v>
      </c>
      <c r="M10" s="2">
        <v>2452</v>
      </c>
      <c r="N10" s="2" t="s">
        <v>29</v>
      </c>
      <c r="O10" s="2" t="s">
        <v>22</v>
      </c>
    </row>
    <row r="11" spans="1:15" x14ac:dyDescent="0.3">
      <c r="A11" s="2" t="s">
        <v>62</v>
      </c>
      <c r="B11" s="3">
        <v>45940</v>
      </c>
      <c r="C11" s="2" t="s">
        <v>63</v>
      </c>
      <c r="D11" s="2" t="s">
        <v>64</v>
      </c>
      <c r="E11" s="2" t="s">
        <v>65</v>
      </c>
      <c r="F11" s="2" t="s">
        <v>27</v>
      </c>
      <c r="G11" s="2" t="s">
        <v>66</v>
      </c>
      <c r="H11" s="2">
        <v>1</v>
      </c>
      <c r="I11" s="2">
        <v>11390.24</v>
      </c>
      <c r="J11" s="2">
        <v>0.03</v>
      </c>
      <c r="K11" s="2">
        <v>11048.54</v>
      </c>
      <c r="L11" s="2">
        <v>7529.1</v>
      </c>
      <c r="M11" s="2">
        <v>3519.44</v>
      </c>
      <c r="N11" s="2" t="s">
        <v>29</v>
      </c>
      <c r="O11" s="2" t="s">
        <v>59</v>
      </c>
    </row>
    <row r="12" spans="1:15" x14ac:dyDescent="0.3">
      <c r="A12" s="2" t="s">
        <v>67</v>
      </c>
      <c r="B12" s="3">
        <v>45888</v>
      </c>
      <c r="C12" s="2" t="s">
        <v>37</v>
      </c>
      <c r="D12" s="2" t="s">
        <v>68</v>
      </c>
      <c r="E12" s="2" t="s">
        <v>69</v>
      </c>
      <c r="F12" s="2" t="s">
        <v>34</v>
      </c>
      <c r="G12" s="2" t="s">
        <v>70</v>
      </c>
      <c r="H12" s="2">
        <v>4</v>
      </c>
      <c r="I12" s="2">
        <v>65658.070000000007</v>
      </c>
      <c r="J12" s="2">
        <v>0.08</v>
      </c>
      <c r="K12" s="2">
        <v>241621.68</v>
      </c>
      <c r="L12" s="2">
        <v>157885.16</v>
      </c>
      <c r="M12" s="2">
        <v>83736.52</v>
      </c>
      <c r="N12" s="2" t="s">
        <v>21</v>
      </c>
      <c r="O12" s="2" t="s">
        <v>22</v>
      </c>
    </row>
    <row r="13" spans="1:15" x14ac:dyDescent="0.3">
      <c r="A13" s="2" t="s">
        <v>71</v>
      </c>
      <c r="B13" s="3">
        <v>45791</v>
      </c>
      <c r="C13" s="2" t="s">
        <v>37</v>
      </c>
      <c r="D13" s="2" t="s">
        <v>68</v>
      </c>
      <c r="E13" s="2" t="s">
        <v>72</v>
      </c>
      <c r="F13" s="2" t="s">
        <v>43</v>
      </c>
      <c r="G13" s="2" t="s">
        <v>44</v>
      </c>
      <c r="H13" s="2">
        <v>6</v>
      </c>
      <c r="I13" s="2">
        <v>12730.5</v>
      </c>
      <c r="J13" s="2">
        <v>0.08</v>
      </c>
      <c r="K13" s="2">
        <v>70272.350000000006</v>
      </c>
      <c r="L13" s="2">
        <v>48554.83</v>
      </c>
      <c r="M13" s="2">
        <v>21717.52</v>
      </c>
      <c r="N13" s="2" t="s">
        <v>29</v>
      </c>
      <c r="O13" s="2" t="s">
        <v>40</v>
      </c>
    </row>
    <row r="14" spans="1:15" x14ac:dyDescent="0.3">
      <c r="A14" s="2" t="s">
        <v>73</v>
      </c>
      <c r="B14" s="3">
        <v>45940</v>
      </c>
      <c r="C14" s="2" t="s">
        <v>37</v>
      </c>
      <c r="D14" s="2" t="s">
        <v>25</v>
      </c>
      <c r="E14" s="2" t="s">
        <v>74</v>
      </c>
      <c r="F14" s="2" t="s">
        <v>43</v>
      </c>
      <c r="G14" s="2" t="s">
        <v>75</v>
      </c>
      <c r="H14" s="2">
        <v>7</v>
      </c>
      <c r="I14" s="2">
        <v>38281.49</v>
      </c>
      <c r="J14" s="2">
        <v>0.03</v>
      </c>
      <c r="K14" s="2">
        <v>259931.29</v>
      </c>
      <c r="L14" s="2">
        <v>168022.83</v>
      </c>
      <c r="M14" s="2">
        <v>91908.46</v>
      </c>
      <c r="N14" s="2" t="s">
        <v>29</v>
      </c>
      <c r="O14" s="2" t="s">
        <v>40</v>
      </c>
    </row>
    <row r="15" spans="1:15" x14ac:dyDescent="0.3">
      <c r="A15" s="2" t="s">
        <v>76</v>
      </c>
      <c r="B15" s="3">
        <v>45809</v>
      </c>
      <c r="C15" s="2" t="s">
        <v>16</v>
      </c>
      <c r="D15" s="2" t="s">
        <v>32</v>
      </c>
      <c r="E15" s="2" t="s">
        <v>18</v>
      </c>
      <c r="F15" s="2" t="s">
        <v>34</v>
      </c>
      <c r="G15" s="2" t="s">
        <v>57</v>
      </c>
      <c r="H15" s="2">
        <v>1</v>
      </c>
      <c r="I15" s="2">
        <v>21946.6</v>
      </c>
      <c r="J15" s="2">
        <v>0.08</v>
      </c>
      <c r="K15" s="2">
        <v>20190.87</v>
      </c>
      <c r="L15" s="2">
        <v>13823.86</v>
      </c>
      <c r="M15" s="2">
        <v>6367.01</v>
      </c>
      <c r="N15" s="2" t="s">
        <v>58</v>
      </c>
      <c r="O15" s="2" t="s">
        <v>30</v>
      </c>
    </row>
    <row r="16" spans="1:15" x14ac:dyDescent="0.3">
      <c r="A16" s="2" t="s">
        <v>77</v>
      </c>
      <c r="B16" s="3">
        <v>45738</v>
      </c>
      <c r="C16" s="2" t="s">
        <v>16</v>
      </c>
      <c r="D16" s="2" t="s">
        <v>52</v>
      </c>
      <c r="E16" s="2" t="s">
        <v>56</v>
      </c>
      <c r="F16" s="2" t="s">
        <v>34</v>
      </c>
      <c r="G16" s="2" t="s">
        <v>35</v>
      </c>
      <c r="H16" s="2">
        <v>6</v>
      </c>
      <c r="I16" s="2">
        <v>18565.36</v>
      </c>
      <c r="J16" s="2">
        <v>0.08</v>
      </c>
      <c r="K16" s="2">
        <v>102480.77</v>
      </c>
      <c r="L16" s="2">
        <v>67180.33</v>
      </c>
      <c r="M16" s="2">
        <v>35300.44</v>
      </c>
      <c r="N16" s="2" t="s">
        <v>21</v>
      </c>
      <c r="O16" s="2" t="s">
        <v>59</v>
      </c>
    </row>
    <row r="17" spans="1:15" x14ac:dyDescent="0.3">
      <c r="A17" s="2" t="s">
        <v>78</v>
      </c>
      <c r="B17" s="3">
        <v>45817</v>
      </c>
      <c r="C17" s="2" t="s">
        <v>16</v>
      </c>
      <c r="D17" s="2" t="s">
        <v>52</v>
      </c>
      <c r="E17" s="2" t="s">
        <v>18</v>
      </c>
      <c r="F17" s="2" t="s">
        <v>34</v>
      </c>
      <c r="G17" s="2" t="s">
        <v>70</v>
      </c>
      <c r="H17" s="2">
        <v>1</v>
      </c>
      <c r="I17" s="2">
        <v>62291.44</v>
      </c>
      <c r="J17" s="2">
        <v>0</v>
      </c>
      <c r="K17" s="2">
        <v>62291.44</v>
      </c>
      <c r="L17" s="2">
        <v>45937.98</v>
      </c>
      <c r="M17" s="2">
        <v>16353.46</v>
      </c>
      <c r="N17" s="2" t="s">
        <v>29</v>
      </c>
      <c r="O17" s="2" t="s">
        <v>40</v>
      </c>
    </row>
    <row r="18" spans="1:15" x14ac:dyDescent="0.3">
      <c r="A18" s="2" t="s">
        <v>79</v>
      </c>
      <c r="B18" s="3">
        <v>45801</v>
      </c>
      <c r="C18" s="2" t="s">
        <v>37</v>
      </c>
      <c r="D18" s="2" t="s">
        <v>42</v>
      </c>
      <c r="E18" s="2" t="s">
        <v>69</v>
      </c>
      <c r="F18" s="2" t="s">
        <v>34</v>
      </c>
      <c r="G18" s="2" t="s">
        <v>80</v>
      </c>
      <c r="H18" s="2">
        <v>4</v>
      </c>
      <c r="I18" s="2">
        <v>4848.0600000000004</v>
      </c>
      <c r="J18" s="2">
        <v>0.05</v>
      </c>
      <c r="K18" s="2">
        <v>18422.650000000001</v>
      </c>
      <c r="L18" s="2">
        <v>15031.84</v>
      </c>
      <c r="M18" s="2">
        <v>3390.81</v>
      </c>
      <c r="N18" s="2" t="s">
        <v>58</v>
      </c>
      <c r="O18" s="2" t="s">
        <v>40</v>
      </c>
    </row>
    <row r="19" spans="1:15" x14ac:dyDescent="0.3">
      <c r="A19" s="2" t="s">
        <v>81</v>
      </c>
      <c r="B19" s="3">
        <v>45805</v>
      </c>
      <c r="C19" s="2" t="s">
        <v>16</v>
      </c>
      <c r="D19" s="2" t="s">
        <v>82</v>
      </c>
      <c r="E19" s="2" t="s">
        <v>65</v>
      </c>
      <c r="F19" s="2" t="s">
        <v>27</v>
      </c>
      <c r="G19" s="2" t="s">
        <v>50</v>
      </c>
      <c r="H19" s="2">
        <v>3</v>
      </c>
      <c r="I19" s="2">
        <v>28657.16</v>
      </c>
      <c r="J19" s="2">
        <v>0.08</v>
      </c>
      <c r="K19" s="2">
        <v>79093.75</v>
      </c>
      <c r="L19" s="2">
        <v>64404.480000000003</v>
      </c>
      <c r="M19" s="2">
        <v>14689.27</v>
      </c>
      <c r="N19" s="2" t="s">
        <v>29</v>
      </c>
      <c r="O19" s="2" t="s">
        <v>40</v>
      </c>
    </row>
    <row r="20" spans="1:15" x14ac:dyDescent="0.3">
      <c r="A20" s="2" t="s">
        <v>83</v>
      </c>
      <c r="B20" s="3">
        <v>45955</v>
      </c>
      <c r="C20" s="2" t="s">
        <v>54</v>
      </c>
      <c r="D20" s="2" t="s">
        <v>55</v>
      </c>
      <c r="E20" s="2" t="s">
        <v>26</v>
      </c>
      <c r="F20" s="2" t="s">
        <v>43</v>
      </c>
      <c r="G20" s="2" t="s">
        <v>84</v>
      </c>
      <c r="H20" s="2">
        <v>3</v>
      </c>
      <c r="I20" s="2">
        <v>40931.97</v>
      </c>
      <c r="J20" s="2">
        <v>0</v>
      </c>
      <c r="K20" s="2">
        <v>122795.9</v>
      </c>
      <c r="L20" s="2">
        <v>103385.12</v>
      </c>
      <c r="M20" s="2">
        <v>19410.78</v>
      </c>
      <c r="N20" s="2" t="s">
        <v>21</v>
      </c>
      <c r="O20" s="2" t="s">
        <v>40</v>
      </c>
    </row>
    <row r="21" spans="1:15" x14ac:dyDescent="0.3">
      <c r="A21" s="2" t="s">
        <v>85</v>
      </c>
      <c r="B21" s="3">
        <v>45817</v>
      </c>
      <c r="C21" s="2" t="s">
        <v>37</v>
      </c>
      <c r="D21" s="2" t="s">
        <v>42</v>
      </c>
      <c r="E21" s="2" t="s">
        <v>56</v>
      </c>
      <c r="F21" s="2" t="s">
        <v>43</v>
      </c>
      <c r="G21" s="2" t="s">
        <v>84</v>
      </c>
      <c r="H21" s="2">
        <v>2</v>
      </c>
      <c r="I21" s="2">
        <v>45334.82</v>
      </c>
      <c r="J21" s="2">
        <v>0.15</v>
      </c>
      <c r="K21" s="2">
        <v>77069.2</v>
      </c>
      <c r="L21" s="2">
        <v>58109.440000000002</v>
      </c>
      <c r="M21" s="2">
        <v>18959.759999999998</v>
      </c>
      <c r="N21" s="2" t="s">
        <v>29</v>
      </c>
      <c r="O21" s="2" t="s">
        <v>30</v>
      </c>
    </row>
    <row r="22" spans="1:15" x14ac:dyDescent="0.3">
      <c r="A22" s="2" t="s">
        <v>86</v>
      </c>
      <c r="B22" s="3">
        <v>45770</v>
      </c>
      <c r="C22" s="2" t="s">
        <v>37</v>
      </c>
      <c r="D22" s="2" t="s">
        <v>38</v>
      </c>
      <c r="E22" s="2" t="s">
        <v>26</v>
      </c>
      <c r="F22" s="2" t="s">
        <v>27</v>
      </c>
      <c r="G22" s="2" t="s">
        <v>50</v>
      </c>
      <c r="H22" s="2">
        <v>8</v>
      </c>
      <c r="I22" s="2">
        <v>29541.64</v>
      </c>
      <c r="J22" s="2">
        <v>0.1</v>
      </c>
      <c r="K22" s="2">
        <v>212699.8</v>
      </c>
      <c r="L22" s="2">
        <v>175312.03</v>
      </c>
      <c r="M22" s="2">
        <v>37387.769999999997</v>
      </c>
      <c r="N22" s="2" t="s">
        <v>21</v>
      </c>
      <c r="O22" s="2" t="s">
        <v>40</v>
      </c>
    </row>
    <row r="23" spans="1:15" x14ac:dyDescent="0.3">
      <c r="A23" s="2" t="s">
        <v>87</v>
      </c>
      <c r="B23" s="3">
        <v>45820</v>
      </c>
      <c r="C23" s="2" t="s">
        <v>63</v>
      </c>
      <c r="D23" s="2" t="s">
        <v>88</v>
      </c>
      <c r="E23" s="2" t="s">
        <v>74</v>
      </c>
      <c r="F23" s="2" t="s">
        <v>27</v>
      </c>
      <c r="G23" s="2" t="s">
        <v>89</v>
      </c>
      <c r="H23" s="2">
        <v>5</v>
      </c>
      <c r="I23" s="2">
        <v>30893.68</v>
      </c>
      <c r="J23" s="2">
        <v>0.03</v>
      </c>
      <c r="K23" s="2">
        <v>149834.32999999999</v>
      </c>
      <c r="L23" s="2">
        <v>110360.07</v>
      </c>
      <c r="M23" s="2">
        <v>39474.26</v>
      </c>
      <c r="N23" s="2" t="s">
        <v>29</v>
      </c>
      <c r="O23" s="2" t="s">
        <v>30</v>
      </c>
    </row>
    <row r="24" spans="1:15" x14ac:dyDescent="0.3">
      <c r="A24" s="2" t="s">
        <v>90</v>
      </c>
      <c r="B24" s="3">
        <v>45690</v>
      </c>
      <c r="C24" s="2" t="s">
        <v>37</v>
      </c>
      <c r="D24" s="2" t="s">
        <v>42</v>
      </c>
      <c r="E24" s="2" t="s">
        <v>56</v>
      </c>
      <c r="F24" s="2" t="s">
        <v>43</v>
      </c>
      <c r="G24" s="2" t="s">
        <v>91</v>
      </c>
      <c r="H24" s="2">
        <v>8</v>
      </c>
      <c r="I24" s="2">
        <v>49149.18</v>
      </c>
      <c r="J24" s="2">
        <v>0.1</v>
      </c>
      <c r="K24" s="2">
        <v>353874.1</v>
      </c>
      <c r="L24" s="2">
        <v>275252.86</v>
      </c>
      <c r="M24" s="2">
        <v>78621.240000000005</v>
      </c>
      <c r="N24" s="2" t="s">
        <v>29</v>
      </c>
      <c r="O24" s="2" t="s">
        <v>22</v>
      </c>
    </row>
    <row r="25" spans="1:15" x14ac:dyDescent="0.3">
      <c r="A25" s="2" t="s">
        <v>92</v>
      </c>
      <c r="B25" s="3">
        <v>45943</v>
      </c>
      <c r="C25" s="2" t="s">
        <v>16</v>
      </c>
      <c r="D25" s="2" t="s">
        <v>32</v>
      </c>
      <c r="E25" s="2" t="s">
        <v>74</v>
      </c>
      <c r="F25" s="2" t="s">
        <v>34</v>
      </c>
      <c r="G25" s="2" t="s">
        <v>80</v>
      </c>
      <c r="H25" s="2">
        <v>3</v>
      </c>
      <c r="I25" s="2">
        <v>4782.2700000000004</v>
      </c>
      <c r="J25" s="2">
        <v>0.08</v>
      </c>
      <c r="K25" s="2">
        <v>13199.07</v>
      </c>
      <c r="L25" s="2">
        <v>10701.21</v>
      </c>
      <c r="M25" s="2">
        <v>2497.86</v>
      </c>
      <c r="N25" s="2" t="s">
        <v>29</v>
      </c>
      <c r="O25" s="2" t="s">
        <v>30</v>
      </c>
    </row>
    <row r="26" spans="1:15" x14ac:dyDescent="0.3">
      <c r="A26" s="2" t="s">
        <v>93</v>
      </c>
      <c r="B26" s="3">
        <v>45703</v>
      </c>
      <c r="C26" s="2" t="s">
        <v>37</v>
      </c>
      <c r="D26" s="2" t="s">
        <v>68</v>
      </c>
      <c r="E26" s="2" t="s">
        <v>26</v>
      </c>
      <c r="F26" s="2" t="s">
        <v>34</v>
      </c>
      <c r="G26" s="2" t="s">
        <v>57</v>
      </c>
      <c r="H26" s="2">
        <v>8</v>
      </c>
      <c r="I26" s="2">
        <v>22512.06</v>
      </c>
      <c r="J26" s="2">
        <v>0.03</v>
      </c>
      <c r="K26" s="2">
        <v>174693.6</v>
      </c>
      <c r="L26" s="2">
        <v>147740.13</v>
      </c>
      <c r="M26" s="2">
        <v>26953.47</v>
      </c>
      <c r="N26" s="2" t="s">
        <v>58</v>
      </c>
      <c r="O26" s="2" t="s">
        <v>22</v>
      </c>
    </row>
    <row r="27" spans="1:15" x14ac:dyDescent="0.3">
      <c r="A27" s="2" t="s">
        <v>94</v>
      </c>
      <c r="B27" s="3">
        <v>45818</v>
      </c>
      <c r="C27" s="2" t="s">
        <v>63</v>
      </c>
      <c r="D27" s="2" t="s">
        <v>95</v>
      </c>
      <c r="E27" s="2" t="s">
        <v>26</v>
      </c>
      <c r="F27" s="2" t="s">
        <v>96</v>
      </c>
      <c r="G27" s="2" t="s">
        <v>80</v>
      </c>
      <c r="H27" s="2">
        <v>7</v>
      </c>
      <c r="I27" s="2">
        <v>4833.8100000000004</v>
      </c>
      <c r="J27" s="2">
        <v>0.1</v>
      </c>
      <c r="K27" s="2">
        <v>30452.98</v>
      </c>
      <c r="L27" s="2">
        <v>21032.89</v>
      </c>
      <c r="M27" s="2">
        <v>9420.09</v>
      </c>
      <c r="N27" s="2" t="s">
        <v>21</v>
      </c>
      <c r="O27" s="2" t="s">
        <v>59</v>
      </c>
    </row>
    <row r="28" spans="1:15" x14ac:dyDescent="0.3">
      <c r="A28" s="2" t="s">
        <v>97</v>
      </c>
      <c r="B28" s="3">
        <v>45930</v>
      </c>
      <c r="C28" s="2" t="s">
        <v>63</v>
      </c>
      <c r="D28" s="2" t="s">
        <v>64</v>
      </c>
      <c r="E28" s="2" t="s">
        <v>98</v>
      </c>
      <c r="F28" s="2" t="s">
        <v>19</v>
      </c>
      <c r="G28" s="2" t="s">
        <v>61</v>
      </c>
      <c r="H28" s="2">
        <v>8</v>
      </c>
      <c r="I28" s="2">
        <v>9246.4500000000007</v>
      </c>
      <c r="J28" s="2">
        <v>0.05</v>
      </c>
      <c r="K28" s="2">
        <v>70272.990000000005</v>
      </c>
      <c r="L28" s="2">
        <v>47855.86</v>
      </c>
      <c r="M28" s="2">
        <v>22417.13</v>
      </c>
      <c r="N28" s="2" t="s">
        <v>58</v>
      </c>
      <c r="O28" s="2" t="s">
        <v>30</v>
      </c>
    </row>
    <row r="29" spans="1:15" x14ac:dyDescent="0.3">
      <c r="A29" s="2" t="s">
        <v>99</v>
      </c>
      <c r="B29" s="3">
        <v>45970</v>
      </c>
      <c r="C29" s="2" t="s">
        <v>63</v>
      </c>
      <c r="D29" s="2" t="s">
        <v>88</v>
      </c>
      <c r="E29" s="2" t="s">
        <v>18</v>
      </c>
      <c r="F29" s="2" t="s">
        <v>100</v>
      </c>
      <c r="G29" s="2" t="s">
        <v>39</v>
      </c>
      <c r="H29" s="2">
        <v>3</v>
      </c>
      <c r="I29" s="2">
        <v>28829.79</v>
      </c>
      <c r="J29" s="2">
        <v>0.08</v>
      </c>
      <c r="K29" s="2">
        <v>79570.23</v>
      </c>
      <c r="L29" s="2">
        <v>50891.73</v>
      </c>
      <c r="M29" s="2">
        <v>28678.5</v>
      </c>
      <c r="N29" s="2" t="s">
        <v>29</v>
      </c>
      <c r="O29" s="2" t="s">
        <v>40</v>
      </c>
    </row>
    <row r="30" spans="1:15" x14ac:dyDescent="0.3">
      <c r="A30" s="2" t="s">
        <v>101</v>
      </c>
      <c r="B30" s="3">
        <v>45872</v>
      </c>
      <c r="C30" s="2" t="s">
        <v>63</v>
      </c>
      <c r="D30" s="2" t="s">
        <v>88</v>
      </c>
      <c r="E30" s="2" t="s">
        <v>74</v>
      </c>
      <c r="F30" s="2" t="s">
        <v>19</v>
      </c>
      <c r="G30" s="2" t="s">
        <v>102</v>
      </c>
      <c r="H30" s="2">
        <v>3</v>
      </c>
      <c r="I30" s="2">
        <v>243.52</v>
      </c>
      <c r="J30" s="2">
        <v>0.05</v>
      </c>
      <c r="K30" s="2">
        <v>694.03</v>
      </c>
      <c r="L30" s="2">
        <v>445.95</v>
      </c>
      <c r="M30" s="2">
        <v>248.08</v>
      </c>
      <c r="N30" s="2" t="s">
        <v>29</v>
      </c>
      <c r="O30" s="2" t="s">
        <v>22</v>
      </c>
    </row>
    <row r="31" spans="1:15" x14ac:dyDescent="0.3">
      <c r="A31" s="2" t="s">
        <v>103</v>
      </c>
      <c r="B31" s="3">
        <v>45711</v>
      </c>
      <c r="C31" s="2" t="s">
        <v>16</v>
      </c>
      <c r="D31" s="2" t="s">
        <v>32</v>
      </c>
      <c r="E31" s="2" t="s">
        <v>74</v>
      </c>
      <c r="F31" s="2" t="s">
        <v>34</v>
      </c>
      <c r="G31" s="2" t="s">
        <v>39</v>
      </c>
      <c r="H31" s="2">
        <v>2</v>
      </c>
      <c r="I31" s="2">
        <v>27746.400000000001</v>
      </c>
      <c r="J31" s="2">
        <v>0</v>
      </c>
      <c r="K31" s="2">
        <v>55492.800000000003</v>
      </c>
      <c r="L31" s="2">
        <v>45361.15</v>
      </c>
      <c r="M31" s="2">
        <v>10131.65</v>
      </c>
      <c r="N31" s="2" t="s">
        <v>29</v>
      </c>
      <c r="O31" s="2" t="s">
        <v>45</v>
      </c>
    </row>
    <row r="32" spans="1:15" x14ac:dyDescent="0.3">
      <c r="A32" s="2" t="s">
        <v>104</v>
      </c>
      <c r="B32" s="3">
        <v>45704</v>
      </c>
      <c r="C32" s="2" t="s">
        <v>16</v>
      </c>
      <c r="D32" s="2" t="s">
        <v>17</v>
      </c>
      <c r="E32" s="2" t="s">
        <v>49</v>
      </c>
      <c r="F32" s="2" t="s">
        <v>34</v>
      </c>
      <c r="G32" s="2" t="s">
        <v>80</v>
      </c>
      <c r="H32" s="2">
        <v>7</v>
      </c>
      <c r="I32" s="2">
        <v>4201.45</v>
      </c>
      <c r="J32" s="2">
        <v>0</v>
      </c>
      <c r="K32" s="2">
        <v>29410.15</v>
      </c>
      <c r="L32" s="2">
        <v>21984.83</v>
      </c>
      <c r="M32" s="2">
        <v>7425.32</v>
      </c>
      <c r="N32" s="2" t="s">
        <v>29</v>
      </c>
      <c r="O32" s="2" t="s">
        <v>40</v>
      </c>
    </row>
    <row r="33" spans="1:15" x14ac:dyDescent="0.3">
      <c r="A33" s="2" t="s">
        <v>105</v>
      </c>
      <c r="B33" s="3">
        <v>46003</v>
      </c>
      <c r="C33" s="2" t="s">
        <v>37</v>
      </c>
      <c r="D33" s="2" t="s">
        <v>25</v>
      </c>
      <c r="E33" s="2" t="s">
        <v>49</v>
      </c>
      <c r="F33" s="2" t="s">
        <v>19</v>
      </c>
      <c r="G33" s="2" t="s">
        <v>106</v>
      </c>
      <c r="H33" s="2">
        <v>1</v>
      </c>
      <c r="I33" s="2">
        <v>13773.36</v>
      </c>
      <c r="J33" s="2">
        <v>0.05</v>
      </c>
      <c r="K33" s="2">
        <v>13084.69</v>
      </c>
      <c r="L33" s="2">
        <v>10449.040000000001</v>
      </c>
      <c r="M33" s="2">
        <v>2635.65</v>
      </c>
      <c r="N33" s="2" t="s">
        <v>21</v>
      </c>
      <c r="O33" s="2" t="s">
        <v>45</v>
      </c>
    </row>
    <row r="34" spans="1:15" x14ac:dyDescent="0.3">
      <c r="A34" s="2" t="s">
        <v>107</v>
      </c>
      <c r="B34" s="3">
        <v>45775</v>
      </c>
      <c r="C34" s="2" t="s">
        <v>37</v>
      </c>
      <c r="D34" s="2" t="s">
        <v>38</v>
      </c>
      <c r="E34" s="2" t="s">
        <v>56</v>
      </c>
      <c r="F34" s="2" t="s">
        <v>19</v>
      </c>
      <c r="G34" s="2" t="s">
        <v>108</v>
      </c>
      <c r="H34" s="2">
        <v>2</v>
      </c>
      <c r="I34" s="2">
        <v>15996.51</v>
      </c>
      <c r="J34" s="2">
        <v>0.05</v>
      </c>
      <c r="K34" s="2">
        <v>30393.37</v>
      </c>
      <c r="L34" s="2">
        <v>20593</v>
      </c>
      <c r="M34" s="2">
        <v>9800.3700000000008</v>
      </c>
      <c r="N34" s="2" t="s">
        <v>58</v>
      </c>
      <c r="O34" s="2" t="s">
        <v>45</v>
      </c>
    </row>
    <row r="35" spans="1:15" x14ac:dyDescent="0.3">
      <c r="A35" s="2" t="s">
        <v>109</v>
      </c>
      <c r="B35" s="3">
        <v>45743</v>
      </c>
      <c r="C35" s="2" t="s">
        <v>37</v>
      </c>
      <c r="D35" s="2" t="s">
        <v>42</v>
      </c>
      <c r="E35" s="2" t="s">
        <v>65</v>
      </c>
      <c r="F35" s="2" t="s">
        <v>19</v>
      </c>
      <c r="G35" s="2" t="s">
        <v>20</v>
      </c>
      <c r="H35" s="2">
        <v>6</v>
      </c>
      <c r="I35" s="2">
        <v>725.76</v>
      </c>
      <c r="J35" s="2">
        <v>0</v>
      </c>
      <c r="K35" s="2">
        <v>4354.59</v>
      </c>
      <c r="L35" s="2">
        <v>3291.41</v>
      </c>
      <c r="M35" s="2">
        <v>1063.18</v>
      </c>
      <c r="N35" s="2" t="s">
        <v>21</v>
      </c>
      <c r="O35" s="2" t="s">
        <v>40</v>
      </c>
    </row>
    <row r="36" spans="1:15" x14ac:dyDescent="0.3">
      <c r="A36" s="2" t="s">
        <v>110</v>
      </c>
      <c r="B36" s="3">
        <v>45696</v>
      </c>
      <c r="C36" s="2" t="s">
        <v>37</v>
      </c>
      <c r="D36" s="2" t="s">
        <v>68</v>
      </c>
      <c r="E36" s="2" t="s">
        <v>74</v>
      </c>
      <c r="F36" s="2" t="s">
        <v>27</v>
      </c>
      <c r="G36" s="2" t="s">
        <v>50</v>
      </c>
      <c r="H36" s="2">
        <v>5</v>
      </c>
      <c r="I36" s="2">
        <v>29876.03</v>
      </c>
      <c r="J36" s="2">
        <v>0</v>
      </c>
      <c r="K36" s="2">
        <v>149380.17000000001</v>
      </c>
      <c r="L36" s="2">
        <v>110240.74</v>
      </c>
      <c r="M36" s="2">
        <v>39139.43</v>
      </c>
      <c r="N36" s="2" t="s">
        <v>21</v>
      </c>
      <c r="O36" s="2" t="s">
        <v>45</v>
      </c>
    </row>
    <row r="37" spans="1:15" x14ac:dyDescent="0.3">
      <c r="A37" s="2" t="s">
        <v>111</v>
      </c>
      <c r="B37" s="3">
        <v>45914</v>
      </c>
      <c r="C37" s="2" t="s">
        <v>16</v>
      </c>
      <c r="D37" s="2" t="s">
        <v>52</v>
      </c>
      <c r="E37" s="2" t="s">
        <v>74</v>
      </c>
      <c r="F37" s="2" t="s">
        <v>19</v>
      </c>
      <c r="G37" s="2" t="s">
        <v>61</v>
      </c>
      <c r="H37" s="2">
        <v>4</v>
      </c>
      <c r="I37" s="2">
        <v>8819.44</v>
      </c>
      <c r="J37" s="2">
        <v>0.08</v>
      </c>
      <c r="K37" s="2">
        <v>32455.55</v>
      </c>
      <c r="L37" s="2">
        <v>24041.54</v>
      </c>
      <c r="M37" s="2">
        <v>8414.01</v>
      </c>
      <c r="N37" s="2" t="s">
        <v>29</v>
      </c>
      <c r="O37" s="2" t="s">
        <v>45</v>
      </c>
    </row>
    <row r="38" spans="1:15" x14ac:dyDescent="0.3">
      <c r="A38" s="2" t="s">
        <v>112</v>
      </c>
      <c r="B38" s="3">
        <v>45835</v>
      </c>
      <c r="C38" s="2" t="s">
        <v>113</v>
      </c>
      <c r="D38" s="2" t="s">
        <v>42</v>
      </c>
      <c r="E38" s="2" t="s">
        <v>26</v>
      </c>
      <c r="F38" s="2" t="s">
        <v>19</v>
      </c>
      <c r="G38" s="2" t="s">
        <v>108</v>
      </c>
      <c r="H38" s="2">
        <v>4</v>
      </c>
      <c r="I38" s="2">
        <v>15205.86</v>
      </c>
      <c r="J38" s="2">
        <v>0.1</v>
      </c>
      <c r="K38" s="2">
        <v>54741.1</v>
      </c>
      <c r="L38" s="2">
        <v>41499.980000000003</v>
      </c>
      <c r="M38" s="2">
        <v>13241.12</v>
      </c>
      <c r="N38" s="2" t="s">
        <v>29</v>
      </c>
      <c r="O38" s="2" t="s">
        <v>30</v>
      </c>
    </row>
    <row r="39" spans="1:15" x14ac:dyDescent="0.3">
      <c r="A39" s="2" t="s">
        <v>114</v>
      </c>
      <c r="B39" s="3">
        <v>45669</v>
      </c>
      <c r="C39" s="2" t="s">
        <v>16</v>
      </c>
      <c r="D39" s="2" t="s">
        <v>32</v>
      </c>
      <c r="E39" s="2" t="s">
        <v>69</v>
      </c>
      <c r="F39" s="2" t="s">
        <v>27</v>
      </c>
      <c r="G39" s="2" t="s">
        <v>66</v>
      </c>
      <c r="H39" s="2">
        <v>1</v>
      </c>
      <c r="I39" s="2">
        <v>11811.7</v>
      </c>
      <c r="J39" s="2">
        <v>0.1</v>
      </c>
      <c r="K39" s="2">
        <v>10630.53</v>
      </c>
      <c r="L39" s="2">
        <v>7090.46</v>
      </c>
      <c r="M39" s="2">
        <v>3540.07</v>
      </c>
      <c r="N39" s="2" t="s">
        <v>21</v>
      </c>
      <c r="O39" s="2" t="s">
        <v>59</v>
      </c>
    </row>
    <row r="40" spans="1:15" x14ac:dyDescent="0.3">
      <c r="A40" s="2" t="s">
        <v>115</v>
      </c>
      <c r="B40" s="2"/>
      <c r="C40" s="2" t="s">
        <v>37</v>
      </c>
      <c r="D40" s="2" t="s">
        <v>25</v>
      </c>
      <c r="E40" s="2" t="s">
        <v>69</v>
      </c>
      <c r="F40" s="2" t="s">
        <v>34</v>
      </c>
      <c r="G40" s="2" t="s">
        <v>39</v>
      </c>
      <c r="H40" s="2">
        <v>8</v>
      </c>
      <c r="I40" s="2">
        <v>29449.9</v>
      </c>
      <c r="J40" s="2">
        <v>0.08</v>
      </c>
      <c r="K40" s="2">
        <v>216751.29</v>
      </c>
      <c r="L40" s="2">
        <v>152105.20000000001</v>
      </c>
      <c r="M40" s="2">
        <v>64646.09</v>
      </c>
      <c r="N40" s="2" t="s">
        <v>21</v>
      </c>
      <c r="O40" s="2" t="s">
        <v>40</v>
      </c>
    </row>
    <row r="41" spans="1:15" x14ac:dyDescent="0.3">
      <c r="A41" s="2" t="s">
        <v>116</v>
      </c>
      <c r="B41" s="3">
        <v>45849</v>
      </c>
      <c r="C41" s="2" t="s">
        <v>63</v>
      </c>
      <c r="D41" s="2" t="s">
        <v>117</v>
      </c>
      <c r="E41" s="2" t="s">
        <v>65</v>
      </c>
      <c r="F41" s="2" t="s">
        <v>27</v>
      </c>
      <c r="G41" s="2" t="s">
        <v>50</v>
      </c>
      <c r="H41" s="2">
        <v>1</v>
      </c>
      <c r="I41" s="2">
        <v>31456.71</v>
      </c>
      <c r="J41" s="2">
        <v>0.03</v>
      </c>
      <c r="K41" s="2">
        <v>30513.01</v>
      </c>
      <c r="L41" s="2">
        <v>20217.48</v>
      </c>
      <c r="M41" s="2">
        <v>10295.530000000001</v>
      </c>
      <c r="N41" s="2" t="s">
        <v>29</v>
      </c>
      <c r="O41" s="2" t="s">
        <v>22</v>
      </c>
    </row>
    <row r="42" spans="1:15" x14ac:dyDescent="0.3">
      <c r="A42" s="2" t="s">
        <v>118</v>
      </c>
      <c r="B42" s="3">
        <v>46018</v>
      </c>
      <c r="C42" s="2" t="s">
        <v>16</v>
      </c>
      <c r="D42" s="2" t="s">
        <v>52</v>
      </c>
      <c r="E42" s="2" t="s">
        <v>56</v>
      </c>
      <c r="F42" s="2" t="s">
        <v>19</v>
      </c>
      <c r="G42" s="2" t="s">
        <v>20</v>
      </c>
      <c r="H42" s="2">
        <v>4</v>
      </c>
      <c r="I42" s="2">
        <v>692.05</v>
      </c>
      <c r="J42" s="2">
        <v>0.08</v>
      </c>
      <c r="K42" s="2">
        <v>2546.73</v>
      </c>
      <c r="L42" s="2">
        <v>2040.16</v>
      </c>
      <c r="M42" s="2">
        <v>506.57</v>
      </c>
      <c r="N42" s="2" t="s">
        <v>21</v>
      </c>
      <c r="O42" s="2" t="s">
        <v>30</v>
      </c>
    </row>
    <row r="43" spans="1:15" x14ac:dyDescent="0.3">
      <c r="A43" s="2" t="s">
        <v>119</v>
      </c>
      <c r="B43" s="3">
        <v>45733</v>
      </c>
      <c r="C43" s="2" t="s">
        <v>16</v>
      </c>
      <c r="D43" s="2" t="s">
        <v>82</v>
      </c>
      <c r="E43" s="2" t="s">
        <v>56</v>
      </c>
      <c r="F43" s="2" t="s">
        <v>34</v>
      </c>
      <c r="G43" s="2" t="s">
        <v>57</v>
      </c>
      <c r="H43" s="2">
        <v>3</v>
      </c>
      <c r="I43" s="2">
        <v>21609.99</v>
      </c>
      <c r="J43" s="2">
        <v>0</v>
      </c>
      <c r="K43" s="2">
        <v>64829.97</v>
      </c>
      <c r="L43" s="2">
        <v>54281.59</v>
      </c>
      <c r="M43" s="2">
        <v>10548.38</v>
      </c>
      <c r="N43" s="2" t="s">
        <v>21</v>
      </c>
      <c r="O43" s="2" t="s">
        <v>40</v>
      </c>
    </row>
    <row r="44" spans="1:15" x14ac:dyDescent="0.3">
      <c r="A44" s="2" t="s">
        <v>120</v>
      </c>
      <c r="B44" s="3">
        <v>45710</v>
      </c>
      <c r="C44" s="2" t="s">
        <v>54</v>
      </c>
      <c r="D44" s="2" t="s">
        <v>55</v>
      </c>
      <c r="E44" s="2" t="s">
        <v>49</v>
      </c>
      <c r="F44" s="2" t="s">
        <v>43</v>
      </c>
      <c r="G44" s="2" t="s">
        <v>121</v>
      </c>
      <c r="H44" s="2">
        <v>5</v>
      </c>
      <c r="I44" s="2">
        <v>4834.57</v>
      </c>
      <c r="J44" s="2">
        <v>0.03</v>
      </c>
      <c r="K44" s="2">
        <v>23447.66</v>
      </c>
      <c r="L44" s="2">
        <v>18322.11</v>
      </c>
      <c r="M44" s="2">
        <v>5125.55</v>
      </c>
      <c r="N44" s="2" t="s">
        <v>58</v>
      </c>
      <c r="O44" s="2" t="s">
        <v>30</v>
      </c>
    </row>
    <row r="45" spans="1:15" x14ac:dyDescent="0.3">
      <c r="A45" s="2" t="s">
        <v>122</v>
      </c>
      <c r="B45" s="3">
        <v>45896</v>
      </c>
      <c r="C45" s="2" t="s">
        <v>37</v>
      </c>
      <c r="D45" s="2" t="s">
        <v>68</v>
      </c>
      <c r="E45" s="2" t="s">
        <v>33</v>
      </c>
      <c r="F45" s="2" t="s">
        <v>27</v>
      </c>
      <c r="G45" s="2" t="s">
        <v>28</v>
      </c>
      <c r="H45" s="2">
        <v>5</v>
      </c>
      <c r="I45" s="2">
        <v>29061.919999999998</v>
      </c>
      <c r="J45" s="2">
        <v>0.05</v>
      </c>
      <c r="K45" s="2">
        <v>138044.12</v>
      </c>
      <c r="L45" s="2">
        <v>108971.97</v>
      </c>
      <c r="M45" s="2">
        <v>29072.15</v>
      </c>
      <c r="N45" s="2" t="s">
        <v>21</v>
      </c>
      <c r="O45" s="2" t="s">
        <v>59</v>
      </c>
    </row>
    <row r="46" spans="1:15" x14ac:dyDescent="0.3">
      <c r="A46" s="2" t="s">
        <v>123</v>
      </c>
      <c r="B46" s="3">
        <v>45662</v>
      </c>
      <c r="C46" s="2" t="s">
        <v>54</v>
      </c>
      <c r="D46" s="2" t="s">
        <v>124</v>
      </c>
      <c r="E46" s="2" t="s">
        <v>65</v>
      </c>
      <c r="F46" s="2" t="s">
        <v>27</v>
      </c>
      <c r="G46" s="2" t="s">
        <v>125</v>
      </c>
      <c r="H46" s="2">
        <v>8</v>
      </c>
      <c r="I46" s="2">
        <v>7918.96</v>
      </c>
      <c r="J46" s="2">
        <v>0.1</v>
      </c>
      <c r="K46" s="2">
        <v>57016.5</v>
      </c>
      <c r="L46" s="2">
        <v>45014.42</v>
      </c>
      <c r="M46" s="2">
        <v>12002.08</v>
      </c>
      <c r="N46" s="2" t="s">
        <v>29</v>
      </c>
      <c r="O46" s="2" t="s">
        <v>22</v>
      </c>
    </row>
    <row r="47" spans="1:15" x14ac:dyDescent="0.3">
      <c r="A47" s="2" t="s">
        <v>126</v>
      </c>
      <c r="B47" s="3">
        <v>45909</v>
      </c>
      <c r="C47" s="2" t="s">
        <v>63</v>
      </c>
      <c r="D47" s="2" t="s">
        <v>95</v>
      </c>
      <c r="E47" s="2" t="s">
        <v>56</v>
      </c>
      <c r="F47" s="2" t="s">
        <v>27</v>
      </c>
      <c r="G47" s="2" t="s">
        <v>89</v>
      </c>
      <c r="H47" s="2">
        <v>7</v>
      </c>
      <c r="I47" s="2">
        <v>34087.39</v>
      </c>
      <c r="J47" s="2">
        <v>0.08</v>
      </c>
      <c r="K47" s="2">
        <v>219522.8</v>
      </c>
      <c r="L47" s="2">
        <v>154555.54999999999</v>
      </c>
      <c r="M47" s="2">
        <v>64967.25</v>
      </c>
      <c r="N47" s="2" t="s">
        <v>21</v>
      </c>
      <c r="O47" s="2" t="s">
        <v>45</v>
      </c>
    </row>
    <row r="48" spans="1:15" x14ac:dyDescent="0.3">
      <c r="A48" s="2" t="s">
        <v>127</v>
      </c>
      <c r="B48" s="3">
        <v>45783</v>
      </c>
      <c r="C48" s="2" t="s">
        <v>16</v>
      </c>
      <c r="D48" s="2" t="s">
        <v>32</v>
      </c>
      <c r="E48" s="2" t="s">
        <v>69</v>
      </c>
      <c r="F48" s="2" t="s">
        <v>34</v>
      </c>
      <c r="G48" s="2" t="s">
        <v>57</v>
      </c>
      <c r="H48" s="2">
        <v>7</v>
      </c>
      <c r="I48" s="2">
        <v>21769.27</v>
      </c>
      <c r="J48" s="2">
        <v>0.03</v>
      </c>
      <c r="K48" s="2">
        <v>147813.35</v>
      </c>
      <c r="L48" s="2">
        <v>106018.9</v>
      </c>
      <c r="M48" s="2">
        <v>41794.449999999997</v>
      </c>
      <c r="N48" s="2" t="s">
        <v>21</v>
      </c>
      <c r="O48" s="2" t="s">
        <v>40</v>
      </c>
    </row>
    <row r="49" spans="1:15" x14ac:dyDescent="0.3">
      <c r="A49" s="2" t="s">
        <v>128</v>
      </c>
      <c r="B49" s="3">
        <v>45969</v>
      </c>
      <c r="C49" s="2" t="s">
        <v>63</v>
      </c>
      <c r="D49" s="2" t="s">
        <v>64</v>
      </c>
      <c r="E49" s="2" t="s">
        <v>56</v>
      </c>
      <c r="F49" s="2" t="s">
        <v>19</v>
      </c>
      <c r="G49" s="2" t="s">
        <v>106</v>
      </c>
      <c r="H49" s="2">
        <v>5</v>
      </c>
      <c r="I49" s="2">
        <v>13412.01</v>
      </c>
      <c r="J49" s="2">
        <v>0.05</v>
      </c>
      <c r="K49" s="2">
        <v>63707.07</v>
      </c>
      <c r="L49" s="2">
        <v>46802.5</v>
      </c>
      <c r="M49" s="2">
        <v>16904.57</v>
      </c>
      <c r="N49" s="2" t="s">
        <v>29</v>
      </c>
      <c r="O49" s="2" t="s">
        <v>45</v>
      </c>
    </row>
    <row r="50" spans="1:15" x14ac:dyDescent="0.3">
      <c r="A50" s="2" t="s">
        <v>129</v>
      </c>
      <c r="B50" s="3">
        <v>45886</v>
      </c>
      <c r="C50" s="2" t="s">
        <v>54</v>
      </c>
      <c r="D50" s="2" t="s">
        <v>55</v>
      </c>
      <c r="E50" s="2" t="s">
        <v>65</v>
      </c>
      <c r="F50" s="2" t="s">
        <v>27</v>
      </c>
      <c r="G50" s="2" t="s">
        <v>125</v>
      </c>
      <c r="H50" s="2">
        <v>7</v>
      </c>
      <c r="I50" s="2">
        <v>9031.9500000000007</v>
      </c>
      <c r="J50" s="2">
        <v>0.05</v>
      </c>
      <c r="K50" s="2">
        <v>60062.5</v>
      </c>
      <c r="L50" s="2">
        <v>51552.34</v>
      </c>
      <c r="M50" s="2">
        <v>8510.16</v>
      </c>
      <c r="N50" s="2" t="s">
        <v>21</v>
      </c>
      <c r="O50" s="2" t="s">
        <v>22</v>
      </c>
    </row>
    <row r="51" spans="1:15" x14ac:dyDescent="0.3">
      <c r="A51" s="2" t="s">
        <v>130</v>
      </c>
      <c r="B51" s="3">
        <v>45669</v>
      </c>
      <c r="C51" s="2" t="s">
        <v>54</v>
      </c>
      <c r="D51" s="2" t="s">
        <v>48</v>
      </c>
      <c r="E51" s="2" t="s">
        <v>18</v>
      </c>
      <c r="F51" s="2" t="s">
        <v>19</v>
      </c>
      <c r="G51" s="2" t="s">
        <v>108</v>
      </c>
      <c r="H51" s="2">
        <v>5</v>
      </c>
      <c r="I51" s="2">
        <v>15472.62</v>
      </c>
      <c r="J51" s="2">
        <v>0.05</v>
      </c>
      <c r="K51" s="2" t="s">
        <v>131</v>
      </c>
      <c r="L51" s="2">
        <v>58568.43</v>
      </c>
      <c r="M51" s="2">
        <v>14926.52</v>
      </c>
      <c r="N51" s="2" t="s">
        <v>58</v>
      </c>
      <c r="O51" s="2" t="s">
        <v>40</v>
      </c>
    </row>
    <row r="52" spans="1:15" x14ac:dyDescent="0.3">
      <c r="A52" s="2" t="s">
        <v>132</v>
      </c>
      <c r="B52" s="3">
        <v>46014</v>
      </c>
      <c r="C52" s="2" t="s">
        <v>37</v>
      </c>
      <c r="D52" s="2" t="s">
        <v>68</v>
      </c>
      <c r="E52" s="2" t="s">
        <v>26</v>
      </c>
      <c r="F52" s="2" t="s">
        <v>34</v>
      </c>
      <c r="G52" s="2" t="s">
        <v>35</v>
      </c>
      <c r="H52" s="2">
        <v>2</v>
      </c>
      <c r="I52" s="2">
        <v>17678.21</v>
      </c>
      <c r="J52" s="2">
        <v>0.03</v>
      </c>
      <c r="K52" s="2">
        <v>34295.730000000003</v>
      </c>
      <c r="L52" s="2">
        <v>23452.28</v>
      </c>
      <c r="M52" s="2">
        <v>10843.45</v>
      </c>
      <c r="N52" s="2" t="s">
        <v>58</v>
      </c>
      <c r="O52" s="2" t="s">
        <v>22</v>
      </c>
    </row>
    <row r="53" spans="1:15" x14ac:dyDescent="0.3">
      <c r="A53" s="2" t="s">
        <v>133</v>
      </c>
      <c r="B53" s="3">
        <v>45910</v>
      </c>
      <c r="C53" s="2" t="s">
        <v>63</v>
      </c>
      <c r="D53" s="2" t="s">
        <v>95</v>
      </c>
      <c r="E53" s="2" t="s">
        <v>56</v>
      </c>
      <c r="F53" s="2" t="s">
        <v>34</v>
      </c>
      <c r="G53" s="2" t="s">
        <v>35</v>
      </c>
      <c r="H53" s="2">
        <v>5</v>
      </c>
      <c r="I53" s="2">
        <v>18532.03</v>
      </c>
      <c r="J53" s="2">
        <v>0.03</v>
      </c>
      <c r="K53" s="2">
        <v>89880.33</v>
      </c>
      <c r="L53" s="2">
        <v>75375.67</v>
      </c>
      <c r="M53" s="2">
        <v>14504.66</v>
      </c>
      <c r="N53" s="2" t="s">
        <v>58</v>
      </c>
      <c r="O53" s="2" t="s">
        <v>22</v>
      </c>
    </row>
    <row r="54" spans="1:15" x14ac:dyDescent="0.3">
      <c r="A54" s="2" t="s">
        <v>134</v>
      </c>
      <c r="B54" s="3">
        <v>45722</v>
      </c>
      <c r="C54" s="2" t="s">
        <v>63</v>
      </c>
      <c r="D54" s="2" t="s">
        <v>64</v>
      </c>
      <c r="E54" s="2" t="s">
        <v>56</v>
      </c>
      <c r="F54" s="2" t="s">
        <v>43</v>
      </c>
      <c r="G54" s="2" t="s">
        <v>75</v>
      </c>
      <c r="H54" s="2">
        <v>3</v>
      </c>
      <c r="I54" s="2">
        <v>33380.46</v>
      </c>
      <c r="J54" s="2">
        <v>0</v>
      </c>
      <c r="K54" s="2">
        <v>100141.38</v>
      </c>
      <c r="L54" s="2">
        <v>71135.55</v>
      </c>
      <c r="M54" s="2">
        <v>29005.83</v>
      </c>
      <c r="N54" s="2" t="s">
        <v>29</v>
      </c>
      <c r="O54" s="2" t="s">
        <v>30</v>
      </c>
    </row>
    <row r="55" spans="1:15" x14ac:dyDescent="0.3">
      <c r="A55" s="2" t="s">
        <v>135</v>
      </c>
      <c r="B55" s="3">
        <v>45968</v>
      </c>
      <c r="C55" s="2" t="s">
        <v>16</v>
      </c>
      <c r="D55" s="2" t="s">
        <v>52</v>
      </c>
      <c r="E55" s="2" t="s">
        <v>18</v>
      </c>
      <c r="F55" s="2" t="s">
        <v>43</v>
      </c>
      <c r="G55" s="2" t="s">
        <v>44</v>
      </c>
      <c r="H55" s="2">
        <v>3</v>
      </c>
      <c r="I55" s="2">
        <v>12132.64</v>
      </c>
      <c r="J55" s="2">
        <v>0</v>
      </c>
      <c r="K55" s="2">
        <v>36397.910000000003</v>
      </c>
      <c r="L55" s="2">
        <v>22888.36</v>
      </c>
      <c r="M55" s="2">
        <v>13509.55</v>
      </c>
      <c r="N55" s="2" t="s">
        <v>58</v>
      </c>
      <c r="O55" s="2" t="s">
        <v>30</v>
      </c>
    </row>
    <row r="56" spans="1:15" x14ac:dyDescent="0.3">
      <c r="A56" s="2" t="s">
        <v>136</v>
      </c>
      <c r="B56" s="2"/>
      <c r="C56" s="2" t="s">
        <v>16</v>
      </c>
      <c r="D56" s="2" t="s">
        <v>17</v>
      </c>
      <c r="E56" s="2" t="s">
        <v>74</v>
      </c>
      <c r="F56" s="2" t="s">
        <v>27</v>
      </c>
      <c r="G56" s="2" t="s">
        <v>125</v>
      </c>
      <c r="H56" s="2">
        <v>5</v>
      </c>
      <c r="I56" s="2">
        <v>9104.8799999999992</v>
      </c>
      <c r="J56" s="2">
        <v>0.1</v>
      </c>
      <c r="K56" s="2">
        <v>40971.97</v>
      </c>
      <c r="L56" s="2">
        <v>27834.86</v>
      </c>
      <c r="M56" s="2">
        <v>13137.11</v>
      </c>
      <c r="N56" s="2" t="s">
        <v>21</v>
      </c>
      <c r="O56" s="2" t="s">
        <v>30</v>
      </c>
    </row>
    <row r="57" spans="1:15" x14ac:dyDescent="0.3">
      <c r="A57" s="2" t="s">
        <v>137</v>
      </c>
      <c r="B57" s="3">
        <v>45811</v>
      </c>
      <c r="C57" s="2" t="s">
        <v>54</v>
      </c>
      <c r="D57" s="2" t="s">
        <v>124</v>
      </c>
      <c r="E57" s="2" t="s">
        <v>49</v>
      </c>
      <c r="F57" s="2" t="s">
        <v>34</v>
      </c>
      <c r="G57" s="2" t="s">
        <v>70</v>
      </c>
      <c r="H57" s="2">
        <v>8</v>
      </c>
      <c r="I57" s="2">
        <v>66228.53</v>
      </c>
      <c r="J57" s="2">
        <v>0.05</v>
      </c>
      <c r="K57" s="2">
        <v>503336.86</v>
      </c>
      <c r="L57" s="2">
        <v>325786.71000000002</v>
      </c>
      <c r="M57" s="2">
        <v>177550.15</v>
      </c>
      <c r="N57" s="2" t="s">
        <v>29</v>
      </c>
      <c r="O57" s="2" t="s">
        <v>22</v>
      </c>
    </row>
    <row r="58" spans="1:15" x14ac:dyDescent="0.3">
      <c r="A58" s="2" t="s">
        <v>138</v>
      </c>
      <c r="B58" s="3">
        <v>45960</v>
      </c>
      <c r="C58" s="2" t="s">
        <v>16</v>
      </c>
      <c r="D58" s="2" t="s">
        <v>82</v>
      </c>
      <c r="E58" s="2" t="s">
        <v>56</v>
      </c>
      <c r="F58" s="2" t="s">
        <v>43</v>
      </c>
      <c r="G58" s="2" t="s">
        <v>121</v>
      </c>
      <c r="H58" s="2">
        <v>6</v>
      </c>
      <c r="I58" s="2">
        <v>5301.32</v>
      </c>
      <c r="J58" s="2">
        <v>0.05</v>
      </c>
      <c r="K58" s="2">
        <v>30217.54</v>
      </c>
      <c r="L58" s="2">
        <v>19706.78</v>
      </c>
      <c r="M58" s="2">
        <v>10510.76</v>
      </c>
      <c r="N58" s="2" t="s">
        <v>29</v>
      </c>
      <c r="O58" s="2" t="s">
        <v>45</v>
      </c>
    </row>
    <row r="59" spans="1:15" x14ac:dyDescent="0.3">
      <c r="A59" s="2" t="s">
        <v>139</v>
      </c>
      <c r="B59" s="3">
        <v>46004</v>
      </c>
      <c r="C59" s="2" t="s">
        <v>63</v>
      </c>
      <c r="D59" s="2" t="s">
        <v>117</v>
      </c>
      <c r="E59" s="2" t="s">
        <v>69</v>
      </c>
      <c r="F59" s="2" t="s">
        <v>34</v>
      </c>
      <c r="G59" s="2" t="s">
        <v>35</v>
      </c>
      <c r="H59" s="2">
        <v>2</v>
      </c>
      <c r="I59" s="2">
        <v>17569.689999999999</v>
      </c>
      <c r="J59" s="2">
        <v>0.08</v>
      </c>
      <c r="K59" s="2">
        <v>32328.23</v>
      </c>
      <c r="L59" s="2">
        <v>23086.84</v>
      </c>
      <c r="M59" s="2">
        <v>9241.39</v>
      </c>
      <c r="N59" s="2" t="s">
        <v>21</v>
      </c>
      <c r="O59" s="2" t="s">
        <v>59</v>
      </c>
    </row>
    <row r="60" spans="1:15" x14ac:dyDescent="0.3">
      <c r="A60" s="2" t="s">
        <v>140</v>
      </c>
      <c r="B60" s="3">
        <v>45795</v>
      </c>
      <c r="C60" s="2" t="s">
        <v>16</v>
      </c>
      <c r="D60" s="2" t="s">
        <v>52</v>
      </c>
      <c r="E60" s="2" t="s">
        <v>56</v>
      </c>
      <c r="F60" s="2" t="s">
        <v>19</v>
      </c>
      <c r="G60" s="2" t="s">
        <v>102</v>
      </c>
      <c r="H60" s="2">
        <v>6</v>
      </c>
      <c r="I60" s="2">
        <v>254.88</v>
      </c>
      <c r="J60" s="2">
        <v>0.1</v>
      </c>
      <c r="K60" s="2">
        <v>1376.37</v>
      </c>
      <c r="L60" s="2">
        <v>1167</v>
      </c>
      <c r="M60" s="2">
        <v>209.37</v>
      </c>
      <c r="N60" s="2" t="s">
        <v>58</v>
      </c>
      <c r="O60" s="2" t="s">
        <v>59</v>
      </c>
    </row>
    <row r="61" spans="1:15" x14ac:dyDescent="0.3">
      <c r="A61" s="2" t="s">
        <v>141</v>
      </c>
      <c r="B61" s="3">
        <v>45768</v>
      </c>
      <c r="C61" s="2" t="s">
        <v>63</v>
      </c>
      <c r="D61" s="2" t="s">
        <v>88</v>
      </c>
      <c r="E61" s="2" t="s">
        <v>26</v>
      </c>
      <c r="F61" s="2" t="s">
        <v>34</v>
      </c>
      <c r="G61" s="2" t="s">
        <v>80</v>
      </c>
      <c r="H61" s="2">
        <v>2</v>
      </c>
      <c r="I61" s="2">
        <v>4376.7</v>
      </c>
      <c r="J61" s="2">
        <v>0.08</v>
      </c>
      <c r="K61" s="2">
        <v>8053.13</v>
      </c>
      <c r="L61" s="2">
        <v>5457.08</v>
      </c>
      <c r="M61" s="2">
        <v>2596.0500000000002</v>
      </c>
      <c r="N61" s="2" t="s">
        <v>21</v>
      </c>
      <c r="O61" s="2" t="s">
        <v>22</v>
      </c>
    </row>
    <row r="62" spans="1:15" x14ac:dyDescent="0.3">
      <c r="A62" s="2" t="s">
        <v>142</v>
      </c>
      <c r="B62" s="3">
        <v>45718</v>
      </c>
      <c r="C62" s="2" t="s">
        <v>37</v>
      </c>
      <c r="D62" s="2" t="s">
        <v>42</v>
      </c>
      <c r="E62" s="2" t="s">
        <v>49</v>
      </c>
      <c r="F62" s="2" t="s">
        <v>34</v>
      </c>
      <c r="G62" s="2" t="s">
        <v>70</v>
      </c>
      <c r="H62" s="2">
        <v>3</v>
      </c>
      <c r="I62" s="2">
        <v>68892.899999999994</v>
      </c>
      <c r="J62" s="2">
        <v>0.05</v>
      </c>
      <c r="K62" s="2">
        <v>196344.77</v>
      </c>
      <c r="L62" s="2">
        <v>167589.39000000001</v>
      </c>
      <c r="M62" s="2">
        <v>28755.38</v>
      </c>
      <c r="N62" s="2" t="s">
        <v>21</v>
      </c>
      <c r="O62" s="2" t="s">
        <v>22</v>
      </c>
    </row>
    <row r="63" spans="1:15" x14ac:dyDescent="0.3">
      <c r="A63" s="2" t="s">
        <v>143</v>
      </c>
      <c r="B63" s="3">
        <v>45691</v>
      </c>
      <c r="C63" s="2" t="s">
        <v>54</v>
      </c>
      <c r="D63" s="2" t="s">
        <v>48</v>
      </c>
      <c r="E63" s="2" t="s">
        <v>49</v>
      </c>
      <c r="F63" s="2" t="s">
        <v>34</v>
      </c>
      <c r="G63" s="2" t="s">
        <v>80</v>
      </c>
      <c r="H63" s="2">
        <v>6</v>
      </c>
      <c r="I63" s="2">
        <v>4226.8599999999997</v>
      </c>
      <c r="J63" s="2">
        <v>0.05</v>
      </c>
      <c r="K63" s="2">
        <v>24093.09</v>
      </c>
      <c r="L63" s="2">
        <v>16130.81</v>
      </c>
      <c r="M63" s="2">
        <v>7962.28</v>
      </c>
      <c r="N63" s="2" t="s">
        <v>21</v>
      </c>
      <c r="O63" s="2" t="s">
        <v>59</v>
      </c>
    </row>
    <row r="64" spans="1:15" x14ac:dyDescent="0.3">
      <c r="A64" s="2" t="s">
        <v>144</v>
      </c>
      <c r="B64" s="3">
        <v>45718</v>
      </c>
      <c r="C64" s="2" t="s">
        <v>63</v>
      </c>
      <c r="D64" s="2" t="s">
        <v>95</v>
      </c>
      <c r="E64" s="2" t="s">
        <v>33</v>
      </c>
      <c r="F64" s="2" t="s">
        <v>19</v>
      </c>
      <c r="G64" s="2" t="s">
        <v>108</v>
      </c>
      <c r="H64" s="2">
        <v>6</v>
      </c>
      <c r="I64" s="2">
        <v>13996.22</v>
      </c>
      <c r="J64" s="2">
        <v>0.1</v>
      </c>
      <c r="K64" s="2">
        <v>75579.600000000006</v>
      </c>
      <c r="L64" s="2">
        <v>63563.15</v>
      </c>
      <c r="M64" s="2">
        <v>12016.45</v>
      </c>
      <c r="N64" s="2" t="s">
        <v>21</v>
      </c>
      <c r="O64" s="2" t="s">
        <v>40</v>
      </c>
    </row>
    <row r="65" spans="1:15" x14ac:dyDescent="0.3">
      <c r="A65" s="2" t="s">
        <v>145</v>
      </c>
      <c r="B65" s="3">
        <v>45671</v>
      </c>
      <c r="C65" s="2" t="s">
        <v>54</v>
      </c>
      <c r="D65" s="2" t="s">
        <v>124</v>
      </c>
      <c r="E65" s="2" t="s">
        <v>69</v>
      </c>
      <c r="F65" s="2" t="s">
        <v>96</v>
      </c>
      <c r="G65" s="2" t="s">
        <v>39</v>
      </c>
      <c r="H65" s="2">
        <v>4</v>
      </c>
      <c r="I65" s="2">
        <v>29370.79</v>
      </c>
      <c r="J65" s="2">
        <v>0.05</v>
      </c>
      <c r="K65" s="2">
        <v>111608.98</v>
      </c>
      <c r="L65" s="2">
        <v>89219.44</v>
      </c>
      <c r="M65" s="2">
        <v>22389.54</v>
      </c>
      <c r="N65" s="2" t="s">
        <v>21</v>
      </c>
      <c r="O65" s="2" t="s">
        <v>22</v>
      </c>
    </row>
    <row r="66" spans="1:15" x14ac:dyDescent="0.3">
      <c r="A66" s="2" t="s">
        <v>146</v>
      </c>
      <c r="B66" s="3">
        <v>45849</v>
      </c>
      <c r="C66" s="2" t="s">
        <v>63</v>
      </c>
      <c r="D66" s="2" t="s">
        <v>64</v>
      </c>
      <c r="E66" s="2" t="s">
        <v>18</v>
      </c>
      <c r="F66" s="2" t="s">
        <v>43</v>
      </c>
      <c r="G66" s="2" t="s">
        <v>91</v>
      </c>
      <c r="H66" s="2">
        <v>5</v>
      </c>
      <c r="I66" s="2">
        <v>50820.21</v>
      </c>
      <c r="J66" s="2">
        <v>0.05</v>
      </c>
      <c r="K66" s="2">
        <v>241396</v>
      </c>
      <c r="L66" s="2">
        <v>172675.22</v>
      </c>
      <c r="M66" s="2">
        <v>68720.78</v>
      </c>
      <c r="N66" s="2" t="s">
        <v>21</v>
      </c>
      <c r="O66" s="2" t="s">
        <v>45</v>
      </c>
    </row>
    <row r="67" spans="1:15" x14ac:dyDescent="0.3">
      <c r="A67" s="2" t="s">
        <v>147</v>
      </c>
      <c r="B67" s="3">
        <v>45725</v>
      </c>
      <c r="C67" s="2" t="s">
        <v>37</v>
      </c>
      <c r="D67" s="2" t="s">
        <v>38</v>
      </c>
      <c r="E67" s="2" t="s">
        <v>56</v>
      </c>
      <c r="F67" s="2" t="s">
        <v>27</v>
      </c>
      <c r="G67" s="2" t="s">
        <v>28</v>
      </c>
      <c r="H67" s="2">
        <v>6</v>
      </c>
      <c r="I67" s="2">
        <v>26296.53</v>
      </c>
      <c r="J67" s="2">
        <v>0.1</v>
      </c>
      <c r="K67" s="2">
        <v>142001.29</v>
      </c>
      <c r="L67" s="2">
        <v>108270.61</v>
      </c>
      <c r="M67" s="2">
        <v>33730.68</v>
      </c>
      <c r="N67" s="2" t="s">
        <v>21</v>
      </c>
      <c r="O67" s="2" t="s">
        <v>30</v>
      </c>
    </row>
    <row r="68" spans="1:15" x14ac:dyDescent="0.3">
      <c r="A68" s="2" t="s">
        <v>148</v>
      </c>
      <c r="B68" s="3">
        <v>45758</v>
      </c>
      <c r="C68" s="2" t="s">
        <v>16</v>
      </c>
      <c r="D68" s="2" t="s">
        <v>32</v>
      </c>
      <c r="E68" s="2" t="s">
        <v>49</v>
      </c>
      <c r="F68" s="2" t="s">
        <v>43</v>
      </c>
      <c r="G68" s="2" t="s">
        <v>75</v>
      </c>
      <c r="H68" s="2">
        <v>7</v>
      </c>
      <c r="I68" s="2">
        <v>37413.730000000003</v>
      </c>
      <c r="J68" s="2">
        <v>0.05</v>
      </c>
      <c r="K68" s="2">
        <v>248801.31</v>
      </c>
      <c r="L68" s="2">
        <v>161874.93</v>
      </c>
      <c r="M68" s="2">
        <v>86926.38</v>
      </c>
      <c r="N68" s="2" t="s">
        <v>21</v>
      </c>
      <c r="O68" s="2" t="s">
        <v>59</v>
      </c>
    </row>
    <row r="69" spans="1:15" x14ac:dyDescent="0.3">
      <c r="A69" s="2" t="s">
        <v>149</v>
      </c>
      <c r="B69" s="3">
        <v>45769</v>
      </c>
      <c r="C69" s="2" t="s">
        <v>63</v>
      </c>
      <c r="D69" s="2" t="s">
        <v>64</v>
      </c>
      <c r="E69" s="2" t="s">
        <v>26</v>
      </c>
      <c r="F69" s="2" t="s">
        <v>43</v>
      </c>
      <c r="G69" s="2" t="s">
        <v>121</v>
      </c>
      <c r="H69" s="2">
        <v>1</v>
      </c>
      <c r="I69" s="2">
        <v>4789.78</v>
      </c>
      <c r="J69" s="2">
        <v>0</v>
      </c>
      <c r="K69" s="2">
        <v>4789.78</v>
      </c>
      <c r="L69" s="2">
        <v>3145.38</v>
      </c>
      <c r="M69" s="2">
        <v>1644.4</v>
      </c>
      <c r="N69" s="2" t="s">
        <v>21</v>
      </c>
      <c r="O69" s="2" t="s">
        <v>22</v>
      </c>
    </row>
    <row r="70" spans="1:15" x14ac:dyDescent="0.3">
      <c r="A70" s="2" t="s">
        <v>150</v>
      </c>
      <c r="B70" s="3">
        <v>45880</v>
      </c>
      <c r="C70" s="2" t="s">
        <v>37</v>
      </c>
      <c r="D70" s="2" t="s">
        <v>25</v>
      </c>
      <c r="E70" s="2" t="s">
        <v>18</v>
      </c>
      <c r="F70" s="2" t="s">
        <v>34</v>
      </c>
      <c r="G70" s="2" t="s">
        <v>70</v>
      </c>
      <c r="H70" s="2">
        <v>7</v>
      </c>
      <c r="I70" s="2">
        <v>60337.01</v>
      </c>
      <c r="J70" s="2">
        <v>0</v>
      </c>
      <c r="K70" s="2">
        <v>422359.06</v>
      </c>
      <c r="L70" s="2">
        <v>332510.93</v>
      </c>
      <c r="M70" s="2">
        <v>89848.13</v>
      </c>
      <c r="N70" s="2" t="s">
        <v>58</v>
      </c>
      <c r="O70" s="2" t="s">
        <v>40</v>
      </c>
    </row>
    <row r="71" spans="1:15" x14ac:dyDescent="0.3">
      <c r="A71" s="2" t="s">
        <v>151</v>
      </c>
      <c r="B71" s="3">
        <v>45992</v>
      </c>
      <c r="C71" s="2" t="s">
        <v>54</v>
      </c>
      <c r="D71" s="2" t="s">
        <v>55</v>
      </c>
      <c r="E71" s="2" t="s">
        <v>18</v>
      </c>
      <c r="F71" s="2" t="s">
        <v>19</v>
      </c>
      <c r="G71" s="2" t="s">
        <v>108</v>
      </c>
      <c r="H71" s="2">
        <v>6</v>
      </c>
      <c r="I71" s="2">
        <v>14210.13</v>
      </c>
      <c r="J71" s="2">
        <v>0.08</v>
      </c>
      <c r="K71" s="2" t="s">
        <v>152</v>
      </c>
      <c r="L71" s="2">
        <v>66128.789999999994</v>
      </c>
      <c r="M71" s="2">
        <v>12311.13</v>
      </c>
      <c r="N71" s="2" t="s">
        <v>29</v>
      </c>
      <c r="O71" s="2" t="s">
        <v>59</v>
      </c>
    </row>
    <row r="72" spans="1:15" x14ac:dyDescent="0.3">
      <c r="A72" s="2" t="s">
        <v>153</v>
      </c>
      <c r="B72" s="3">
        <v>45658</v>
      </c>
      <c r="C72" s="2" t="s">
        <v>37</v>
      </c>
      <c r="D72" s="2" t="s">
        <v>42</v>
      </c>
      <c r="E72" s="2" t="s">
        <v>65</v>
      </c>
      <c r="F72" s="2" t="s">
        <v>34</v>
      </c>
      <c r="G72" s="2" t="s">
        <v>35</v>
      </c>
      <c r="H72" s="2">
        <v>3</v>
      </c>
      <c r="I72" s="2">
        <v>17134.580000000002</v>
      </c>
      <c r="J72" s="2">
        <v>0.08</v>
      </c>
      <c r="K72" s="2">
        <v>47291.44</v>
      </c>
      <c r="L72" s="2">
        <v>35334.35</v>
      </c>
      <c r="M72" s="2">
        <v>11957.09</v>
      </c>
      <c r="N72" s="2" t="s">
        <v>29</v>
      </c>
      <c r="O72" s="2" t="s">
        <v>45</v>
      </c>
    </row>
    <row r="73" spans="1:15" x14ac:dyDescent="0.3">
      <c r="A73" s="2" t="s">
        <v>154</v>
      </c>
      <c r="B73" s="3">
        <v>45795</v>
      </c>
      <c r="C73" s="2" t="s">
        <v>16</v>
      </c>
      <c r="D73" s="2" t="s">
        <v>32</v>
      </c>
      <c r="E73" s="2" t="s">
        <v>49</v>
      </c>
      <c r="F73" s="2" t="s">
        <v>34</v>
      </c>
      <c r="G73" s="2" t="s">
        <v>57</v>
      </c>
      <c r="H73" s="2">
        <v>1</v>
      </c>
      <c r="I73" s="2">
        <v>21539.69</v>
      </c>
      <c r="J73" s="2">
        <v>0.05</v>
      </c>
      <c r="K73" s="2">
        <v>20462.71</v>
      </c>
      <c r="L73" s="2">
        <v>15381.1</v>
      </c>
      <c r="M73" s="2">
        <v>5081.6099999999997</v>
      </c>
      <c r="N73" s="2" t="s">
        <v>58</v>
      </c>
      <c r="O73" s="2" t="s">
        <v>45</v>
      </c>
    </row>
    <row r="74" spans="1:15" x14ac:dyDescent="0.3">
      <c r="A74" s="2" t="s">
        <v>155</v>
      </c>
      <c r="B74" s="3">
        <v>45751</v>
      </c>
      <c r="C74" s="2" t="s">
        <v>63</v>
      </c>
      <c r="D74" s="2" t="s">
        <v>88</v>
      </c>
      <c r="E74" s="2" t="s">
        <v>56</v>
      </c>
      <c r="F74" s="2" t="s">
        <v>34</v>
      </c>
      <c r="G74" s="2" t="s">
        <v>70</v>
      </c>
      <c r="H74" s="2">
        <v>1</v>
      </c>
      <c r="I74" s="2">
        <v>61013.64</v>
      </c>
      <c r="J74" s="2">
        <v>0.05</v>
      </c>
      <c r="K74" s="2">
        <v>57962.96</v>
      </c>
      <c r="L74" s="2">
        <v>44368.59</v>
      </c>
      <c r="M74" s="2">
        <v>13594.37</v>
      </c>
      <c r="N74" s="2" t="s">
        <v>21</v>
      </c>
      <c r="O74" s="2" t="s">
        <v>45</v>
      </c>
    </row>
    <row r="75" spans="1:15" x14ac:dyDescent="0.3">
      <c r="A75" s="2" t="s">
        <v>156</v>
      </c>
      <c r="B75" s="3">
        <v>45977</v>
      </c>
      <c r="C75" s="2" t="s">
        <v>54</v>
      </c>
      <c r="D75" s="2" t="s">
        <v>55</v>
      </c>
      <c r="E75" s="2" t="s">
        <v>33</v>
      </c>
      <c r="F75" s="2" t="s">
        <v>34</v>
      </c>
      <c r="G75" s="2" t="s">
        <v>57</v>
      </c>
      <c r="H75" s="2">
        <v>1</v>
      </c>
      <c r="I75" s="2">
        <v>20961.61</v>
      </c>
      <c r="J75" s="2">
        <v>0.05</v>
      </c>
      <c r="K75" s="2">
        <v>19913.53</v>
      </c>
      <c r="L75" s="2">
        <v>16774.12</v>
      </c>
      <c r="M75" s="2">
        <v>3139.41</v>
      </c>
      <c r="N75" s="2" t="s">
        <v>29</v>
      </c>
      <c r="O75" s="2" t="s">
        <v>45</v>
      </c>
    </row>
    <row r="76" spans="1:15" x14ac:dyDescent="0.3">
      <c r="A76" s="2" t="s">
        <v>157</v>
      </c>
      <c r="B76" s="3">
        <v>45719</v>
      </c>
      <c r="C76" s="2" t="s">
        <v>37</v>
      </c>
      <c r="D76" s="2" t="s">
        <v>68</v>
      </c>
      <c r="E76" s="2" t="s">
        <v>65</v>
      </c>
      <c r="F76" s="2" t="s">
        <v>34</v>
      </c>
      <c r="G76" s="2" t="s">
        <v>57</v>
      </c>
      <c r="H76" s="2">
        <v>5</v>
      </c>
      <c r="I76" s="2">
        <v>20896.150000000001</v>
      </c>
      <c r="J76" s="2">
        <v>0.03</v>
      </c>
      <c r="K76" s="2">
        <v>101346.31</v>
      </c>
      <c r="L76" s="2">
        <v>78249.69</v>
      </c>
      <c r="M76" s="2">
        <v>23096.62</v>
      </c>
      <c r="N76" s="2" t="s">
        <v>21</v>
      </c>
      <c r="O76" s="2" t="s">
        <v>45</v>
      </c>
    </row>
    <row r="77" spans="1:15" x14ac:dyDescent="0.3">
      <c r="A77" s="2" t="s">
        <v>158</v>
      </c>
      <c r="B77" s="3">
        <v>45810</v>
      </c>
      <c r="C77" s="2" t="s">
        <v>63</v>
      </c>
      <c r="D77" s="2" t="s">
        <v>117</v>
      </c>
      <c r="E77" s="2" t="s">
        <v>26</v>
      </c>
      <c r="F77" s="2" t="s">
        <v>43</v>
      </c>
      <c r="G77" s="2" t="s">
        <v>44</v>
      </c>
      <c r="H77" s="2">
        <v>5</v>
      </c>
      <c r="I77" s="2">
        <v>11618.65</v>
      </c>
      <c r="J77" s="2">
        <v>0.08</v>
      </c>
      <c r="K77" s="2">
        <v>53445.77</v>
      </c>
      <c r="L77" s="2">
        <v>39584.76</v>
      </c>
      <c r="M77" s="2">
        <v>13861.01</v>
      </c>
      <c r="N77" s="2" t="s">
        <v>21</v>
      </c>
      <c r="O77" s="2" t="s">
        <v>59</v>
      </c>
    </row>
    <row r="78" spans="1:15" x14ac:dyDescent="0.3">
      <c r="A78" s="2" t="s">
        <v>159</v>
      </c>
      <c r="B78" s="3">
        <v>45672</v>
      </c>
      <c r="C78" s="2" t="s">
        <v>16</v>
      </c>
      <c r="D78" s="2" t="s">
        <v>82</v>
      </c>
      <c r="E78" s="2" t="s">
        <v>26</v>
      </c>
      <c r="F78" s="2" t="s">
        <v>19</v>
      </c>
      <c r="G78" s="2" t="s">
        <v>106</v>
      </c>
      <c r="H78" s="2">
        <v>6</v>
      </c>
      <c r="I78" s="2">
        <v>14985.22</v>
      </c>
      <c r="J78" s="2">
        <v>0.08</v>
      </c>
      <c r="K78" s="2">
        <v>82718.44</v>
      </c>
      <c r="L78" s="2">
        <v>57934.12</v>
      </c>
      <c r="M78" s="2">
        <v>24784.32</v>
      </c>
      <c r="N78" s="2" t="s">
        <v>58</v>
      </c>
      <c r="O78" s="2" t="s">
        <v>30</v>
      </c>
    </row>
    <row r="79" spans="1:15" x14ac:dyDescent="0.3">
      <c r="A79" s="2" t="s">
        <v>160</v>
      </c>
      <c r="B79" s="3">
        <v>45853</v>
      </c>
      <c r="C79" s="2" t="s">
        <v>16</v>
      </c>
      <c r="D79" s="2" t="s">
        <v>32</v>
      </c>
      <c r="E79" s="2" t="s">
        <v>69</v>
      </c>
      <c r="F79" s="2" t="s">
        <v>19</v>
      </c>
      <c r="G79" s="2" t="s">
        <v>108</v>
      </c>
      <c r="H79" s="2">
        <v>1</v>
      </c>
      <c r="I79" s="2">
        <v>15496.75</v>
      </c>
      <c r="J79" s="2">
        <v>0.08</v>
      </c>
      <c r="K79" s="2">
        <v>14257.01</v>
      </c>
      <c r="L79" s="2">
        <v>9329.08</v>
      </c>
      <c r="M79" s="2">
        <v>4927.93</v>
      </c>
      <c r="N79" s="2" t="s">
        <v>29</v>
      </c>
      <c r="O79" s="2" t="s">
        <v>59</v>
      </c>
    </row>
    <row r="80" spans="1:15" x14ac:dyDescent="0.3">
      <c r="A80" s="2" t="s">
        <v>161</v>
      </c>
      <c r="B80" s="3">
        <v>45672</v>
      </c>
      <c r="C80" s="2" t="s">
        <v>16</v>
      </c>
      <c r="D80" s="2" t="s">
        <v>52</v>
      </c>
      <c r="E80" s="2" t="s">
        <v>56</v>
      </c>
      <c r="F80" s="2" t="s">
        <v>34</v>
      </c>
      <c r="G80" s="2" t="s">
        <v>80</v>
      </c>
      <c r="H80" s="2">
        <v>7</v>
      </c>
      <c r="I80" s="2">
        <v>4412.75</v>
      </c>
      <c r="J80" s="2">
        <v>0.05</v>
      </c>
      <c r="K80" s="2">
        <v>29344.799999999999</v>
      </c>
      <c r="L80" s="2">
        <v>22447.3</v>
      </c>
      <c r="M80" s="2">
        <v>6897.5</v>
      </c>
      <c r="N80" s="2" t="s">
        <v>58</v>
      </c>
      <c r="O80" s="2" t="s">
        <v>45</v>
      </c>
    </row>
    <row r="81" spans="1:15" x14ac:dyDescent="0.3">
      <c r="A81" s="2" t="s">
        <v>162</v>
      </c>
      <c r="B81" s="3">
        <v>45940</v>
      </c>
      <c r="C81" s="2" t="s">
        <v>16</v>
      </c>
      <c r="D81" s="2" t="s">
        <v>82</v>
      </c>
      <c r="E81" s="2" t="s">
        <v>49</v>
      </c>
      <c r="F81" s="2" t="s">
        <v>19</v>
      </c>
      <c r="G81" s="2" t="s">
        <v>106</v>
      </c>
      <c r="H81" s="2">
        <v>7</v>
      </c>
      <c r="I81" s="2">
        <v>14220.51</v>
      </c>
      <c r="J81" s="2">
        <v>0.05</v>
      </c>
      <c r="K81" s="2">
        <v>94566.399999999994</v>
      </c>
      <c r="L81" s="2">
        <v>74885.52</v>
      </c>
      <c r="M81" s="2">
        <v>19680.88</v>
      </c>
      <c r="N81" s="2" t="s">
        <v>21</v>
      </c>
      <c r="O81" s="2" t="s">
        <v>22</v>
      </c>
    </row>
    <row r="82" spans="1:15" x14ac:dyDescent="0.3">
      <c r="A82" s="2" t="s">
        <v>163</v>
      </c>
      <c r="B82" s="3">
        <v>45867</v>
      </c>
      <c r="C82" s="2" t="s">
        <v>54</v>
      </c>
      <c r="D82" s="2" t="s">
        <v>55</v>
      </c>
      <c r="E82" s="2" t="s">
        <v>74</v>
      </c>
      <c r="F82" s="2" t="s">
        <v>34</v>
      </c>
      <c r="G82" s="2" t="s">
        <v>39</v>
      </c>
      <c r="H82" s="2">
        <v>6</v>
      </c>
      <c r="I82" s="2">
        <v>30551.759999999998</v>
      </c>
      <c r="J82" s="2">
        <v>0.1</v>
      </c>
      <c r="K82" s="2">
        <v>164979.51</v>
      </c>
      <c r="L82" s="2">
        <v>107795.61</v>
      </c>
      <c r="M82" s="2">
        <v>57183.9</v>
      </c>
      <c r="N82" s="2" t="s">
        <v>29</v>
      </c>
      <c r="O82" s="2" t="s">
        <v>40</v>
      </c>
    </row>
    <row r="83" spans="1:15" x14ac:dyDescent="0.3">
      <c r="A83" s="2" t="s">
        <v>164</v>
      </c>
      <c r="B83" s="3">
        <v>45944</v>
      </c>
      <c r="C83" s="2" t="s">
        <v>63</v>
      </c>
      <c r="D83" s="2" t="s">
        <v>88</v>
      </c>
      <c r="E83" s="2" t="s">
        <v>49</v>
      </c>
      <c r="F83" s="2" t="s">
        <v>27</v>
      </c>
      <c r="G83" s="2" t="s">
        <v>125</v>
      </c>
      <c r="H83" s="2">
        <v>8</v>
      </c>
      <c r="I83" s="2">
        <v>7851.31</v>
      </c>
      <c r="J83" s="2">
        <v>0.08</v>
      </c>
      <c r="K83" s="2">
        <v>57785.65</v>
      </c>
      <c r="L83" s="2">
        <v>46523.18</v>
      </c>
      <c r="M83" s="2">
        <v>11262.47</v>
      </c>
      <c r="N83" s="2" t="s">
        <v>29</v>
      </c>
      <c r="O83" s="2" t="s">
        <v>22</v>
      </c>
    </row>
    <row r="84" spans="1:15" x14ac:dyDescent="0.3">
      <c r="A84" s="2" t="s">
        <v>165</v>
      </c>
      <c r="B84" s="3">
        <v>45970</v>
      </c>
      <c r="C84" s="2" t="s">
        <v>63</v>
      </c>
      <c r="D84" s="2" t="s">
        <v>88</v>
      </c>
      <c r="E84" s="2" t="s">
        <v>56</v>
      </c>
      <c r="F84" s="2" t="s">
        <v>27</v>
      </c>
      <c r="G84" s="2" t="s">
        <v>89</v>
      </c>
      <c r="H84" s="2">
        <v>6</v>
      </c>
      <c r="I84" s="2">
        <v>30647.84</v>
      </c>
      <c r="J84" s="2">
        <v>0.03</v>
      </c>
      <c r="K84" s="2">
        <v>178370.42</v>
      </c>
      <c r="L84" s="2">
        <v>118565.85</v>
      </c>
      <c r="M84" s="2">
        <v>59804.57</v>
      </c>
      <c r="N84" s="2" t="s">
        <v>21</v>
      </c>
      <c r="O84" s="2" t="s">
        <v>22</v>
      </c>
    </row>
    <row r="85" spans="1:15" x14ac:dyDescent="0.3">
      <c r="A85" s="2" t="s">
        <v>166</v>
      </c>
      <c r="B85" s="3">
        <v>45720</v>
      </c>
      <c r="C85" s="2" t="s">
        <v>63</v>
      </c>
      <c r="D85" s="2" t="s">
        <v>95</v>
      </c>
      <c r="E85" s="2" t="s">
        <v>18</v>
      </c>
      <c r="F85" s="2" t="s">
        <v>34</v>
      </c>
      <c r="G85" s="2" t="s">
        <v>70</v>
      </c>
      <c r="H85" s="2">
        <v>2</v>
      </c>
      <c r="I85" s="2">
        <v>68149.679999999993</v>
      </c>
      <c r="J85" s="2">
        <v>0</v>
      </c>
      <c r="K85" s="2">
        <v>136299.35</v>
      </c>
      <c r="L85" s="2">
        <v>95414.97</v>
      </c>
      <c r="M85" s="2">
        <v>40884.379999999997</v>
      </c>
      <c r="N85" s="2" t="s">
        <v>21</v>
      </c>
      <c r="O85" s="2" t="s">
        <v>59</v>
      </c>
    </row>
    <row r="86" spans="1:15" x14ac:dyDescent="0.3">
      <c r="A86" s="2" t="s">
        <v>167</v>
      </c>
      <c r="B86" s="3">
        <v>45836</v>
      </c>
      <c r="C86" s="2" t="s">
        <v>54</v>
      </c>
      <c r="D86" s="2" t="s">
        <v>48</v>
      </c>
      <c r="E86" s="2" t="s">
        <v>18</v>
      </c>
      <c r="F86" s="2" t="s">
        <v>34</v>
      </c>
      <c r="G86" s="2" t="s">
        <v>39</v>
      </c>
      <c r="H86" s="2">
        <v>3</v>
      </c>
      <c r="I86" s="2">
        <v>29770.65</v>
      </c>
      <c r="J86" s="2">
        <v>0.03</v>
      </c>
      <c r="K86" s="2">
        <v>86632.58</v>
      </c>
      <c r="L86" s="2">
        <v>63119.24</v>
      </c>
      <c r="M86" s="2">
        <v>23513.34</v>
      </c>
      <c r="N86" s="2" t="s">
        <v>21</v>
      </c>
      <c r="O86" s="2" t="s">
        <v>30</v>
      </c>
    </row>
    <row r="87" spans="1:15" x14ac:dyDescent="0.3">
      <c r="A87" s="2" t="s">
        <v>168</v>
      </c>
      <c r="B87" s="3">
        <v>45706</v>
      </c>
      <c r="C87" s="2" t="s">
        <v>16</v>
      </c>
      <c r="D87" s="2" t="s">
        <v>52</v>
      </c>
      <c r="E87" s="2" t="s">
        <v>65</v>
      </c>
      <c r="F87" s="2" t="s">
        <v>27</v>
      </c>
      <c r="G87" s="2" t="s">
        <v>89</v>
      </c>
      <c r="H87" s="2">
        <v>5</v>
      </c>
      <c r="I87" s="2">
        <v>32412.61</v>
      </c>
      <c r="J87" s="2">
        <v>0.08</v>
      </c>
      <c r="K87" s="2">
        <v>149098.01999999999</v>
      </c>
      <c r="L87" s="2">
        <v>92909.34</v>
      </c>
      <c r="M87" s="2">
        <v>56188.68</v>
      </c>
      <c r="N87" s="2" t="s">
        <v>21</v>
      </c>
      <c r="O87" s="2" t="s">
        <v>40</v>
      </c>
    </row>
    <row r="88" spans="1:15" x14ac:dyDescent="0.3">
      <c r="A88" s="2" t="s">
        <v>169</v>
      </c>
      <c r="B88" s="3">
        <v>45872</v>
      </c>
      <c r="C88" s="2" t="s">
        <v>16</v>
      </c>
      <c r="D88" s="2" t="s">
        <v>82</v>
      </c>
      <c r="E88" s="2" t="s">
        <v>74</v>
      </c>
      <c r="F88" s="2" t="s">
        <v>27</v>
      </c>
      <c r="G88" s="2" t="s">
        <v>125</v>
      </c>
      <c r="H88" s="2">
        <v>8</v>
      </c>
      <c r="I88" s="2">
        <v>8502.99</v>
      </c>
      <c r="J88" s="2">
        <v>0.08</v>
      </c>
      <c r="K88" s="2">
        <v>62581.97</v>
      </c>
      <c r="L88" s="2">
        <v>39808.29</v>
      </c>
      <c r="M88" s="2">
        <v>22773.68</v>
      </c>
      <c r="N88" s="2" t="s">
        <v>29</v>
      </c>
      <c r="O88" s="2" t="s">
        <v>22</v>
      </c>
    </row>
    <row r="89" spans="1:15" x14ac:dyDescent="0.3">
      <c r="A89" s="2" t="s">
        <v>170</v>
      </c>
      <c r="B89" s="3">
        <v>45832</v>
      </c>
      <c r="C89" s="2" t="s">
        <v>16</v>
      </c>
      <c r="D89" s="2" t="s">
        <v>52</v>
      </c>
      <c r="E89" s="2" t="s">
        <v>65</v>
      </c>
      <c r="F89" s="2" t="s">
        <v>19</v>
      </c>
      <c r="G89" s="2" t="s">
        <v>20</v>
      </c>
      <c r="H89" s="2">
        <v>6</v>
      </c>
      <c r="I89" s="2">
        <v>737.7</v>
      </c>
      <c r="J89" s="2">
        <v>0.08</v>
      </c>
      <c r="K89" s="2">
        <v>4072.08</v>
      </c>
      <c r="L89" s="2">
        <v>2812.06</v>
      </c>
      <c r="M89" s="2">
        <v>1260.02</v>
      </c>
      <c r="N89" s="2" t="s">
        <v>29</v>
      </c>
      <c r="O89" s="2" t="s">
        <v>40</v>
      </c>
    </row>
    <row r="90" spans="1:15" x14ac:dyDescent="0.3">
      <c r="A90" s="2" t="s">
        <v>171</v>
      </c>
      <c r="B90" s="3">
        <v>45923</v>
      </c>
      <c r="C90" s="2" t="s">
        <v>16</v>
      </c>
      <c r="D90" s="2" t="s">
        <v>52</v>
      </c>
      <c r="E90" s="2" t="s">
        <v>74</v>
      </c>
      <c r="F90" s="2" t="s">
        <v>19</v>
      </c>
      <c r="G90" s="2" t="s">
        <v>102</v>
      </c>
      <c r="H90" s="2">
        <v>1</v>
      </c>
      <c r="I90" s="2">
        <v>243.37</v>
      </c>
      <c r="J90" s="2">
        <v>0</v>
      </c>
      <c r="K90" s="2">
        <v>243.37</v>
      </c>
      <c r="L90" s="2">
        <v>194.89</v>
      </c>
      <c r="M90" s="2">
        <v>48.48</v>
      </c>
      <c r="N90" s="2" t="s">
        <v>21</v>
      </c>
      <c r="O90" s="2" t="s">
        <v>59</v>
      </c>
    </row>
    <row r="91" spans="1:15" x14ac:dyDescent="0.3">
      <c r="A91" s="2" t="s">
        <v>172</v>
      </c>
      <c r="B91" s="3">
        <v>45912</v>
      </c>
      <c r="C91" s="2" t="s">
        <v>16</v>
      </c>
      <c r="D91" s="2" t="s">
        <v>32</v>
      </c>
      <c r="E91" s="2" t="s">
        <v>18</v>
      </c>
      <c r="F91" s="2" t="s">
        <v>34</v>
      </c>
      <c r="G91" s="2" t="s">
        <v>39</v>
      </c>
      <c r="H91" s="2">
        <v>7</v>
      </c>
      <c r="I91" s="2">
        <v>30762.83</v>
      </c>
      <c r="J91" s="2">
        <v>0</v>
      </c>
      <c r="K91" s="2">
        <v>215339.84</v>
      </c>
      <c r="L91" s="2">
        <v>144982.57</v>
      </c>
      <c r="M91" s="2">
        <v>70357.27</v>
      </c>
      <c r="N91" s="2" t="s">
        <v>21</v>
      </c>
      <c r="O91" s="2" t="s">
        <v>30</v>
      </c>
    </row>
    <row r="92" spans="1:15" x14ac:dyDescent="0.3">
      <c r="A92" s="2" t="s">
        <v>173</v>
      </c>
      <c r="B92" s="3">
        <v>45822</v>
      </c>
      <c r="C92" s="2" t="s">
        <v>54</v>
      </c>
      <c r="D92" s="2" t="s">
        <v>174</v>
      </c>
      <c r="E92" s="2" t="s">
        <v>69</v>
      </c>
      <c r="F92" s="2" t="s">
        <v>19</v>
      </c>
      <c r="G92" s="2" t="s">
        <v>61</v>
      </c>
      <c r="H92" s="2">
        <v>3</v>
      </c>
      <c r="I92" s="2">
        <v>8630.17</v>
      </c>
      <c r="J92" s="2">
        <v>0.08</v>
      </c>
      <c r="K92" s="2">
        <v>23819.26</v>
      </c>
      <c r="L92" s="2">
        <v>19659.63</v>
      </c>
      <c r="M92" s="2">
        <v>4159.63</v>
      </c>
      <c r="N92" s="2" t="s">
        <v>21</v>
      </c>
      <c r="O92" s="2" t="s">
        <v>59</v>
      </c>
    </row>
    <row r="93" spans="1:15" x14ac:dyDescent="0.3">
      <c r="A93" s="2" t="s">
        <v>175</v>
      </c>
      <c r="B93" s="3">
        <v>45659</v>
      </c>
      <c r="C93" s="2" t="s">
        <v>37</v>
      </c>
      <c r="D93" s="2" t="s">
        <v>38</v>
      </c>
      <c r="E93" s="2" t="s">
        <v>56</v>
      </c>
      <c r="F93" s="2" t="s">
        <v>34</v>
      </c>
      <c r="G93" s="2" t="s">
        <v>57</v>
      </c>
      <c r="H93" s="2">
        <v>8</v>
      </c>
      <c r="I93" s="2">
        <v>20878.650000000001</v>
      </c>
      <c r="J93" s="2">
        <v>0.08</v>
      </c>
      <c r="K93" s="2">
        <v>153666.88</v>
      </c>
      <c r="L93" s="2">
        <v>110815.62</v>
      </c>
      <c r="M93" s="2">
        <v>42851.26</v>
      </c>
      <c r="N93" s="2" t="s">
        <v>58</v>
      </c>
      <c r="O93" s="2" t="s">
        <v>45</v>
      </c>
    </row>
    <row r="94" spans="1:15" x14ac:dyDescent="0.3">
      <c r="A94" s="2" t="s">
        <v>176</v>
      </c>
      <c r="B94" s="3">
        <v>45883</v>
      </c>
      <c r="C94" s="2" t="s">
        <v>16</v>
      </c>
      <c r="D94" s="2" t="s">
        <v>52</v>
      </c>
      <c r="E94" s="2" t="s">
        <v>18</v>
      </c>
      <c r="F94" s="2" t="s">
        <v>43</v>
      </c>
      <c r="G94" s="2" t="s">
        <v>91</v>
      </c>
      <c r="H94" s="2">
        <v>4</v>
      </c>
      <c r="I94" s="2">
        <v>48953.46</v>
      </c>
      <c r="J94" s="2">
        <v>0.05</v>
      </c>
      <c r="K94" s="2">
        <v>186023.16</v>
      </c>
      <c r="L94" s="2">
        <v>139980.81</v>
      </c>
      <c r="M94" s="2">
        <v>46042.35</v>
      </c>
      <c r="N94" s="2" t="s">
        <v>58</v>
      </c>
      <c r="O94" s="2" t="s">
        <v>22</v>
      </c>
    </row>
    <row r="95" spans="1:15" x14ac:dyDescent="0.3">
      <c r="A95" s="2" t="s">
        <v>177</v>
      </c>
      <c r="B95" s="3">
        <v>45866</v>
      </c>
      <c r="C95" s="2" t="s">
        <v>54</v>
      </c>
      <c r="D95" s="2" t="s">
        <v>48</v>
      </c>
      <c r="E95" s="2" t="s">
        <v>49</v>
      </c>
      <c r="F95" s="2" t="s">
        <v>34</v>
      </c>
      <c r="G95" s="2" t="s">
        <v>39</v>
      </c>
      <c r="H95" s="2">
        <v>6</v>
      </c>
      <c r="I95" s="2">
        <v>29939.67</v>
      </c>
      <c r="J95" s="2">
        <v>0.1</v>
      </c>
      <c r="K95" s="2">
        <v>161674.22</v>
      </c>
      <c r="L95" s="2">
        <v>131273.85</v>
      </c>
      <c r="M95" s="2">
        <v>30400.37</v>
      </c>
      <c r="N95" s="2" t="s">
        <v>29</v>
      </c>
      <c r="O95" s="2" t="s">
        <v>30</v>
      </c>
    </row>
    <row r="96" spans="1:15" x14ac:dyDescent="0.3">
      <c r="A96" s="2" t="s">
        <v>178</v>
      </c>
      <c r="B96" s="3">
        <v>45686</v>
      </c>
      <c r="C96" s="2" t="s">
        <v>37</v>
      </c>
      <c r="D96" s="2" t="s">
        <v>42</v>
      </c>
      <c r="E96" s="2" t="s">
        <v>33</v>
      </c>
      <c r="F96" s="2" t="s">
        <v>19</v>
      </c>
      <c r="G96" s="2" t="s">
        <v>108</v>
      </c>
      <c r="H96" s="2">
        <v>6</v>
      </c>
      <c r="I96" s="2">
        <v>15348.13</v>
      </c>
      <c r="J96" s="2">
        <v>0.05</v>
      </c>
      <c r="K96" s="2">
        <v>87484.34</v>
      </c>
      <c r="L96" s="2">
        <v>57017.59</v>
      </c>
      <c r="M96" s="2">
        <v>30466.75</v>
      </c>
      <c r="N96" s="2" t="s">
        <v>21</v>
      </c>
      <c r="O96" s="2" t="s">
        <v>45</v>
      </c>
    </row>
    <row r="97" spans="1:15" x14ac:dyDescent="0.3">
      <c r="A97" s="2" t="s">
        <v>179</v>
      </c>
      <c r="B97" s="3">
        <v>45733</v>
      </c>
      <c r="C97" s="2" t="s">
        <v>37</v>
      </c>
      <c r="D97" s="2" t="s">
        <v>25</v>
      </c>
      <c r="E97" s="2" t="s">
        <v>26</v>
      </c>
      <c r="F97" s="2" t="s">
        <v>34</v>
      </c>
      <c r="G97" s="2" t="s">
        <v>35</v>
      </c>
      <c r="H97" s="2">
        <v>1</v>
      </c>
      <c r="I97" s="2">
        <v>17349.28</v>
      </c>
      <c r="J97" s="2">
        <v>0.05</v>
      </c>
      <c r="K97" s="2">
        <v>16481.82</v>
      </c>
      <c r="L97" s="2">
        <v>12795.51</v>
      </c>
      <c r="M97" s="2">
        <v>3686.31</v>
      </c>
      <c r="N97" s="2" t="s">
        <v>21</v>
      </c>
      <c r="O97" s="2" t="s">
        <v>59</v>
      </c>
    </row>
    <row r="98" spans="1:15" x14ac:dyDescent="0.3">
      <c r="A98" s="2" t="s">
        <v>180</v>
      </c>
      <c r="B98" s="3">
        <v>45830</v>
      </c>
      <c r="C98" s="2" t="s">
        <v>37</v>
      </c>
      <c r="D98" s="2" t="s">
        <v>38</v>
      </c>
      <c r="E98" s="2" t="s">
        <v>56</v>
      </c>
      <c r="F98" s="2" t="s">
        <v>34</v>
      </c>
      <c r="G98" s="2" t="s">
        <v>57</v>
      </c>
      <c r="H98" s="2">
        <v>8</v>
      </c>
      <c r="I98" s="2">
        <v>21122.57</v>
      </c>
      <c r="J98" s="2">
        <v>0.08</v>
      </c>
      <c r="K98" s="2">
        <v>155462.13</v>
      </c>
      <c r="L98" s="2">
        <v>114828.33</v>
      </c>
      <c r="M98" s="2">
        <v>40633.800000000003</v>
      </c>
      <c r="N98" s="2" t="s">
        <v>58</v>
      </c>
      <c r="O98" s="2" t="s">
        <v>45</v>
      </c>
    </row>
    <row r="99" spans="1:15" x14ac:dyDescent="0.3">
      <c r="A99" s="2" t="s">
        <v>181</v>
      </c>
      <c r="B99" s="3">
        <v>45939</v>
      </c>
      <c r="C99" s="2" t="s">
        <v>16</v>
      </c>
      <c r="D99" s="2" t="s">
        <v>52</v>
      </c>
      <c r="E99" s="2" t="s">
        <v>74</v>
      </c>
      <c r="F99" s="2" t="s">
        <v>34</v>
      </c>
      <c r="G99" s="2" t="s">
        <v>35</v>
      </c>
      <c r="H99" s="2">
        <v>6</v>
      </c>
      <c r="I99" s="2">
        <v>18685.54</v>
      </c>
      <c r="J99" s="2">
        <v>0</v>
      </c>
      <c r="K99" s="2">
        <v>112113.22</v>
      </c>
      <c r="L99" s="2">
        <v>85739.31</v>
      </c>
      <c r="M99" s="2">
        <v>26373.91</v>
      </c>
      <c r="N99" s="2" t="s">
        <v>21</v>
      </c>
      <c r="O99" s="2" t="s">
        <v>22</v>
      </c>
    </row>
    <row r="100" spans="1:15" x14ac:dyDescent="0.3">
      <c r="A100" s="2" t="s">
        <v>182</v>
      </c>
      <c r="B100" s="3">
        <v>45726</v>
      </c>
      <c r="C100" s="2" t="s">
        <v>16</v>
      </c>
      <c r="D100" s="2" t="s">
        <v>82</v>
      </c>
      <c r="E100" s="2" t="s">
        <v>49</v>
      </c>
      <c r="F100" s="2" t="s">
        <v>19</v>
      </c>
      <c r="G100" s="2" t="s">
        <v>106</v>
      </c>
      <c r="H100" s="2">
        <v>6</v>
      </c>
      <c r="I100" s="2">
        <v>13946.35</v>
      </c>
      <c r="J100" s="2">
        <v>0.08</v>
      </c>
      <c r="K100" s="2">
        <v>76983.87</v>
      </c>
      <c r="L100" s="2">
        <v>65038.99</v>
      </c>
      <c r="M100" s="2">
        <v>11944.88</v>
      </c>
      <c r="N100" s="2" t="s">
        <v>29</v>
      </c>
      <c r="O100" s="2" t="s">
        <v>59</v>
      </c>
    </row>
    <row r="101" spans="1:15" x14ac:dyDescent="0.3">
      <c r="A101" s="2" t="s">
        <v>183</v>
      </c>
      <c r="B101" s="3">
        <v>45811</v>
      </c>
      <c r="C101" s="2" t="s">
        <v>37</v>
      </c>
      <c r="D101" s="2" t="s">
        <v>42</v>
      </c>
      <c r="E101" s="2" t="s">
        <v>69</v>
      </c>
      <c r="F101" s="2" t="s">
        <v>43</v>
      </c>
      <c r="G101" s="2" t="s">
        <v>44</v>
      </c>
      <c r="H101" s="2">
        <v>1</v>
      </c>
      <c r="I101" s="2">
        <v>11993.02</v>
      </c>
      <c r="J101" s="2">
        <v>0.08</v>
      </c>
      <c r="K101" s="2">
        <v>11033.58</v>
      </c>
      <c r="L101" s="2">
        <v>7725.92</v>
      </c>
      <c r="M101" s="2">
        <v>3307.66</v>
      </c>
      <c r="N101" s="2" t="s">
        <v>29</v>
      </c>
      <c r="O101" s="2" t="s">
        <v>30</v>
      </c>
    </row>
    <row r="102" spans="1:15" x14ac:dyDescent="0.3">
      <c r="A102" s="2" t="s">
        <v>184</v>
      </c>
      <c r="B102" s="3">
        <v>45886</v>
      </c>
      <c r="C102" s="2" t="s">
        <v>37</v>
      </c>
      <c r="D102" s="2" t="s">
        <v>68</v>
      </c>
      <c r="E102" s="2" t="s">
        <v>56</v>
      </c>
      <c r="F102" s="2" t="s">
        <v>43</v>
      </c>
      <c r="G102" s="2" t="s">
        <v>44</v>
      </c>
      <c r="H102" s="2">
        <v>8</v>
      </c>
      <c r="I102" s="2">
        <v>11874.87</v>
      </c>
      <c r="J102" s="2"/>
      <c r="K102" s="2">
        <v>92148.98</v>
      </c>
      <c r="L102" s="2">
        <v>75247.429999999993</v>
      </c>
      <c r="M102" s="2">
        <v>16901.55</v>
      </c>
      <c r="N102" s="2" t="s">
        <v>21</v>
      </c>
      <c r="O102" s="2" t="s">
        <v>22</v>
      </c>
    </row>
    <row r="103" spans="1:15" x14ac:dyDescent="0.3">
      <c r="A103" s="2" t="s">
        <v>185</v>
      </c>
      <c r="B103" s="3">
        <v>45968</v>
      </c>
      <c r="C103" s="2" t="s">
        <v>37</v>
      </c>
      <c r="D103" s="2" t="s">
        <v>25</v>
      </c>
      <c r="E103" s="2" t="s">
        <v>49</v>
      </c>
      <c r="F103" s="2" t="s">
        <v>43</v>
      </c>
      <c r="G103" s="2" t="s">
        <v>91</v>
      </c>
      <c r="H103" s="2">
        <v>3</v>
      </c>
      <c r="I103" s="2">
        <v>51204.97</v>
      </c>
      <c r="J103" s="2">
        <v>0</v>
      </c>
      <c r="K103" s="2">
        <v>153614.9</v>
      </c>
      <c r="L103" s="2">
        <v>130274.19</v>
      </c>
      <c r="M103" s="2">
        <v>23340.71</v>
      </c>
      <c r="N103" s="2" t="s">
        <v>29</v>
      </c>
      <c r="O103" s="2" t="s">
        <v>40</v>
      </c>
    </row>
    <row r="104" spans="1:15" x14ac:dyDescent="0.3">
      <c r="A104" s="2" t="s">
        <v>186</v>
      </c>
      <c r="B104" s="3">
        <v>45682</v>
      </c>
      <c r="C104" s="2" t="s">
        <v>16</v>
      </c>
      <c r="D104" s="2" t="s">
        <v>82</v>
      </c>
      <c r="E104" s="2" t="s">
        <v>69</v>
      </c>
      <c r="F104" s="2" t="s">
        <v>19</v>
      </c>
      <c r="G104" s="2" t="s">
        <v>20</v>
      </c>
      <c r="H104" s="2">
        <v>1</v>
      </c>
      <c r="I104" s="2">
        <v>717.78</v>
      </c>
      <c r="J104" s="2">
        <v>0.08</v>
      </c>
      <c r="K104" s="2">
        <v>660.36</v>
      </c>
      <c r="L104" s="2">
        <v>544.01</v>
      </c>
      <c r="M104" s="2">
        <v>116.35</v>
      </c>
      <c r="N104" s="2" t="s">
        <v>58</v>
      </c>
      <c r="O104" s="2" t="s">
        <v>40</v>
      </c>
    </row>
    <row r="105" spans="1:15" x14ac:dyDescent="0.3">
      <c r="A105" s="2" t="s">
        <v>187</v>
      </c>
      <c r="B105" s="3">
        <v>45907</v>
      </c>
      <c r="C105" s="2" t="s">
        <v>37</v>
      </c>
      <c r="D105" s="2" t="s">
        <v>25</v>
      </c>
      <c r="E105" s="2" t="s">
        <v>56</v>
      </c>
      <c r="F105" s="2" t="s">
        <v>27</v>
      </c>
      <c r="G105" s="2" t="s">
        <v>28</v>
      </c>
      <c r="H105" s="2">
        <v>8</v>
      </c>
      <c r="I105" s="2">
        <v>29905.11</v>
      </c>
      <c r="J105" s="2">
        <v>0.03</v>
      </c>
      <c r="K105" s="2">
        <v>232063.67</v>
      </c>
      <c r="L105" s="2">
        <v>175511.34</v>
      </c>
      <c r="M105" s="2">
        <v>56552.33</v>
      </c>
      <c r="N105" s="2" t="s">
        <v>21</v>
      </c>
      <c r="O105" s="2" t="s">
        <v>45</v>
      </c>
    </row>
    <row r="106" spans="1:15" x14ac:dyDescent="0.3">
      <c r="A106" s="2" t="s">
        <v>188</v>
      </c>
      <c r="B106" s="3">
        <v>45760</v>
      </c>
      <c r="C106" s="2" t="s">
        <v>63</v>
      </c>
      <c r="D106" s="2" t="s">
        <v>64</v>
      </c>
      <c r="E106" s="2" t="s">
        <v>26</v>
      </c>
      <c r="F106" s="2" t="s">
        <v>34</v>
      </c>
      <c r="G106" s="2" t="s">
        <v>57</v>
      </c>
      <c r="H106" s="2">
        <v>7</v>
      </c>
      <c r="I106" s="2">
        <v>23039.599999999999</v>
      </c>
      <c r="J106" s="2">
        <v>0.08</v>
      </c>
      <c r="K106" s="2">
        <v>148375.04999999999</v>
      </c>
      <c r="L106" s="2">
        <v>93946.9</v>
      </c>
      <c r="M106" s="2">
        <v>54428.15</v>
      </c>
      <c r="N106" s="2" t="s">
        <v>21</v>
      </c>
      <c r="O106" s="2" t="s">
        <v>22</v>
      </c>
    </row>
    <row r="107" spans="1:15" x14ac:dyDescent="0.3">
      <c r="A107" s="2" t="s">
        <v>189</v>
      </c>
      <c r="B107" s="3">
        <v>45661</v>
      </c>
      <c r="C107" s="2" t="s">
        <v>63</v>
      </c>
      <c r="D107" s="2" t="s">
        <v>95</v>
      </c>
      <c r="E107" s="2" t="s">
        <v>33</v>
      </c>
      <c r="F107" s="2" t="s">
        <v>27</v>
      </c>
      <c r="G107" s="2" t="s">
        <v>66</v>
      </c>
      <c r="H107" s="2">
        <v>8</v>
      </c>
      <c r="I107" s="2">
        <v>10896.22</v>
      </c>
      <c r="J107" s="2">
        <v>0.05</v>
      </c>
      <c r="K107" s="2">
        <v>82811.25</v>
      </c>
      <c r="L107" s="2">
        <v>62719.8</v>
      </c>
      <c r="M107" s="2">
        <v>20091.45</v>
      </c>
      <c r="N107" s="2" t="s">
        <v>58</v>
      </c>
      <c r="O107" s="2" t="s">
        <v>30</v>
      </c>
    </row>
    <row r="108" spans="1:15" x14ac:dyDescent="0.3">
      <c r="A108" s="2" t="s">
        <v>190</v>
      </c>
      <c r="B108" s="3">
        <v>45908</v>
      </c>
      <c r="C108" s="2" t="s">
        <v>63</v>
      </c>
      <c r="D108" s="2" t="s">
        <v>95</v>
      </c>
      <c r="E108" s="2" t="s">
        <v>26</v>
      </c>
      <c r="F108" s="2" t="s">
        <v>43</v>
      </c>
      <c r="G108" s="2" t="s">
        <v>91</v>
      </c>
      <c r="H108" s="2">
        <v>6</v>
      </c>
      <c r="I108" s="2">
        <v>47366.45</v>
      </c>
      <c r="J108" s="2">
        <v>0.05</v>
      </c>
      <c r="K108" s="2">
        <v>269988.75</v>
      </c>
      <c r="L108" s="2">
        <v>231564.47</v>
      </c>
      <c r="M108" s="2">
        <v>38424.28</v>
      </c>
      <c r="N108" s="2" t="s">
        <v>58</v>
      </c>
      <c r="O108" s="2" t="s">
        <v>45</v>
      </c>
    </row>
    <row r="109" spans="1:15" x14ac:dyDescent="0.3">
      <c r="A109" s="2" t="s">
        <v>191</v>
      </c>
      <c r="B109" s="3">
        <v>45842</v>
      </c>
      <c r="C109" s="2" t="s">
        <v>16</v>
      </c>
      <c r="D109" s="2" t="s">
        <v>82</v>
      </c>
      <c r="E109" s="2" t="s">
        <v>69</v>
      </c>
      <c r="F109" s="2" t="s">
        <v>34</v>
      </c>
      <c r="G109" s="2" t="s">
        <v>35</v>
      </c>
      <c r="H109" s="2">
        <v>5</v>
      </c>
      <c r="I109" s="2">
        <v>18769.5</v>
      </c>
      <c r="J109" s="2">
        <v>0.05</v>
      </c>
      <c r="K109" s="2">
        <v>89155.14</v>
      </c>
      <c r="L109" s="2">
        <v>65544.2</v>
      </c>
      <c r="M109" s="2">
        <v>23610.94</v>
      </c>
      <c r="N109" s="2" t="s">
        <v>29</v>
      </c>
      <c r="O109" s="2" t="s">
        <v>40</v>
      </c>
    </row>
    <row r="110" spans="1:15" x14ac:dyDescent="0.3">
      <c r="A110" s="2" t="s">
        <v>192</v>
      </c>
      <c r="B110" s="3">
        <v>45815</v>
      </c>
      <c r="C110" s="2" t="s">
        <v>54</v>
      </c>
      <c r="D110" s="2" t="s">
        <v>48</v>
      </c>
      <c r="E110" s="2" t="s">
        <v>74</v>
      </c>
      <c r="F110" s="2" t="s">
        <v>43</v>
      </c>
      <c r="G110" s="2" t="s">
        <v>91</v>
      </c>
      <c r="H110" s="2">
        <v>5</v>
      </c>
      <c r="I110" s="2">
        <v>49783.85</v>
      </c>
      <c r="J110" s="2">
        <v>0</v>
      </c>
      <c r="K110" s="2">
        <v>248919.24</v>
      </c>
      <c r="L110" s="2">
        <v>182247.36</v>
      </c>
      <c r="M110" s="2">
        <v>66671.88</v>
      </c>
      <c r="N110" s="2" t="s">
        <v>58</v>
      </c>
      <c r="O110" s="2" t="s">
        <v>59</v>
      </c>
    </row>
    <row r="111" spans="1:15" x14ac:dyDescent="0.3">
      <c r="A111" s="2" t="s">
        <v>193</v>
      </c>
      <c r="B111" s="3">
        <v>45950</v>
      </c>
      <c r="C111" s="2" t="s">
        <v>37</v>
      </c>
      <c r="D111" s="2" t="s">
        <v>68</v>
      </c>
      <c r="E111" s="2" t="s">
        <v>26</v>
      </c>
      <c r="F111" s="2" t="s">
        <v>34</v>
      </c>
      <c r="G111" s="2" t="s">
        <v>70</v>
      </c>
      <c r="H111" s="2">
        <v>7</v>
      </c>
      <c r="I111" s="2">
        <v>63797</v>
      </c>
      <c r="J111" s="2">
        <v>0.08</v>
      </c>
      <c r="K111" s="2">
        <v>410852.66</v>
      </c>
      <c r="L111" s="2">
        <v>276249.49</v>
      </c>
      <c r="M111" s="2">
        <v>134603.17000000001</v>
      </c>
      <c r="N111" s="2" t="s">
        <v>58</v>
      </c>
      <c r="O111" s="2" t="s">
        <v>22</v>
      </c>
    </row>
    <row r="112" spans="1:15" x14ac:dyDescent="0.3">
      <c r="A112" s="2" t="s">
        <v>194</v>
      </c>
      <c r="B112" s="3">
        <v>45716</v>
      </c>
      <c r="C112" s="2" t="s">
        <v>63</v>
      </c>
      <c r="D112" s="2" t="s">
        <v>64</v>
      </c>
      <c r="E112" s="2" t="s">
        <v>26</v>
      </c>
      <c r="F112" s="2" t="s">
        <v>27</v>
      </c>
      <c r="G112" s="2" t="s">
        <v>66</v>
      </c>
      <c r="H112" s="2">
        <v>6</v>
      </c>
      <c r="I112" s="2">
        <v>11199.6</v>
      </c>
      <c r="J112" s="2">
        <v>0.03</v>
      </c>
      <c r="K112" s="2">
        <v>65181.7</v>
      </c>
      <c r="L112" s="2">
        <v>55918.11</v>
      </c>
      <c r="M112" s="2">
        <v>9263.59</v>
      </c>
      <c r="N112" s="2" t="s">
        <v>21</v>
      </c>
      <c r="O112" s="2" t="s">
        <v>45</v>
      </c>
    </row>
    <row r="113" spans="1:15" x14ac:dyDescent="0.3">
      <c r="A113" s="2" t="s">
        <v>195</v>
      </c>
      <c r="B113" s="3">
        <v>45916</v>
      </c>
      <c r="C113" s="2" t="s">
        <v>63</v>
      </c>
      <c r="D113" s="2" t="s">
        <v>95</v>
      </c>
      <c r="E113" s="2" t="s">
        <v>69</v>
      </c>
      <c r="F113" s="2" t="s">
        <v>43</v>
      </c>
      <c r="G113" s="2" t="s">
        <v>75</v>
      </c>
      <c r="H113" s="2" t="s">
        <v>196</v>
      </c>
      <c r="I113" s="2">
        <v>34136.800000000003</v>
      </c>
      <c r="J113" s="2">
        <v>0.03</v>
      </c>
      <c r="K113" s="2">
        <v>99338.09</v>
      </c>
      <c r="L113" s="2">
        <v>66034.52</v>
      </c>
      <c r="M113" s="2">
        <v>33303.57</v>
      </c>
      <c r="N113" s="2" t="s">
        <v>58</v>
      </c>
      <c r="O113" s="2" t="s">
        <v>45</v>
      </c>
    </row>
    <row r="114" spans="1:15" x14ac:dyDescent="0.3">
      <c r="A114" s="2" t="s">
        <v>197</v>
      </c>
      <c r="B114" s="3">
        <v>45835</v>
      </c>
      <c r="C114" s="2" t="s">
        <v>37</v>
      </c>
      <c r="D114" s="2" t="s">
        <v>38</v>
      </c>
      <c r="E114" s="2" t="s">
        <v>18</v>
      </c>
      <c r="F114" s="2" t="s">
        <v>198</v>
      </c>
      <c r="G114" s="2" t="s">
        <v>66</v>
      </c>
      <c r="H114" s="2">
        <v>4</v>
      </c>
      <c r="I114" s="2">
        <v>11871.04</v>
      </c>
      <c r="J114" s="2">
        <v>0.03</v>
      </c>
      <c r="K114" s="2">
        <v>46059.63</v>
      </c>
      <c r="L114" s="2">
        <v>32937.15</v>
      </c>
      <c r="M114" s="2">
        <v>13122.48</v>
      </c>
      <c r="N114" s="2" t="s">
        <v>29</v>
      </c>
      <c r="O114" s="2" t="s">
        <v>30</v>
      </c>
    </row>
    <row r="115" spans="1:15" x14ac:dyDescent="0.3">
      <c r="A115" s="2" t="s">
        <v>15</v>
      </c>
      <c r="B115" s="3">
        <v>45745</v>
      </c>
      <c r="C115" s="2" t="s">
        <v>16</v>
      </c>
      <c r="D115" s="2" t="s">
        <v>17</v>
      </c>
      <c r="E115" s="2" t="s">
        <v>18</v>
      </c>
      <c r="F115" s="2" t="s">
        <v>19</v>
      </c>
      <c r="G115" s="2" t="s">
        <v>20</v>
      </c>
      <c r="H115" s="2">
        <v>5</v>
      </c>
      <c r="I115" s="2">
        <v>661.47</v>
      </c>
      <c r="J115" s="2">
        <v>0.03</v>
      </c>
      <c r="K115" s="2">
        <v>3208.15</v>
      </c>
      <c r="L115" s="2">
        <v>2033.77</v>
      </c>
      <c r="M115" s="2">
        <v>1174.3800000000001</v>
      </c>
      <c r="N115" s="2" t="s">
        <v>21</v>
      </c>
      <c r="O115" s="2" t="s">
        <v>22</v>
      </c>
    </row>
    <row r="116" spans="1:15" x14ac:dyDescent="0.3">
      <c r="A116" s="2" t="s">
        <v>199</v>
      </c>
      <c r="B116" s="3">
        <v>45883</v>
      </c>
      <c r="C116" s="2" t="s">
        <v>37</v>
      </c>
      <c r="D116" s="2" t="s">
        <v>68</v>
      </c>
      <c r="E116" s="2" t="s">
        <v>56</v>
      </c>
      <c r="F116" s="2" t="s">
        <v>34</v>
      </c>
      <c r="G116" s="2" t="s">
        <v>39</v>
      </c>
      <c r="H116" s="2">
        <v>4</v>
      </c>
      <c r="I116" s="2">
        <v>27770.03</v>
      </c>
      <c r="J116" s="2">
        <v>0.03</v>
      </c>
      <c r="K116" s="2">
        <v>107747.71</v>
      </c>
      <c r="L116" s="2">
        <v>90893.97</v>
      </c>
      <c r="M116" s="2">
        <v>16853.740000000002</v>
      </c>
      <c r="N116" s="2" t="s">
        <v>21</v>
      </c>
      <c r="O116" s="2" t="s">
        <v>22</v>
      </c>
    </row>
    <row r="117" spans="1:15" x14ac:dyDescent="0.3">
      <c r="A117" s="2" t="s">
        <v>200</v>
      </c>
      <c r="B117" s="3">
        <v>45697</v>
      </c>
      <c r="C117" s="2" t="s">
        <v>63</v>
      </c>
      <c r="D117" s="2" t="s">
        <v>117</v>
      </c>
      <c r="E117" s="2" t="s">
        <v>33</v>
      </c>
      <c r="F117" s="2" t="s">
        <v>34</v>
      </c>
      <c r="G117" s="2" t="s">
        <v>35</v>
      </c>
      <c r="H117" s="2">
        <v>8</v>
      </c>
      <c r="I117" s="2">
        <v>18527.79</v>
      </c>
      <c r="J117" s="2">
        <v>0</v>
      </c>
      <c r="K117" s="2">
        <v>148222.28</v>
      </c>
      <c r="L117" s="2">
        <v>122178.09</v>
      </c>
      <c r="M117" s="2">
        <v>26044.19</v>
      </c>
      <c r="N117" s="2" t="s">
        <v>58</v>
      </c>
      <c r="O117" s="2" t="s">
        <v>45</v>
      </c>
    </row>
    <row r="118" spans="1:15" x14ac:dyDescent="0.3">
      <c r="A118" s="2" t="s">
        <v>201</v>
      </c>
      <c r="B118" s="3">
        <v>45825</v>
      </c>
      <c r="C118" s="2" t="s">
        <v>54</v>
      </c>
      <c r="D118" s="2" t="s">
        <v>174</v>
      </c>
      <c r="E118" s="2" t="s">
        <v>26</v>
      </c>
      <c r="F118" s="2" t="s">
        <v>19</v>
      </c>
      <c r="G118" s="2" t="s">
        <v>106</v>
      </c>
      <c r="H118" s="2">
        <v>5</v>
      </c>
      <c r="I118" s="2">
        <v>13478.14</v>
      </c>
      <c r="J118" s="2">
        <v>0.1</v>
      </c>
      <c r="K118" s="2">
        <v>60651.64</v>
      </c>
      <c r="L118" s="2">
        <v>49211.66</v>
      </c>
      <c r="M118" s="2">
        <v>11439.98</v>
      </c>
      <c r="N118" s="2" t="s">
        <v>21</v>
      </c>
      <c r="O118" s="2" t="s">
        <v>22</v>
      </c>
    </row>
    <row r="119" spans="1:15" x14ac:dyDescent="0.3">
      <c r="A119" s="2" t="s">
        <v>202</v>
      </c>
      <c r="B119" s="3">
        <v>45664</v>
      </c>
      <c r="C119" s="2" t="s">
        <v>54</v>
      </c>
      <c r="D119" s="2" t="s">
        <v>124</v>
      </c>
      <c r="E119" s="2" t="s">
        <v>65</v>
      </c>
      <c r="F119" s="2" t="s">
        <v>203</v>
      </c>
      <c r="G119" s="2" t="s">
        <v>89</v>
      </c>
      <c r="H119" s="2">
        <v>5</v>
      </c>
      <c r="I119" s="2">
        <v>32922.32</v>
      </c>
      <c r="J119" s="2">
        <v>0.08</v>
      </c>
      <c r="K119" s="2">
        <v>151442.68</v>
      </c>
      <c r="L119" s="2">
        <v>121252.88</v>
      </c>
      <c r="M119" s="2">
        <v>30189.8</v>
      </c>
      <c r="N119" s="2" t="s">
        <v>58</v>
      </c>
      <c r="O119" s="2" t="s">
        <v>45</v>
      </c>
    </row>
    <row r="120" spans="1:15" x14ac:dyDescent="0.3">
      <c r="A120" s="2" t="s">
        <v>204</v>
      </c>
      <c r="B120" s="3">
        <v>46013</v>
      </c>
      <c r="C120" s="2" t="s">
        <v>54</v>
      </c>
      <c r="D120" s="2" t="s">
        <v>174</v>
      </c>
      <c r="E120" s="2" t="s">
        <v>18</v>
      </c>
      <c r="F120" s="2" t="s">
        <v>27</v>
      </c>
      <c r="G120" s="2" t="s">
        <v>28</v>
      </c>
      <c r="H120" s="2">
        <v>8</v>
      </c>
      <c r="I120" s="2">
        <v>27261.33</v>
      </c>
      <c r="J120" s="2">
        <v>0.08</v>
      </c>
      <c r="K120" s="2">
        <v>200643.41</v>
      </c>
      <c r="L120" s="2">
        <v>132140.21</v>
      </c>
      <c r="M120" s="2">
        <v>68503.199999999997</v>
      </c>
      <c r="N120" s="2" t="s">
        <v>29</v>
      </c>
      <c r="O120" s="2" t="s">
        <v>45</v>
      </c>
    </row>
    <row r="121" spans="1:15" x14ac:dyDescent="0.3">
      <c r="A121" s="2" t="s">
        <v>205</v>
      </c>
      <c r="B121" s="3">
        <v>46001</v>
      </c>
      <c r="C121" s="2" t="s">
        <v>16</v>
      </c>
      <c r="D121" s="2" t="s">
        <v>32</v>
      </c>
      <c r="E121" s="2" t="s">
        <v>33</v>
      </c>
      <c r="F121" s="2" t="s">
        <v>34</v>
      </c>
      <c r="G121" s="2" t="s">
        <v>57</v>
      </c>
      <c r="H121" s="2">
        <v>1</v>
      </c>
      <c r="I121" s="2">
        <v>22210.65</v>
      </c>
      <c r="J121" s="2">
        <v>0</v>
      </c>
      <c r="K121" s="2">
        <v>22210.65</v>
      </c>
      <c r="L121" s="2">
        <v>15778.6</v>
      </c>
      <c r="M121" s="2">
        <v>6432.05</v>
      </c>
      <c r="N121" s="2" t="s">
        <v>58</v>
      </c>
      <c r="O121" s="2" t="s">
        <v>22</v>
      </c>
    </row>
    <row r="122" spans="1:15" x14ac:dyDescent="0.3">
      <c r="A122" s="2" t="s">
        <v>206</v>
      </c>
      <c r="B122" s="3">
        <v>46009</v>
      </c>
      <c r="C122" s="2" t="s">
        <v>63</v>
      </c>
      <c r="D122" s="2" t="s">
        <v>117</v>
      </c>
      <c r="E122" s="2" t="s">
        <v>56</v>
      </c>
      <c r="F122" s="2" t="s">
        <v>27</v>
      </c>
      <c r="G122" s="2" t="s">
        <v>50</v>
      </c>
      <c r="H122" s="2">
        <v>4</v>
      </c>
      <c r="I122" s="2">
        <v>28461.59</v>
      </c>
      <c r="J122" s="2">
        <v>0.08</v>
      </c>
      <c r="K122" s="2">
        <v>104738.64</v>
      </c>
      <c r="L122" s="2">
        <v>84766.41</v>
      </c>
      <c r="M122" s="2">
        <v>19972.23</v>
      </c>
      <c r="N122" s="2" t="s">
        <v>58</v>
      </c>
      <c r="O122" s="2" t="s">
        <v>40</v>
      </c>
    </row>
    <row r="123" spans="1:15" x14ac:dyDescent="0.3">
      <c r="A123" s="2" t="s">
        <v>207</v>
      </c>
      <c r="B123" s="3">
        <v>45963</v>
      </c>
      <c r="C123" s="2" t="s">
        <v>16</v>
      </c>
      <c r="D123" s="2" t="s">
        <v>17</v>
      </c>
      <c r="E123" s="2" t="s">
        <v>49</v>
      </c>
      <c r="F123" s="2" t="s">
        <v>34</v>
      </c>
      <c r="G123" s="2" t="s">
        <v>39</v>
      </c>
      <c r="H123" s="2">
        <v>6</v>
      </c>
      <c r="I123" s="2">
        <v>29260.240000000002</v>
      </c>
      <c r="J123" s="2">
        <v>0.08</v>
      </c>
      <c r="K123" s="2">
        <v>161516.51999999999</v>
      </c>
      <c r="L123" s="2">
        <v>101913.38</v>
      </c>
      <c r="M123" s="2">
        <v>59603.14</v>
      </c>
      <c r="N123" s="2" t="s">
        <v>58</v>
      </c>
      <c r="O123" s="2" t="s">
        <v>45</v>
      </c>
    </row>
    <row r="124" spans="1:15" x14ac:dyDescent="0.3">
      <c r="A124" s="2" t="s">
        <v>208</v>
      </c>
      <c r="B124" s="3">
        <v>45715</v>
      </c>
      <c r="C124" s="2" t="s">
        <v>16</v>
      </c>
      <c r="D124" s="2" t="s">
        <v>32</v>
      </c>
      <c r="E124" s="2" t="s">
        <v>69</v>
      </c>
      <c r="F124" s="2" t="s">
        <v>43</v>
      </c>
      <c r="G124" s="2" t="s">
        <v>91</v>
      </c>
      <c r="H124" s="2">
        <v>7</v>
      </c>
      <c r="I124" s="2">
        <v>44664.01</v>
      </c>
      <c r="J124" s="2">
        <v>0.1</v>
      </c>
      <c r="K124" s="2">
        <v>281383.26</v>
      </c>
      <c r="L124" s="2">
        <v>199568.28</v>
      </c>
      <c r="M124" s="2">
        <v>81814.98</v>
      </c>
      <c r="N124" s="2" t="s">
        <v>21</v>
      </c>
      <c r="O124" s="2" t="s">
        <v>59</v>
      </c>
    </row>
    <row r="125" spans="1:15" x14ac:dyDescent="0.3">
      <c r="A125" s="2" t="s">
        <v>209</v>
      </c>
      <c r="B125" s="3">
        <v>45945</v>
      </c>
      <c r="C125" s="2" t="s">
        <v>37</v>
      </c>
      <c r="D125" s="2" t="s">
        <v>68</v>
      </c>
      <c r="E125" s="2" t="s">
        <v>49</v>
      </c>
      <c r="F125" s="2" t="s">
        <v>43</v>
      </c>
      <c r="G125" s="2" t="s">
        <v>121</v>
      </c>
      <c r="H125" s="2">
        <v>1</v>
      </c>
      <c r="I125" s="2">
        <v>4730.8999999999996</v>
      </c>
      <c r="J125" s="2">
        <v>0.1</v>
      </c>
      <c r="K125" s="2">
        <v>4257.8100000000004</v>
      </c>
      <c r="L125" s="2">
        <v>3348.7</v>
      </c>
      <c r="M125" s="2">
        <v>909.11</v>
      </c>
      <c r="N125" s="2" t="s">
        <v>21</v>
      </c>
      <c r="O125" s="2" t="s">
        <v>40</v>
      </c>
    </row>
    <row r="126" spans="1:15" x14ac:dyDescent="0.3">
      <c r="A126" s="2" t="s">
        <v>210</v>
      </c>
      <c r="B126" s="3">
        <v>45741</v>
      </c>
      <c r="C126" s="2" t="s">
        <v>63</v>
      </c>
      <c r="D126" s="2" t="s">
        <v>64</v>
      </c>
      <c r="E126" s="2" t="s">
        <v>69</v>
      </c>
      <c r="F126" s="2" t="s">
        <v>27</v>
      </c>
      <c r="G126" s="2" t="s">
        <v>50</v>
      </c>
      <c r="H126" s="2">
        <v>8</v>
      </c>
      <c r="I126" s="2">
        <v>29675.21</v>
      </c>
      <c r="J126" s="2">
        <v>0.1</v>
      </c>
      <c r="K126" s="2">
        <v>213661.49</v>
      </c>
      <c r="L126" s="2">
        <v>153993.22</v>
      </c>
      <c r="M126" s="2">
        <v>59668.27</v>
      </c>
      <c r="N126" s="2" t="s">
        <v>21</v>
      </c>
      <c r="O126" s="2" t="s">
        <v>30</v>
      </c>
    </row>
    <row r="127" spans="1:15" x14ac:dyDescent="0.3">
      <c r="A127" s="2" t="s">
        <v>211</v>
      </c>
      <c r="B127" s="3">
        <v>45931</v>
      </c>
      <c r="C127" s="2" t="s">
        <v>16</v>
      </c>
      <c r="D127" s="2" t="s">
        <v>32</v>
      </c>
      <c r="E127" s="2" t="s">
        <v>56</v>
      </c>
      <c r="F127" s="2" t="s">
        <v>34</v>
      </c>
      <c r="G127" s="2" t="s">
        <v>39</v>
      </c>
      <c r="H127" s="2">
        <v>5</v>
      </c>
      <c r="I127" s="2">
        <v>28561.72</v>
      </c>
      <c r="J127" s="2">
        <v>0.1</v>
      </c>
      <c r="K127" s="2">
        <v>128527.76</v>
      </c>
      <c r="L127" s="2">
        <v>101740.23</v>
      </c>
      <c r="M127" s="2">
        <v>26787.53</v>
      </c>
      <c r="N127" s="2" t="s">
        <v>58</v>
      </c>
      <c r="O127" s="2" t="s">
        <v>22</v>
      </c>
    </row>
    <row r="128" spans="1:15" x14ac:dyDescent="0.3">
      <c r="A128" s="2" t="s">
        <v>212</v>
      </c>
      <c r="B128" s="3">
        <v>46006</v>
      </c>
      <c r="C128" s="2" t="s">
        <v>54</v>
      </c>
      <c r="D128" s="2" t="s">
        <v>48</v>
      </c>
      <c r="E128" s="2" t="s">
        <v>56</v>
      </c>
      <c r="F128" s="2" t="s">
        <v>27</v>
      </c>
      <c r="G128" s="2" t="s">
        <v>125</v>
      </c>
      <c r="H128" s="2">
        <v>8</v>
      </c>
      <c r="I128" s="2">
        <v>8868.4500000000007</v>
      </c>
      <c r="J128" s="2">
        <v>0.1</v>
      </c>
      <c r="K128" s="2">
        <v>63852.87</v>
      </c>
      <c r="L128" s="2">
        <v>51251.24</v>
      </c>
      <c r="M128" s="2">
        <v>12601.63</v>
      </c>
      <c r="N128" s="2" t="s">
        <v>21</v>
      </c>
      <c r="O128" s="2" t="s">
        <v>45</v>
      </c>
    </row>
    <row r="129" spans="1:15" x14ac:dyDescent="0.3">
      <c r="A129" s="2" t="s">
        <v>213</v>
      </c>
      <c r="B129" s="3">
        <v>45885</v>
      </c>
      <c r="C129" s="2" t="s">
        <v>54</v>
      </c>
      <c r="D129" s="2" t="s">
        <v>48</v>
      </c>
      <c r="E129" s="2" t="s">
        <v>69</v>
      </c>
      <c r="F129" s="2" t="s">
        <v>34</v>
      </c>
      <c r="G129" s="2" t="s">
        <v>70</v>
      </c>
      <c r="H129" s="2">
        <v>6</v>
      </c>
      <c r="I129" s="2">
        <v>61020.01</v>
      </c>
      <c r="J129" s="2">
        <v>0</v>
      </c>
      <c r="K129" s="2">
        <v>366120.03</v>
      </c>
      <c r="L129" s="2">
        <v>287234.21999999997</v>
      </c>
      <c r="M129" s="2">
        <v>78885.81</v>
      </c>
      <c r="N129" s="2" t="s">
        <v>29</v>
      </c>
      <c r="O129" s="2" t="s">
        <v>30</v>
      </c>
    </row>
    <row r="130" spans="1:15" x14ac:dyDescent="0.3">
      <c r="A130" s="2" t="s">
        <v>214</v>
      </c>
      <c r="B130" s="3">
        <v>45934</v>
      </c>
      <c r="C130" s="2" t="s">
        <v>37</v>
      </c>
      <c r="D130" s="2" t="s">
        <v>25</v>
      </c>
      <c r="E130" s="2" t="s">
        <v>74</v>
      </c>
      <c r="F130" s="2" t="s">
        <v>34</v>
      </c>
      <c r="G130" s="2" t="s">
        <v>39</v>
      </c>
      <c r="H130" s="2">
        <v>8</v>
      </c>
      <c r="I130" s="2">
        <v>29679.58</v>
      </c>
      <c r="J130" s="2">
        <v>0.15</v>
      </c>
      <c r="K130" s="2">
        <v>201821.17</v>
      </c>
      <c r="L130" s="2">
        <v>132374.38</v>
      </c>
      <c r="M130" s="2">
        <v>69446.789999999994</v>
      </c>
      <c r="N130" s="2" t="s">
        <v>21</v>
      </c>
      <c r="O130" s="2" t="s">
        <v>59</v>
      </c>
    </row>
    <row r="131" spans="1:15" x14ac:dyDescent="0.3">
      <c r="A131" s="2" t="s">
        <v>215</v>
      </c>
      <c r="B131" s="3">
        <v>45871</v>
      </c>
      <c r="C131" s="2" t="s">
        <v>16</v>
      </c>
      <c r="D131" s="2" t="s">
        <v>32</v>
      </c>
      <c r="E131" s="2" t="s">
        <v>74</v>
      </c>
      <c r="F131" s="2" t="s">
        <v>34</v>
      </c>
      <c r="G131" s="2" t="s">
        <v>80</v>
      </c>
      <c r="H131" s="2">
        <v>1</v>
      </c>
      <c r="I131" s="2">
        <v>4759.29</v>
      </c>
      <c r="J131" s="2">
        <v>0.08</v>
      </c>
      <c r="K131" s="2">
        <v>4378.55</v>
      </c>
      <c r="L131" s="2">
        <v>2756.33</v>
      </c>
      <c r="M131" s="2">
        <v>1622.22</v>
      </c>
      <c r="N131" s="2" t="s">
        <v>58</v>
      </c>
      <c r="O131" s="2" t="s">
        <v>30</v>
      </c>
    </row>
    <row r="132" spans="1:15" x14ac:dyDescent="0.3">
      <c r="A132" s="2" t="s">
        <v>216</v>
      </c>
      <c r="B132" s="3">
        <v>46010</v>
      </c>
      <c r="C132" s="2" t="s">
        <v>37</v>
      </c>
      <c r="D132" s="2" t="s">
        <v>68</v>
      </c>
      <c r="E132" s="2" t="s">
        <v>74</v>
      </c>
      <c r="F132" s="2" t="s">
        <v>34</v>
      </c>
      <c r="G132" s="2" t="s">
        <v>35</v>
      </c>
      <c r="H132" s="2">
        <v>4</v>
      </c>
      <c r="I132" s="2">
        <v>17556.53</v>
      </c>
      <c r="J132" s="2">
        <v>0.08</v>
      </c>
      <c r="K132" s="2" t="s">
        <v>217</v>
      </c>
      <c r="L132" s="2">
        <v>54651.73</v>
      </c>
      <c r="M132" s="2">
        <v>9956.2900000000009</v>
      </c>
      <c r="N132" s="2" t="s">
        <v>29</v>
      </c>
      <c r="O132" s="2" t="s">
        <v>30</v>
      </c>
    </row>
    <row r="133" spans="1:15" x14ac:dyDescent="0.3">
      <c r="A133" s="2" t="s">
        <v>218</v>
      </c>
      <c r="B133" s="3">
        <v>45779</v>
      </c>
      <c r="C133" s="2" t="s">
        <v>54</v>
      </c>
      <c r="D133" s="2" t="s">
        <v>48</v>
      </c>
      <c r="E133" s="2" t="s">
        <v>56</v>
      </c>
      <c r="F133" s="2" t="s">
        <v>27</v>
      </c>
      <c r="G133" s="2" t="s">
        <v>28</v>
      </c>
      <c r="H133" s="2">
        <v>6</v>
      </c>
      <c r="I133" s="2">
        <v>27202.98</v>
      </c>
      <c r="J133" s="2">
        <v>0.15</v>
      </c>
      <c r="K133" s="2">
        <v>138735.22</v>
      </c>
      <c r="L133" s="2">
        <v>92703.73</v>
      </c>
      <c r="M133" s="2">
        <v>46031.49</v>
      </c>
      <c r="N133" s="2" t="s">
        <v>58</v>
      </c>
      <c r="O133" s="2" t="s">
        <v>59</v>
      </c>
    </row>
    <row r="134" spans="1:15" x14ac:dyDescent="0.3">
      <c r="A134" s="2" t="s">
        <v>219</v>
      </c>
      <c r="B134" s="3">
        <v>45880</v>
      </c>
      <c r="C134" s="2" t="s">
        <v>37</v>
      </c>
      <c r="D134" s="2" t="s">
        <v>42</v>
      </c>
      <c r="E134" s="2" t="s">
        <v>56</v>
      </c>
      <c r="F134" s="2" t="s">
        <v>27</v>
      </c>
      <c r="G134" s="2" t="s">
        <v>125</v>
      </c>
      <c r="H134" s="2">
        <v>3</v>
      </c>
      <c r="I134" s="2">
        <v>9038.86</v>
      </c>
      <c r="J134" s="2">
        <v>0.08</v>
      </c>
      <c r="K134" s="2">
        <v>24947.26</v>
      </c>
      <c r="L134" s="2">
        <v>19159.12</v>
      </c>
      <c r="M134" s="2">
        <v>5788.14</v>
      </c>
      <c r="N134" s="2" t="s">
        <v>29</v>
      </c>
      <c r="O134" s="2" t="s">
        <v>59</v>
      </c>
    </row>
    <row r="135" spans="1:15" x14ac:dyDescent="0.3">
      <c r="A135" s="2" t="s">
        <v>220</v>
      </c>
      <c r="B135" s="3">
        <v>45865</v>
      </c>
      <c r="C135" s="2" t="s">
        <v>54</v>
      </c>
      <c r="D135" s="2" t="s">
        <v>55</v>
      </c>
      <c r="E135" s="2" t="s">
        <v>33</v>
      </c>
      <c r="F135" s="2" t="s">
        <v>19</v>
      </c>
      <c r="G135" s="2" t="s">
        <v>102</v>
      </c>
      <c r="H135" s="2">
        <v>6</v>
      </c>
      <c r="I135" s="2">
        <v>254.49</v>
      </c>
      <c r="J135" s="2">
        <v>0.05</v>
      </c>
      <c r="K135" s="2">
        <v>1450.59</v>
      </c>
      <c r="L135" s="2">
        <v>1129.42</v>
      </c>
      <c r="M135" s="2">
        <v>321.17</v>
      </c>
      <c r="N135" s="2" t="s">
        <v>29</v>
      </c>
      <c r="O135" s="2" t="s">
        <v>59</v>
      </c>
    </row>
    <row r="136" spans="1:15" x14ac:dyDescent="0.3">
      <c r="A136" s="2" t="s">
        <v>221</v>
      </c>
      <c r="B136" s="3">
        <v>45669</v>
      </c>
      <c r="C136" s="2" t="s">
        <v>54</v>
      </c>
      <c r="D136" s="2" t="s">
        <v>174</v>
      </c>
      <c r="E136" s="2" t="s">
        <v>69</v>
      </c>
      <c r="F136" s="2" t="s">
        <v>34</v>
      </c>
      <c r="G136" s="2" t="s">
        <v>35</v>
      </c>
      <c r="H136" s="2">
        <v>2</v>
      </c>
      <c r="I136" s="2">
        <v>17823.189999999999</v>
      </c>
      <c r="J136" s="2">
        <v>0.08</v>
      </c>
      <c r="K136" s="2">
        <v>32794.67</v>
      </c>
      <c r="L136" s="2">
        <v>25002.23</v>
      </c>
      <c r="M136" s="2">
        <v>7792.44</v>
      </c>
      <c r="N136" s="2" t="s">
        <v>21</v>
      </c>
      <c r="O136" s="2" t="s">
        <v>45</v>
      </c>
    </row>
    <row r="137" spans="1:15" x14ac:dyDescent="0.3">
      <c r="A137" s="2" t="s">
        <v>222</v>
      </c>
      <c r="B137" s="3">
        <v>45957</v>
      </c>
      <c r="C137" s="2" t="s">
        <v>63</v>
      </c>
      <c r="D137" s="2" t="s">
        <v>64</v>
      </c>
      <c r="E137" s="2" t="s">
        <v>18</v>
      </c>
      <c r="F137" s="2" t="s">
        <v>43</v>
      </c>
      <c r="G137" s="2" t="s">
        <v>121</v>
      </c>
      <c r="H137" s="2">
        <v>8</v>
      </c>
      <c r="I137" s="2">
        <v>5297.47</v>
      </c>
      <c r="J137" s="2">
        <v>0.05</v>
      </c>
      <c r="K137" s="2">
        <v>40260.74</v>
      </c>
      <c r="L137" s="2">
        <v>25383.54</v>
      </c>
      <c r="M137" s="2">
        <v>14877.2</v>
      </c>
      <c r="N137" s="2" t="s">
        <v>29</v>
      </c>
      <c r="O137" s="2" t="s">
        <v>59</v>
      </c>
    </row>
    <row r="138" spans="1:15" x14ac:dyDescent="0.3">
      <c r="A138" s="2" t="s">
        <v>223</v>
      </c>
      <c r="B138" s="3">
        <v>45864</v>
      </c>
      <c r="C138" s="2" t="s">
        <v>63</v>
      </c>
      <c r="D138" s="2" t="s">
        <v>95</v>
      </c>
      <c r="E138" s="2" t="s">
        <v>26</v>
      </c>
      <c r="F138" s="2" t="s">
        <v>43</v>
      </c>
      <c r="G138" s="2" t="s">
        <v>44</v>
      </c>
      <c r="H138" s="2">
        <v>3</v>
      </c>
      <c r="I138" s="2">
        <v>11196.53</v>
      </c>
      <c r="J138" s="2">
        <v>0.05</v>
      </c>
      <c r="K138" s="2">
        <v>31910.11</v>
      </c>
      <c r="L138" s="2">
        <v>21473.42</v>
      </c>
      <c r="M138" s="2">
        <v>10436.69</v>
      </c>
      <c r="N138" s="2" t="s">
        <v>21</v>
      </c>
      <c r="O138" s="2" t="s">
        <v>40</v>
      </c>
    </row>
    <row r="139" spans="1:15" x14ac:dyDescent="0.3">
      <c r="A139" s="2" t="s">
        <v>224</v>
      </c>
      <c r="B139" s="3">
        <v>45809</v>
      </c>
      <c r="C139" s="2" t="s">
        <v>37</v>
      </c>
      <c r="D139" s="2" t="s">
        <v>68</v>
      </c>
      <c r="E139" s="2" t="s">
        <v>18</v>
      </c>
      <c r="F139" s="2" t="s">
        <v>43</v>
      </c>
      <c r="G139" s="2" t="s">
        <v>91</v>
      </c>
      <c r="H139" s="2">
        <v>5</v>
      </c>
      <c r="I139" s="2">
        <v>46816.78</v>
      </c>
      <c r="J139" s="2">
        <v>0.05</v>
      </c>
      <c r="K139" s="2">
        <v>222379.71</v>
      </c>
      <c r="L139" s="2">
        <v>190587.39</v>
      </c>
      <c r="M139" s="2">
        <v>31792.32</v>
      </c>
      <c r="N139" s="2" t="s">
        <v>29</v>
      </c>
      <c r="O139" s="2" t="s">
        <v>22</v>
      </c>
    </row>
    <row r="140" spans="1:15" x14ac:dyDescent="0.3">
      <c r="A140" s="2" t="s">
        <v>225</v>
      </c>
      <c r="B140" s="3">
        <v>45900</v>
      </c>
      <c r="C140" s="2" t="s">
        <v>63</v>
      </c>
      <c r="D140" s="2" t="s">
        <v>88</v>
      </c>
      <c r="E140" s="2" t="s">
        <v>33</v>
      </c>
      <c r="F140" s="2" t="s">
        <v>19</v>
      </c>
      <c r="G140" s="2" t="s">
        <v>102</v>
      </c>
      <c r="H140" s="2">
        <v>2</v>
      </c>
      <c r="I140" s="2">
        <v>253.91</v>
      </c>
      <c r="J140" s="2">
        <v>0.1</v>
      </c>
      <c r="K140" s="2">
        <v>457.04</v>
      </c>
      <c r="L140" s="2">
        <v>355.21</v>
      </c>
      <c r="M140" s="2">
        <v>101.83</v>
      </c>
      <c r="N140" s="2" t="s">
        <v>29</v>
      </c>
      <c r="O140" s="2" t="s">
        <v>45</v>
      </c>
    </row>
    <row r="141" spans="1:15" x14ac:dyDescent="0.3">
      <c r="A141" s="2" t="s">
        <v>226</v>
      </c>
      <c r="B141" s="3">
        <v>45955</v>
      </c>
      <c r="C141" s="2" t="s">
        <v>37</v>
      </c>
      <c r="D141" s="2" t="s">
        <v>68</v>
      </c>
      <c r="E141" s="2" t="s">
        <v>33</v>
      </c>
      <c r="F141" s="2" t="s">
        <v>19</v>
      </c>
      <c r="G141" s="2" t="s">
        <v>108</v>
      </c>
      <c r="H141" s="2">
        <v>3</v>
      </c>
      <c r="I141" s="2">
        <v>15662.4</v>
      </c>
      <c r="J141" s="2">
        <v>0.05</v>
      </c>
      <c r="K141" s="2">
        <v>44637.84</v>
      </c>
      <c r="L141" s="2">
        <v>34123.19</v>
      </c>
      <c r="M141" s="2">
        <v>10514.65</v>
      </c>
      <c r="N141" s="2" t="s">
        <v>21</v>
      </c>
      <c r="O141" s="2" t="s">
        <v>59</v>
      </c>
    </row>
    <row r="142" spans="1:15" x14ac:dyDescent="0.3">
      <c r="A142" s="2" t="s">
        <v>227</v>
      </c>
      <c r="B142" s="3">
        <v>45787</v>
      </c>
      <c r="C142" s="2" t="s">
        <v>37</v>
      </c>
      <c r="D142" s="2" t="s">
        <v>68</v>
      </c>
      <c r="E142" s="2" t="s">
        <v>74</v>
      </c>
      <c r="F142" s="2" t="s">
        <v>43</v>
      </c>
      <c r="G142" s="2" t="s">
        <v>91</v>
      </c>
      <c r="H142" s="2">
        <v>5</v>
      </c>
      <c r="I142" s="2">
        <v>47579.94</v>
      </c>
      <c r="J142" s="2">
        <v>0.05</v>
      </c>
      <c r="K142" s="2">
        <v>226004.74</v>
      </c>
      <c r="L142" s="2">
        <v>159608.17000000001</v>
      </c>
      <c r="M142" s="2">
        <v>66396.570000000007</v>
      </c>
      <c r="N142" s="2" t="s">
        <v>21</v>
      </c>
      <c r="O142" s="2" t="s">
        <v>30</v>
      </c>
    </row>
    <row r="143" spans="1:15" x14ac:dyDescent="0.3">
      <c r="A143" s="2" t="s">
        <v>228</v>
      </c>
      <c r="B143" s="3">
        <v>45958</v>
      </c>
      <c r="C143" s="2" t="s">
        <v>16</v>
      </c>
      <c r="D143" s="2" t="s">
        <v>17</v>
      </c>
      <c r="E143" s="2" t="s">
        <v>49</v>
      </c>
      <c r="F143" s="2" t="s">
        <v>34</v>
      </c>
      <c r="G143" s="2" t="s">
        <v>80</v>
      </c>
      <c r="H143" s="2">
        <v>5</v>
      </c>
      <c r="I143" s="2">
        <v>4374.1400000000003</v>
      </c>
      <c r="J143" s="2">
        <v>0.08</v>
      </c>
      <c r="K143" s="2">
        <v>20121.03</v>
      </c>
      <c r="L143" s="2">
        <v>13107.03</v>
      </c>
      <c r="M143" s="2">
        <v>7014</v>
      </c>
      <c r="N143" s="2" t="s">
        <v>21</v>
      </c>
      <c r="O143" s="2" t="s">
        <v>22</v>
      </c>
    </row>
    <row r="144" spans="1:15" x14ac:dyDescent="0.3">
      <c r="A144" s="2" t="s">
        <v>229</v>
      </c>
      <c r="B144" s="3">
        <v>45921</v>
      </c>
      <c r="C144" s="2" t="s">
        <v>54</v>
      </c>
      <c r="D144" s="2" t="s">
        <v>48</v>
      </c>
      <c r="E144" s="2" t="s">
        <v>74</v>
      </c>
      <c r="F144" s="2" t="s">
        <v>34</v>
      </c>
      <c r="G144" s="2" t="s">
        <v>80</v>
      </c>
      <c r="H144" s="2">
        <v>2</v>
      </c>
      <c r="I144" s="2">
        <v>4621.96</v>
      </c>
      <c r="J144" s="2">
        <v>0</v>
      </c>
      <c r="K144" s="2">
        <v>9243.92</v>
      </c>
      <c r="L144" s="2">
        <v>6728.32</v>
      </c>
      <c r="M144" s="2">
        <v>2515.6</v>
      </c>
      <c r="N144" s="2" t="s">
        <v>29</v>
      </c>
      <c r="O144" s="2" t="s">
        <v>30</v>
      </c>
    </row>
    <row r="145" spans="1:15" x14ac:dyDescent="0.3">
      <c r="A145" s="2" t="s">
        <v>230</v>
      </c>
      <c r="B145" s="3">
        <v>45777</v>
      </c>
      <c r="C145" s="2"/>
      <c r="D145" s="2" t="s">
        <v>25</v>
      </c>
      <c r="E145" s="2" t="s">
        <v>49</v>
      </c>
      <c r="F145" s="2" t="s">
        <v>43</v>
      </c>
      <c r="G145" s="2" t="s">
        <v>44</v>
      </c>
      <c r="H145" s="2">
        <v>5</v>
      </c>
      <c r="I145" s="2">
        <v>11724.93</v>
      </c>
      <c r="J145" s="2">
        <v>0.05</v>
      </c>
      <c r="K145" s="2">
        <v>55693.4</v>
      </c>
      <c r="L145" s="2">
        <v>44979.64</v>
      </c>
      <c r="M145" s="2">
        <v>10713.76</v>
      </c>
      <c r="N145" s="2" t="s">
        <v>58</v>
      </c>
      <c r="O145" s="2" t="s">
        <v>40</v>
      </c>
    </row>
    <row r="146" spans="1:15" x14ac:dyDescent="0.3">
      <c r="A146" s="2" t="s">
        <v>231</v>
      </c>
      <c r="B146" s="3">
        <v>45939</v>
      </c>
      <c r="C146" s="2" t="s">
        <v>54</v>
      </c>
      <c r="D146" s="2" t="s">
        <v>48</v>
      </c>
      <c r="E146" s="2" t="s">
        <v>49</v>
      </c>
      <c r="F146" s="2" t="s">
        <v>43</v>
      </c>
      <c r="G146" s="2" t="s">
        <v>91</v>
      </c>
      <c r="H146" s="2">
        <v>2</v>
      </c>
      <c r="I146" s="2">
        <v>51737.8</v>
      </c>
      <c r="J146" s="2">
        <v>0</v>
      </c>
      <c r="K146" s="2">
        <v>103475.6</v>
      </c>
      <c r="L146" s="2">
        <v>69894.81</v>
      </c>
      <c r="M146" s="2">
        <v>33580.79</v>
      </c>
      <c r="N146" s="2" t="s">
        <v>21</v>
      </c>
      <c r="O146" s="2" t="s">
        <v>22</v>
      </c>
    </row>
    <row r="147" spans="1:15" x14ac:dyDescent="0.3">
      <c r="A147" s="2" t="s">
        <v>232</v>
      </c>
      <c r="B147" s="3">
        <v>45873</v>
      </c>
      <c r="C147" s="2" t="s">
        <v>16</v>
      </c>
      <c r="D147" s="2" t="s">
        <v>17</v>
      </c>
      <c r="E147" s="2" t="s">
        <v>69</v>
      </c>
      <c r="F147" s="2" t="s">
        <v>34</v>
      </c>
      <c r="G147" s="2" t="s">
        <v>70</v>
      </c>
      <c r="H147" s="2">
        <v>3</v>
      </c>
      <c r="I147" s="2">
        <v>60232.36</v>
      </c>
      <c r="J147" s="2">
        <v>0</v>
      </c>
      <c r="K147" s="2">
        <v>180697.07</v>
      </c>
      <c r="L147" s="2">
        <v>154819.66</v>
      </c>
      <c r="M147" s="2">
        <v>25877.41</v>
      </c>
      <c r="N147" s="2" t="s">
        <v>29</v>
      </c>
      <c r="O147" s="2" t="s">
        <v>59</v>
      </c>
    </row>
    <row r="148" spans="1:15" x14ac:dyDescent="0.3">
      <c r="A148" s="2" t="s">
        <v>233</v>
      </c>
      <c r="B148" s="3">
        <v>45783</v>
      </c>
      <c r="C148" s="2" t="s">
        <v>16</v>
      </c>
      <c r="D148" s="2" t="s">
        <v>17</v>
      </c>
      <c r="E148" s="2" t="s">
        <v>56</v>
      </c>
      <c r="F148" s="2" t="s">
        <v>43</v>
      </c>
      <c r="G148" s="2" t="s">
        <v>44</v>
      </c>
      <c r="H148" s="2">
        <v>2</v>
      </c>
      <c r="I148" s="2">
        <v>11697.89</v>
      </c>
      <c r="J148" s="2">
        <v>0.05</v>
      </c>
      <c r="K148" s="2">
        <v>22226</v>
      </c>
      <c r="L148" s="2">
        <v>14450.86</v>
      </c>
      <c r="M148" s="2">
        <v>7775.14</v>
      </c>
      <c r="N148" s="2" t="s">
        <v>21</v>
      </c>
      <c r="O148" s="2" t="s">
        <v>59</v>
      </c>
    </row>
    <row r="149" spans="1:15" x14ac:dyDescent="0.3">
      <c r="A149" s="2" t="s">
        <v>234</v>
      </c>
      <c r="B149" s="3">
        <v>45743</v>
      </c>
      <c r="C149" s="2" t="s">
        <v>37</v>
      </c>
      <c r="D149" s="2" t="s">
        <v>38</v>
      </c>
      <c r="E149" s="2" t="s">
        <v>26</v>
      </c>
      <c r="F149" s="2" t="s">
        <v>27</v>
      </c>
      <c r="G149" s="2" t="s">
        <v>89</v>
      </c>
      <c r="H149" s="2">
        <v>7</v>
      </c>
      <c r="I149" s="2">
        <v>32883.72</v>
      </c>
      <c r="J149" s="2">
        <v>0.05</v>
      </c>
      <c r="K149" s="2">
        <v>218676.76</v>
      </c>
      <c r="L149" s="2">
        <v>181141.8</v>
      </c>
      <c r="M149" s="2">
        <v>37534.959999999999</v>
      </c>
      <c r="N149" s="2" t="s">
        <v>21</v>
      </c>
      <c r="O149" s="2" t="s">
        <v>30</v>
      </c>
    </row>
    <row r="150" spans="1:15" x14ac:dyDescent="0.3">
      <c r="A150" s="2" t="s">
        <v>235</v>
      </c>
      <c r="B150" s="3">
        <v>45733</v>
      </c>
      <c r="C150" s="2" t="s">
        <v>54</v>
      </c>
      <c r="D150" s="2" t="s">
        <v>48</v>
      </c>
      <c r="E150" s="2" t="s">
        <v>69</v>
      </c>
      <c r="F150" s="2" t="s">
        <v>19</v>
      </c>
      <c r="G150" s="2" t="s">
        <v>61</v>
      </c>
      <c r="H150" s="2">
        <v>2</v>
      </c>
      <c r="I150" s="2">
        <v>9169.7000000000007</v>
      </c>
      <c r="J150" s="2">
        <v>0.1</v>
      </c>
      <c r="K150" s="2">
        <v>16505.46</v>
      </c>
      <c r="L150" s="2">
        <v>12493.75</v>
      </c>
      <c r="M150" s="2">
        <v>4011.71</v>
      </c>
      <c r="N150" s="2" t="s">
        <v>21</v>
      </c>
      <c r="O150" s="2" t="s">
        <v>30</v>
      </c>
    </row>
    <row r="151" spans="1:15" x14ac:dyDescent="0.3">
      <c r="A151" s="2" t="s">
        <v>236</v>
      </c>
      <c r="B151" s="3">
        <v>45849</v>
      </c>
      <c r="C151" s="2" t="s">
        <v>63</v>
      </c>
      <c r="D151" s="2" t="s">
        <v>95</v>
      </c>
      <c r="E151" s="2" t="s">
        <v>56</v>
      </c>
      <c r="F151" s="2" t="s">
        <v>34</v>
      </c>
      <c r="G151" s="2" t="s">
        <v>80</v>
      </c>
      <c r="H151" s="2">
        <v>8</v>
      </c>
      <c r="I151" s="2">
        <v>4608.8900000000003</v>
      </c>
      <c r="J151" s="2">
        <v>0</v>
      </c>
      <c r="K151" s="2">
        <v>36871.1</v>
      </c>
      <c r="L151" s="2">
        <v>28681.4</v>
      </c>
      <c r="M151" s="2">
        <v>8189.7</v>
      </c>
      <c r="N151" s="2" t="s">
        <v>21</v>
      </c>
      <c r="O151" s="2" t="s">
        <v>30</v>
      </c>
    </row>
    <row r="152" spans="1:15" x14ac:dyDescent="0.3">
      <c r="A152" s="2" t="s">
        <v>237</v>
      </c>
      <c r="B152" s="3">
        <v>45759</v>
      </c>
      <c r="C152" s="2" t="s">
        <v>54</v>
      </c>
      <c r="D152" s="2" t="s">
        <v>124</v>
      </c>
      <c r="E152" s="2" t="s">
        <v>26</v>
      </c>
      <c r="F152" s="2" t="s">
        <v>19</v>
      </c>
      <c r="G152" s="2" t="s">
        <v>20</v>
      </c>
      <c r="H152" s="2">
        <v>5</v>
      </c>
      <c r="I152" s="2">
        <v>676.33</v>
      </c>
      <c r="J152" s="2">
        <v>0</v>
      </c>
      <c r="K152" s="2">
        <v>3381.66</v>
      </c>
      <c r="L152" s="2">
        <v>2624.58</v>
      </c>
      <c r="M152" s="2">
        <v>757.08</v>
      </c>
      <c r="N152" s="2" t="s">
        <v>21</v>
      </c>
      <c r="O152" s="2" t="s">
        <v>22</v>
      </c>
    </row>
    <row r="153" spans="1:15" x14ac:dyDescent="0.3">
      <c r="A153" s="2" t="s">
        <v>85</v>
      </c>
      <c r="B153" s="3">
        <v>45817</v>
      </c>
      <c r="C153" s="2" t="s">
        <v>37</v>
      </c>
      <c r="D153" s="2" t="s">
        <v>42</v>
      </c>
      <c r="E153" s="2" t="s">
        <v>56</v>
      </c>
      <c r="F153" s="2" t="s">
        <v>43</v>
      </c>
      <c r="G153" s="2" t="s">
        <v>84</v>
      </c>
      <c r="H153" s="2">
        <v>2</v>
      </c>
      <c r="I153" s="2">
        <v>45334.82</v>
      </c>
      <c r="J153" s="2">
        <v>0.15</v>
      </c>
      <c r="K153" s="2">
        <v>77069.2</v>
      </c>
      <c r="L153" s="2">
        <v>58109.440000000002</v>
      </c>
      <c r="M153" s="2">
        <v>18959.759999999998</v>
      </c>
      <c r="N153" s="2" t="s">
        <v>29</v>
      </c>
      <c r="O153" s="2" t="s">
        <v>30</v>
      </c>
    </row>
    <row r="154" spans="1:15" x14ac:dyDescent="0.3">
      <c r="A154" s="2" t="s">
        <v>238</v>
      </c>
      <c r="B154" s="3">
        <v>45759</v>
      </c>
      <c r="C154" s="2" t="s">
        <v>16</v>
      </c>
      <c r="D154" s="2" t="s">
        <v>32</v>
      </c>
      <c r="E154" s="2" t="s">
        <v>18</v>
      </c>
      <c r="F154" s="2" t="s">
        <v>19</v>
      </c>
      <c r="G154" s="2" t="s">
        <v>102</v>
      </c>
      <c r="H154" s="2">
        <v>5</v>
      </c>
      <c r="I154" s="2">
        <v>247.95</v>
      </c>
      <c r="J154" s="2">
        <v>0.03</v>
      </c>
      <c r="K154" s="2">
        <v>1202.55</v>
      </c>
      <c r="L154" s="2">
        <v>853.31</v>
      </c>
      <c r="M154" s="2">
        <v>349.24</v>
      </c>
      <c r="N154" s="2" t="s">
        <v>21</v>
      </c>
      <c r="O154" s="2" t="s">
        <v>22</v>
      </c>
    </row>
    <row r="155" spans="1:15" x14ac:dyDescent="0.3">
      <c r="A155" s="2" t="s">
        <v>239</v>
      </c>
      <c r="B155" s="3">
        <v>45774</v>
      </c>
      <c r="C155" s="2" t="s">
        <v>37</v>
      </c>
      <c r="D155" s="2" t="s">
        <v>25</v>
      </c>
      <c r="E155" s="2" t="s">
        <v>33</v>
      </c>
      <c r="F155" s="2" t="s">
        <v>19</v>
      </c>
      <c r="G155" s="2" t="s">
        <v>108</v>
      </c>
      <c r="H155" s="2">
        <v>3</v>
      </c>
      <c r="I155" s="2">
        <v>15101.67</v>
      </c>
      <c r="J155" s="2">
        <v>0.15</v>
      </c>
      <c r="K155" s="2">
        <v>38509.269999999997</v>
      </c>
      <c r="L155" s="2">
        <v>31705.46</v>
      </c>
      <c r="M155" s="2">
        <v>6803.81</v>
      </c>
      <c r="N155" s="2" t="s">
        <v>58</v>
      </c>
      <c r="O155" s="2" t="s">
        <v>30</v>
      </c>
    </row>
    <row r="156" spans="1:15" x14ac:dyDescent="0.3">
      <c r="A156" s="2" t="s">
        <v>240</v>
      </c>
      <c r="B156" s="3">
        <v>46021</v>
      </c>
      <c r="C156" s="2" t="s">
        <v>16</v>
      </c>
      <c r="D156" s="2" t="s">
        <v>52</v>
      </c>
      <c r="E156" s="2" t="s">
        <v>26</v>
      </c>
      <c r="F156" s="2" t="s">
        <v>43</v>
      </c>
      <c r="G156" s="2" t="s">
        <v>91</v>
      </c>
      <c r="H156" s="2">
        <v>4</v>
      </c>
      <c r="I156" s="2">
        <v>48828.71</v>
      </c>
      <c r="J156" s="2">
        <v>0.08</v>
      </c>
      <c r="K156" s="2">
        <v>179689.66</v>
      </c>
      <c r="L156" s="2">
        <v>146468.01999999999</v>
      </c>
      <c r="M156" s="2">
        <v>33221.64</v>
      </c>
      <c r="N156" s="2" t="s">
        <v>58</v>
      </c>
      <c r="O156" s="2" t="s">
        <v>45</v>
      </c>
    </row>
    <row r="157" spans="1:15" x14ac:dyDescent="0.3">
      <c r="A157" s="2" t="s">
        <v>241</v>
      </c>
      <c r="B157" s="3">
        <v>45981</v>
      </c>
      <c r="C157" s="2" t="s">
        <v>54</v>
      </c>
      <c r="D157" s="2" t="s">
        <v>174</v>
      </c>
      <c r="E157" s="2" t="s">
        <v>18</v>
      </c>
      <c r="F157" s="2" t="s">
        <v>27</v>
      </c>
      <c r="G157" s="2" t="s">
        <v>125</v>
      </c>
      <c r="H157" s="2">
        <v>4</v>
      </c>
      <c r="I157" s="2">
        <v>9118.34</v>
      </c>
      <c r="J157" s="2">
        <v>0.08</v>
      </c>
      <c r="K157" s="2">
        <v>33555.480000000003</v>
      </c>
      <c r="L157" s="2">
        <v>23865.26</v>
      </c>
      <c r="M157" s="2">
        <v>9690.2199999999993</v>
      </c>
      <c r="N157" s="2" t="s">
        <v>58</v>
      </c>
      <c r="O157" s="2" t="s">
        <v>22</v>
      </c>
    </row>
    <row r="158" spans="1:15" x14ac:dyDescent="0.3">
      <c r="A158" s="2" t="s">
        <v>242</v>
      </c>
      <c r="B158" s="3">
        <v>45801</v>
      </c>
      <c r="C158" s="2" t="s">
        <v>37</v>
      </c>
      <c r="D158" s="2" t="s">
        <v>68</v>
      </c>
      <c r="E158" s="2" t="s">
        <v>49</v>
      </c>
      <c r="F158" s="2" t="s">
        <v>243</v>
      </c>
      <c r="G158" s="2" t="s">
        <v>35</v>
      </c>
      <c r="H158" s="2">
        <v>6</v>
      </c>
      <c r="I158" s="2">
        <v>17445</v>
      </c>
      <c r="J158" s="2">
        <v>0.1</v>
      </c>
      <c r="K158" s="2">
        <v>94202.97</v>
      </c>
      <c r="L158" s="2">
        <v>70595.58</v>
      </c>
      <c r="M158" s="2">
        <v>23607.39</v>
      </c>
      <c r="N158" s="2" t="s">
        <v>21</v>
      </c>
      <c r="O158" s="2" t="s">
        <v>59</v>
      </c>
    </row>
    <row r="159" spans="1:15" x14ac:dyDescent="0.3">
      <c r="A159" s="2" t="s">
        <v>244</v>
      </c>
      <c r="B159" s="3">
        <v>45728</v>
      </c>
      <c r="C159" s="2" t="s">
        <v>16</v>
      </c>
      <c r="D159" s="2" t="s">
        <v>17</v>
      </c>
      <c r="E159" s="2" t="s">
        <v>49</v>
      </c>
      <c r="F159" s="2" t="s">
        <v>27</v>
      </c>
      <c r="G159" s="2" t="s">
        <v>66</v>
      </c>
      <c r="H159" s="2">
        <v>7</v>
      </c>
      <c r="I159" s="2">
        <v>11318.77</v>
      </c>
      <c r="J159" s="2">
        <v>0.03</v>
      </c>
      <c r="K159" s="2">
        <v>76854.429999999993</v>
      </c>
      <c r="L159" s="2">
        <v>57336.42</v>
      </c>
      <c r="M159" s="2">
        <v>19518.009999999998</v>
      </c>
      <c r="N159" s="2" t="s">
        <v>21</v>
      </c>
      <c r="O159" s="2" t="s">
        <v>30</v>
      </c>
    </row>
    <row r="160" spans="1:15" x14ac:dyDescent="0.3">
      <c r="A160" s="2" t="s">
        <v>245</v>
      </c>
      <c r="B160" s="3">
        <v>46019</v>
      </c>
      <c r="C160" s="2" t="s">
        <v>63</v>
      </c>
      <c r="D160" s="2" t="s">
        <v>117</v>
      </c>
      <c r="E160" s="2" t="s">
        <v>26</v>
      </c>
      <c r="F160" s="2" t="s">
        <v>27</v>
      </c>
      <c r="G160" s="2" t="s">
        <v>50</v>
      </c>
      <c r="H160" s="2">
        <v>6</v>
      </c>
      <c r="I160" s="2">
        <v>31468.76</v>
      </c>
      <c r="J160" s="2">
        <v>0.05</v>
      </c>
      <c r="K160" s="2">
        <v>179371.96</v>
      </c>
      <c r="L160" s="2">
        <v>113079.49</v>
      </c>
      <c r="M160" s="2">
        <v>66292.47</v>
      </c>
      <c r="N160" s="2" t="s">
        <v>21</v>
      </c>
      <c r="O160" s="2" t="s">
        <v>45</v>
      </c>
    </row>
    <row r="161" spans="1:15" x14ac:dyDescent="0.3">
      <c r="A161" s="2" t="s">
        <v>246</v>
      </c>
      <c r="B161" s="3">
        <v>45782</v>
      </c>
      <c r="C161" s="2" t="s">
        <v>63</v>
      </c>
      <c r="D161" s="2" t="s">
        <v>117</v>
      </c>
      <c r="E161" s="2" t="s">
        <v>65</v>
      </c>
      <c r="F161" s="2" t="s">
        <v>27</v>
      </c>
      <c r="G161" s="2" t="s">
        <v>89</v>
      </c>
      <c r="H161" s="2">
        <v>2</v>
      </c>
      <c r="I161" s="2">
        <v>30525.67</v>
      </c>
      <c r="J161" s="2">
        <v>0.08</v>
      </c>
      <c r="K161" s="2">
        <v>56167.23</v>
      </c>
      <c r="L161" s="2">
        <v>40364.400000000001</v>
      </c>
      <c r="M161" s="2">
        <v>15802.83</v>
      </c>
      <c r="N161" s="2" t="s">
        <v>58</v>
      </c>
      <c r="O161" s="2" t="s">
        <v>30</v>
      </c>
    </row>
    <row r="162" spans="1:15" x14ac:dyDescent="0.3">
      <c r="A162" s="2" t="s">
        <v>247</v>
      </c>
      <c r="B162" s="3">
        <v>45821</v>
      </c>
      <c r="C162" s="2" t="s">
        <v>37</v>
      </c>
      <c r="D162" s="2" t="s">
        <v>68</v>
      </c>
      <c r="E162" s="2" t="s">
        <v>49</v>
      </c>
      <c r="F162" s="2" t="s">
        <v>34</v>
      </c>
      <c r="G162" s="2" t="s">
        <v>57</v>
      </c>
      <c r="H162" s="2">
        <v>4</v>
      </c>
      <c r="I162" s="2">
        <v>21731.56</v>
      </c>
      <c r="J162" s="2">
        <v>0.08</v>
      </c>
      <c r="K162" s="2">
        <v>79972.14</v>
      </c>
      <c r="L162" s="2">
        <v>51416.37</v>
      </c>
      <c r="M162" s="2">
        <v>28555.77</v>
      </c>
      <c r="N162" s="2" t="s">
        <v>21</v>
      </c>
      <c r="O162" s="2" t="s">
        <v>59</v>
      </c>
    </row>
    <row r="163" spans="1:15" x14ac:dyDescent="0.3">
      <c r="A163" s="2" t="s">
        <v>248</v>
      </c>
      <c r="B163" s="3">
        <v>45817</v>
      </c>
      <c r="C163" s="2" t="s">
        <v>37</v>
      </c>
      <c r="D163" s="2" t="s">
        <v>68</v>
      </c>
      <c r="E163" s="2" t="s">
        <v>69</v>
      </c>
      <c r="F163" s="2" t="s">
        <v>27</v>
      </c>
      <c r="G163" s="2" t="s">
        <v>89</v>
      </c>
      <c r="H163" s="2">
        <v>7</v>
      </c>
      <c r="I163" s="2">
        <v>32181.03</v>
      </c>
      <c r="J163" s="2">
        <v>0.03</v>
      </c>
      <c r="K163" s="2">
        <v>218509.22</v>
      </c>
      <c r="L163" s="2">
        <v>151851.94</v>
      </c>
      <c r="M163" s="2">
        <v>66657.279999999999</v>
      </c>
      <c r="N163" s="2" t="s">
        <v>29</v>
      </c>
      <c r="O163" s="2" t="s">
        <v>30</v>
      </c>
    </row>
    <row r="164" spans="1:15" x14ac:dyDescent="0.3">
      <c r="A164" s="2" t="s">
        <v>249</v>
      </c>
      <c r="B164" s="3">
        <v>45782</v>
      </c>
      <c r="C164" s="2" t="s">
        <v>16</v>
      </c>
      <c r="D164" s="2" t="s">
        <v>17</v>
      </c>
      <c r="E164" s="2" t="s">
        <v>56</v>
      </c>
      <c r="F164" s="2" t="s">
        <v>43</v>
      </c>
      <c r="G164" s="2" t="s">
        <v>75</v>
      </c>
      <c r="H164" s="2">
        <v>8</v>
      </c>
      <c r="I164" s="2">
        <v>33905.89</v>
      </c>
      <c r="J164" s="2">
        <v>0.08</v>
      </c>
      <c r="K164" s="2">
        <v>249547.37</v>
      </c>
      <c r="L164" s="2">
        <v>178934.57</v>
      </c>
      <c r="M164" s="2">
        <v>70612.800000000003</v>
      </c>
      <c r="N164" s="2" t="s">
        <v>58</v>
      </c>
      <c r="O164" s="2" t="s">
        <v>30</v>
      </c>
    </row>
    <row r="165" spans="1:15" x14ac:dyDescent="0.3">
      <c r="A165" s="2" t="s">
        <v>250</v>
      </c>
      <c r="B165" s="3">
        <v>45693</v>
      </c>
      <c r="C165" s="2" t="s">
        <v>37</v>
      </c>
      <c r="D165" s="2" t="s">
        <v>42</v>
      </c>
      <c r="E165" s="2" t="s">
        <v>49</v>
      </c>
      <c r="F165" s="2" t="s">
        <v>19</v>
      </c>
      <c r="G165" s="2" t="s">
        <v>102</v>
      </c>
      <c r="H165" s="2">
        <v>2</v>
      </c>
      <c r="I165" s="2">
        <v>243.49</v>
      </c>
      <c r="J165" s="2">
        <v>0.1</v>
      </c>
      <c r="K165" s="2">
        <v>438.28</v>
      </c>
      <c r="L165" s="2">
        <v>353</v>
      </c>
      <c r="M165" s="2">
        <v>85.28</v>
      </c>
      <c r="N165" s="2" t="s">
        <v>21</v>
      </c>
      <c r="O165" s="2" t="s">
        <v>30</v>
      </c>
    </row>
    <row r="166" spans="1:15" x14ac:dyDescent="0.3">
      <c r="A166" s="2" t="s">
        <v>251</v>
      </c>
      <c r="B166" s="3">
        <v>45662</v>
      </c>
      <c r="C166" s="2" t="s">
        <v>63</v>
      </c>
      <c r="D166" s="2" t="s">
        <v>95</v>
      </c>
      <c r="E166" s="2" t="s">
        <v>26</v>
      </c>
      <c r="F166" s="2" t="s">
        <v>43</v>
      </c>
      <c r="G166" s="2" t="s">
        <v>84</v>
      </c>
      <c r="H166" s="2">
        <v>7</v>
      </c>
      <c r="I166" s="2">
        <v>39106.53</v>
      </c>
      <c r="J166" s="2">
        <v>0.05</v>
      </c>
      <c r="K166" s="2">
        <v>260058.41</v>
      </c>
      <c r="L166" s="2">
        <v>165456.19</v>
      </c>
      <c r="M166" s="2">
        <v>94602.22</v>
      </c>
      <c r="N166" s="2" t="s">
        <v>21</v>
      </c>
      <c r="O166" s="2" t="s">
        <v>45</v>
      </c>
    </row>
    <row r="167" spans="1:15" x14ac:dyDescent="0.3">
      <c r="A167" s="2" t="s">
        <v>252</v>
      </c>
      <c r="B167" s="3">
        <v>45829</v>
      </c>
      <c r="C167" s="2" t="s">
        <v>37</v>
      </c>
      <c r="D167" s="2" t="s">
        <v>42</v>
      </c>
      <c r="E167" s="2" t="s">
        <v>33</v>
      </c>
      <c r="F167" s="2" t="s">
        <v>19</v>
      </c>
      <c r="G167" s="2" t="s">
        <v>102</v>
      </c>
      <c r="H167" s="2">
        <v>5</v>
      </c>
      <c r="I167" s="2">
        <v>248.27</v>
      </c>
      <c r="J167" s="2">
        <v>0.03</v>
      </c>
      <c r="K167" s="2">
        <v>1204.1300000000001</v>
      </c>
      <c r="L167" s="2">
        <v>761.69</v>
      </c>
      <c r="M167" s="2">
        <v>442.44</v>
      </c>
      <c r="N167" s="2" t="s">
        <v>29</v>
      </c>
      <c r="O167" s="2" t="s">
        <v>30</v>
      </c>
    </row>
    <row r="168" spans="1:15" x14ac:dyDescent="0.3">
      <c r="A168" s="2" t="s">
        <v>253</v>
      </c>
      <c r="B168" s="3">
        <v>45968</v>
      </c>
      <c r="C168" s="2" t="s">
        <v>54</v>
      </c>
      <c r="D168" s="2" t="s">
        <v>174</v>
      </c>
      <c r="E168" s="2" t="s">
        <v>74</v>
      </c>
      <c r="F168" s="2" t="s">
        <v>34</v>
      </c>
      <c r="G168" s="2" t="s">
        <v>35</v>
      </c>
      <c r="H168" s="2">
        <v>2</v>
      </c>
      <c r="I168" s="2">
        <v>19317.96</v>
      </c>
      <c r="J168" s="2">
        <v>0.03</v>
      </c>
      <c r="K168" s="2">
        <v>37476.839999999997</v>
      </c>
      <c r="L168" s="2">
        <v>29441.85</v>
      </c>
      <c r="M168" s="2">
        <v>8034.99</v>
      </c>
      <c r="N168" s="2" t="s">
        <v>29</v>
      </c>
      <c r="O168" s="2" t="s">
        <v>30</v>
      </c>
    </row>
    <row r="169" spans="1:15" x14ac:dyDescent="0.3">
      <c r="A169" s="2" t="s">
        <v>254</v>
      </c>
      <c r="B169" s="3">
        <v>45761</v>
      </c>
      <c r="C169" s="2" t="s">
        <v>54</v>
      </c>
      <c r="D169" s="2" t="s">
        <v>55</v>
      </c>
      <c r="E169" s="2" t="s">
        <v>56</v>
      </c>
      <c r="F169" s="2" t="s">
        <v>34</v>
      </c>
      <c r="G169" s="2" t="s">
        <v>35</v>
      </c>
      <c r="H169" s="2">
        <v>3</v>
      </c>
      <c r="I169" s="2">
        <v>19230.27</v>
      </c>
      <c r="J169" s="2">
        <v>0.03</v>
      </c>
      <c r="K169" s="2">
        <v>55960.09</v>
      </c>
      <c r="L169" s="2">
        <v>40058.239999999998</v>
      </c>
      <c r="M169" s="2">
        <v>15901.85</v>
      </c>
      <c r="N169" s="2" t="s">
        <v>21</v>
      </c>
      <c r="O169" s="2" t="s">
        <v>40</v>
      </c>
    </row>
    <row r="170" spans="1:15" x14ac:dyDescent="0.3">
      <c r="A170" s="2" t="s">
        <v>255</v>
      </c>
      <c r="B170" s="3">
        <v>45818</v>
      </c>
      <c r="C170" s="2" t="s">
        <v>54</v>
      </c>
      <c r="D170" s="2" t="s">
        <v>55</v>
      </c>
      <c r="E170" s="2" t="s">
        <v>56</v>
      </c>
      <c r="F170" s="2" t="s">
        <v>27</v>
      </c>
      <c r="G170" s="2" t="s">
        <v>125</v>
      </c>
      <c r="H170" s="2">
        <v>4</v>
      </c>
      <c r="I170" s="2">
        <v>8668.08</v>
      </c>
      <c r="J170" s="2">
        <v>0</v>
      </c>
      <c r="K170" s="2">
        <v>34672.31</v>
      </c>
      <c r="L170" s="2">
        <v>27781.71</v>
      </c>
      <c r="M170" s="2">
        <v>6890.6</v>
      </c>
      <c r="N170" s="2" t="s">
        <v>29</v>
      </c>
      <c r="O170" s="2" t="s">
        <v>40</v>
      </c>
    </row>
    <row r="171" spans="1:15" x14ac:dyDescent="0.3">
      <c r="A171" s="2" t="s">
        <v>256</v>
      </c>
      <c r="B171" s="3">
        <v>45906</v>
      </c>
      <c r="C171" s="2" t="s">
        <v>54</v>
      </c>
      <c r="D171" s="2" t="s">
        <v>48</v>
      </c>
      <c r="E171" s="2" t="s">
        <v>65</v>
      </c>
      <c r="F171" s="2" t="s">
        <v>34</v>
      </c>
      <c r="G171" s="2" t="s">
        <v>70</v>
      </c>
      <c r="H171" s="2">
        <v>7</v>
      </c>
      <c r="I171" s="2">
        <v>62536.37</v>
      </c>
      <c r="J171" s="2">
        <v>0.05</v>
      </c>
      <c r="K171" s="2">
        <v>415866.87</v>
      </c>
      <c r="L171" s="2">
        <v>266584.90999999997</v>
      </c>
      <c r="M171" s="2">
        <v>149281.96</v>
      </c>
      <c r="N171" s="2" t="s">
        <v>29</v>
      </c>
      <c r="O171" s="2" t="s">
        <v>22</v>
      </c>
    </row>
    <row r="172" spans="1:15" x14ac:dyDescent="0.3">
      <c r="A172" s="2" t="s">
        <v>257</v>
      </c>
      <c r="B172" s="3">
        <v>45973</v>
      </c>
      <c r="C172" s="2" t="s">
        <v>54</v>
      </c>
      <c r="D172" s="2" t="s">
        <v>48</v>
      </c>
      <c r="E172" s="2" t="s">
        <v>18</v>
      </c>
      <c r="F172" s="2" t="s">
        <v>27</v>
      </c>
      <c r="G172" s="2" t="s">
        <v>28</v>
      </c>
      <c r="H172" s="2">
        <v>7</v>
      </c>
      <c r="I172" s="2">
        <v>26484.7</v>
      </c>
      <c r="J172" s="2">
        <v>0.1</v>
      </c>
      <c r="K172" s="2">
        <v>166853.63</v>
      </c>
      <c r="L172" s="2">
        <v>126458.53</v>
      </c>
      <c r="M172" s="2">
        <v>40395.1</v>
      </c>
      <c r="N172" s="2" t="s">
        <v>58</v>
      </c>
      <c r="O172" s="2" t="s">
        <v>59</v>
      </c>
    </row>
    <row r="173" spans="1:15" x14ac:dyDescent="0.3">
      <c r="A173" s="2" t="s">
        <v>258</v>
      </c>
      <c r="B173" s="3">
        <v>45724</v>
      </c>
      <c r="C173" s="2" t="s">
        <v>16</v>
      </c>
      <c r="D173" s="2" t="s">
        <v>17</v>
      </c>
      <c r="E173" s="2" t="s">
        <v>33</v>
      </c>
      <c r="F173" s="2" t="s">
        <v>43</v>
      </c>
      <c r="G173" s="2" t="s">
        <v>121</v>
      </c>
      <c r="H173" s="2" t="s">
        <v>196</v>
      </c>
      <c r="I173" s="2">
        <v>5139.4399999999996</v>
      </c>
      <c r="J173" s="2">
        <v>0.05</v>
      </c>
      <c r="K173" s="2">
        <v>14647.41</v>
      </c>
      <c r="L173" s="2">
        <v>11617.47</v>
      </c>
      <c r="M173" s="2">
        <v>3029.94</v>
      </c>
      <c r="N173" s="2" t="s">
        <v>58</v>
      </c>
      <c r="O173" s="2" t="s">
        <v>40</v>
      </c>
    </row>
    <row r="174" spans="1:15" x14ac:dyDescent="0.3">
      <c r="A174" s="2" t="s">
        <v>259</v>
      </c>
      <c r="B174" s="3">
        <v>45923</v>
      </c>
      <c r="C174" s="2" t="s">
        <v>54</v>
      </c>
      <c r="D174" s="2" t="s">
        <v>174</v>
      </c>
      <c r="E174" s="2" t="s">
        <v>65</v>
      </c>
      <c r="F174" s="2" t="s">
        <v>34</v>
      </c>
      <c r="G174" s="2" t="s">
        <v>57</v>
      </c>
      <c r="H174" s="2">
        <v>2</v>
      </c>
      <c r="I174" s="2">
        <v>21027.119999999999</v>
      </c>
      <c r="J174" s="2">
        <v>0.15</v>
      </c>
      <c r="K174" s="2">
        <v>35746.11</v>
      </c>
      <c r="L174" s="2">
        <v>27078.75</v>
      </c>
      <c r="M174" s="2">
        <v>8667.36</v>
      </c>
      <c r="N174" s="2" t="s">
        <v>58</v>
      </c>
      <c r="O174" s="2" t="s">
        <v>30</v>
      </c>
    </row>
    <row r="175" spans="1:15" x14ac:dyDescent="0.3">
      <c r="A175" s="2" t="s">
        <v>260</v>
      </c>
      <c r="B175" s="3">
        <v>45682</v>
      </c>
      <c r="C175" s="2" t="s">
        <v>16</v>
      </c>
      <c r="D175" s="2" t="s">
        <v>17</v>
      </c>
      <c r="E175" s="2" t="s">
        <v>49</v>
      </c>
      <c r="F175" s="2" t="s">
        <v>43</v>
      </c>
      <c r="G175" s="2" t="s">
        <v>84</v>
      </c>
      <c r="H175" s="2">
        <v>6</v>
      </c>
      <c r="I175" s="2">
        <v>44676.32</v>
      </c>
      <c r="J175" s="2">
        <v>0.1</v>
      </c>
      <c r="K175" s="2">
        <v>241252.12</v>
      </c>
      <c r="L175" s="2">
        <v>167961.55</v>
      </c>
      <c r="M175" s="2">
        <v>73290.570000000007</v>
      </c>
      <c r="N175" s="2" t="s">
        <v>29</v>
      </c>
      <c r="O175" s="2" t="s">
        <v>59</v>
      </c>
    </row>
    <row r="176" spans="1:15" x14ac:dyDescent="0.3">
      <c r="A176" s="2" t="s">
        <v>261</v>
      </c>
      <c r="B176" s="3">
        <v>45798</v>
      </c>
      <c r="C176" s="2" t="s">
        <v>37</v>
      </c>
      <c r="D176" s="2" t="s">
        <v>25</v>
      </c>
      <c r="E176" s="2" t="s">
        <v>49</v>
      </c>
      <c r="F176" s="2" t="s">
        <v>34</v>
      </c>
      <c r="G176" s="2" t="s">
        <v>35</v>
      </c>
      <c r="H176" s="2">
        <v>5</v>
      </c>
      <c r="I176" s="2">
        <v>18142.650000000001</v>
      </c>
      <c r="J176" s="2">
        <v>0.15</v>
      </c>
      <c r="K176" s="2">
        <v>77106.240000000005</v>
      </c>
      <c r="L176" s="2">
        <v>55809.46</v>
      </c>
      <c r="M176" s="2">
        <v>21296.78</v>
      </c>
      <c r="N176" s="2" t="s">
        <v>58</v>
      </c>
      <c r="O176" s="2" t="s">
        <v>40</v>
      </c>
    </row>
    <row r="177" spans="1:15" x14ac:dyDescent="0.3">
      <c r="A177" s="2" t="s">
        <v>262</v>
      </c>
      <c r="B177" s="3">
        <v>45662</v>
      </c>
      <c r="C177" s="2" t="s">
        <v>16</v>
      </c>
      <c r="D177" s="2" t="s">
        <v>82</v>
      </c>
      <c r="E177" s="2" t="s">
        <v>18</v>
      </c>
      <c r="F177" s="2" t="s">
        <v>19</v>
      </c>
      <c r="G177" s="2" t="s">
        <v>20</v>
      </c>
      <c r="H177" s="2">
        <v>3</v>
      </c>
      <c r="I177" s="2">
        <v>713.39</v>
      </c>
      <c r="J177" s="2">
        <v>0.08</v>
      </c>
      <c r="K177" s="2">
        <v>1968.97</v>
      </c>
      <c r="L177" s="2">
        <v>1292.5999999999999</v>
      </c>
      <c r="M177" s="2">
        <v>676.37</v>
      </c>
      <c r="N177" s="2" t="s">
        <v>58</v>
      </c>
      <c r="O177" s="2" t="s">
        <v>59</v>
      </c>
    </row>
    <row r="178" spans="1:15" x14ac:dyDescent="0.3">
      <c r="A178" s="2" t="s">
        <v>263</v>
      </c>
      <c r="B178" s="3">
        <v>45847</v>
      </c>
      <c r="C178" s="2" t="s">
        <v>37</v>
      </c>
      <c r="D178" s="2" t="s">
        <v>25</v>
      </c>
      <c r="E178" s="2" t="s">
        <v>69</v>
      </c>
      <c r="F178" s="2" t="s">
        <v>19</v>
      </c>
      <c r="G178" s="2" t="s">
        <v>108</v>
      </c>
      <c r="H178" s="2" t="s">
        <v>264</v>
      </c>
      <c r="I178" s="2">
        <v>14374.03</v>
      </c>
      <c r="J178" s="2">
        <v>0</v>
      </c>
      <c r="K178" s="2">
        <v>100618.23</v>
      </c>
      <c r="L178" s="2">
        <v>65314.55</v>
      </c>
      <c r="M178" s="2">
        <v>35303.68</v>
      </c>
      <c r="N178" s="2" t="s">
        <v>21</v>
      </c>
      <c r="O178" s="2" t="s">
        <v>40</v>
      </c>
    </row>
    <row r="179" spans="1:15" x14ac:dyDescent="0.3">
      <c r="A179" s="2" t="s">
        <v>265</v>
      </c>
      <c r="B179" s="3">
        <v>45888</v>
      </c>
      <c r="C179" s="2" t="s">
        <v>63</v>
      </c>
      <c r="D179" s="2" t="s">
        <v>88</v>
      </c>
      <c r="E179" s="2" t="s">
        <v>18</v>
      </c>
      <c r="F179" s="2" t="s">
        <v>34</v>
      </c>
      <c r="G179" s="2" t="s">
        <v>80</v>
      </c>
      <c r="H179" s="2">
        <v>7</v>
      </c>
      <c r="I179" s="2">
        <v>4298.9799999999996</v>
      </c>
      <c r="J179" s="2">
        <v>0.03</v>
      </c>
      <c r="K179" s="2">
        <v>29190.06</v>
      </c>
      <c r="L179" s="2">
        <v>22691.58</v>
      </c>
      <c r="M179" s="2">
        <v>6498.48</v>
      </c>
      <c r="N179" s="2" t="s">
        <v>58</v>
      </c>
      <c r="O179" s="2" t="s">
        <v>45</v>
      </c>
    </row>
    <row r="180" spans="1:15" x14ac:dyDescent="0.3">
      <c r="A180" s="2" t="s">
        <v>266</v>
      </c>
      <c r="B180" s="3">
        <v>45790</v>
      </c>
      <c r="C180" s="2" t="s">
        <v>54</v>
      </c>
      <c r="D180" s="2" t="s">
        <v>48</v>
      </c>
      <c r="E180" s="2" t="s">
        <v>26</v>
      </c>
      <c r="F180" s="2" t="s">
        <v>34</v>
      </c>
      <c r="G180" s="2" t="s">
        <v>57</v>
      </c>
      <c r="H180" s="2">
        <v>4</v>
      </c>
      <c r="I180" s="2">
        <v>21935.35</v>
      </c>
      <c r="J180" s="2">
        <v>0.03</v>
      </c>
      <c r="K180" s="2">
        <v>85109.18</v>
      </c>
      <c r="L180" s="2">
        <v>60674.239999999998</v>
      </c>
      <c r="M180" s="2">
        <v>24434.94</v>
      </c>
      <c r="N180" s="2" t="s">
        <v>21</v>
      </c>
      <c r="O180" s="2" t="s">
        <v>59</v>
      </c>
    </row>
    <row r="181" spans="1:15" x14ac:dyDescent="0.3">
      <c r="A181" s="2" t="s">
        <v>267</v>
      </c>
      <c r="B181" s="3">
        <v>45670</v>
      </c>
      <c r="C181" s="2" t="s">
        <v>37</v>
      </c>
      <c r="D181" s="2" t="s">
        <v>68</v>
      </c>
      <c r="E181" s="2" t="s">
        <v>74</v>
      </c>
      <c r="F181" s="2" t="s">
        <v>19</v>
      </c>
      <c r="G181" s="2" t="s">
        <v>20</v>
      </c>
      <c r="H181" s="2">
        <v>2</v>
      </c>
      <c r="I181" s="2">
        <v>720.27</v>
      </c>
      <c r="J181" s="2">
        <v>0.03</v>
      </c>
      <c r="K181" s="2">
        <v>1397.32</v>
      </c>
      <c r="L181" s="2">
        <v>1073.9100000000001</v>
      </c>
      <c r="M181" s="2">
        <v>323.41000000000003</v>
      </c>
      <c r="N181" s="2" t="s">
        <v>21</v>
      </c>
      <c r="O181" s="2" t="s">
        <v>59</v>
      </c>
    </row>
    <row r="182" spans="1:15" x14ac:dyDescent="0.3">
      <c r="A182" s="2" t="s">
        <v>268</v>
      </c>
      <c r="B182" s="3">
        <v>45965</v>
      </c>
      <c r="C182" s="2" t="s">
        <v>63</v>
      </c>
      <c r="D182" s="2" t="s">
        <v>95</v>
      </c>
      <c r="E182" s="2" t="s">
        <v>33</v>
      </c>
      <c r="F182" s="2" t="s">
        <v>34</v>
      </c>
      <c r="G182" s="2" t="s">
        <v>35</v>
      </c>
      <c r="H182" s="2">
        <v>1</v>
      </c>
      <c r="I182" s="2">
        <v>16876.04</v>
      </c>
      <c r="J182" s="2">
        <v>0.05</v>
      </c>
      <c r="K182" s="2">
        <v>16032.24</v>
      </c>
      <c r="L182" s="2">
        <v>11688.31</v>
      </c>
      <c r="M182" s="2">
        <v>4343.93</v>
      </c>
      <c r="N182" s="2" t="s">
        <v>21</v>
      </c>
      <c r="O182" s="2" t="s">
        <v>45</v>
      </c>
    </row>
    <row r="183" spans="1:15" x14ac:dyDescent="0.3">
      <c r="A183" s="2" t="s">
        <v>269</v>
      </c>
      <c r="B183" s="3">
        <v>45699</v>
      </c>
      <c r="C183" s="2" t="s">
        <v>16</v>
      </c>
      <c r="D183" s="2" t="s">
        <v>82</v>
      </c>
      <c r="E183" s="2" t="s">
        <v>33</v>
      </c>
      <c r="F183" s="2" t="s">
        <v>34</v>
      </c>
      <c r="G183" s="2" t="s">
        <v>35</v>
      </c>
      <c r="H183" s="2">
        <v>2</v>
      </c>
      <c r="I183" s="2">
        <v>17930.93</v>
      </c>
      <c r="J183" s="2">
        <v>0.05</v>
      </c>
      <c r="K183" s="2">
        <v>34068.769999999997</v>
      </c>
      <c r="L183" s="2">
        <v>24348.07</v>
      </c>
      <c r="M183" s="2">
        <v>9720.7000000000007</v>
      </c>
      <c r="N183" s="2" t="s">
        <v>58</v>
      </c>
      <c r="O183" s="2" t="s">
        <v>45</v>
      </c>
    </row>
    <row r="184" spans="1:15" x14ac:dyDescent="0.3">
      <c r="A184" s="2" t="s">
        <v>270</v>
      </c>
      <c r="B184" s="3">
        <v>45899</v>
      </c>
      <c r="C184" s="2" t="s">
        <v>271</v>
      </c>
      <c r="D184" s="2" t="s">
        <v>42</v>
      </c>
      <c r="E184" s="2" t="s">
        <v>56</v>
      </c>
      <c r="F184" s="2" t="s">
        <v>19</v>
      </c>
      <c r="G184" s="2" t="s">
        <v>108</v>
      </c>
      <c r="H184" s="2">
        <v>1</v>
      </c>
      <c r="I184" s="2">
        <v>15741.32</v>
      </c>
      <c r="J184" s="2">
        <v>0</v>
      </c>
      <c r="K184" s="2">
        <v>15741.32</v>
      </c>
      <c r="L184" s="2">
        <v>10815.05</v>
      </c>
      <c r="M184" s="2">
        <v>4926.2700000000004</v>
      </c>
      <c r="N184" s="2" t="s">
        <v>21</v>
      </c>
      <c r="O184" s="2" t="s">
        <v>40</v>
      </c>
    </row>
    <row r="185" spans="1:15" x14ac:dyDescent="0.3">
      <c r="A185" s="2" t="s">
        <v>272</v>
      </c>
      <c r="B185" s="3">
        <v>46001</v>
      </c>
      <c r="C185" s="2" t="s">
        <v>54</v>
      </c>
      <c r="D185" s="2" t="s">
        <v>55</v>
      </c>
      <c r="E185" s="2" t="s">
        <v>69</v>
      </c>
      <c r="F185" s="2" t="s">
        <v>43</v>
      </c>
      <c r="G185" s="2" t="s">
        <v>44</v>
      </c>
      <c r="H185" s="2">
        <v>6</v>
      </c>
      <c r="I185" s="2">
        <v>12262.41</v>
      </c>
      <c r="J185" s="2">
        <v>0.08</v>
      </c>
      <c r="K185" s="2">
        <v>67688.479999999996</v>
      </c>
      <c r="L185" s="2">
        <v>43049.64</v>
      </c>
      <c r="M185" s="2">
        <v>24638.84</v>
      </c>
      <c r="N185" s="2" t="s">
        <v>58</v>
      </c>
      <c r="O185" s="2" t="s">
        <v>45</v>
      </c>
    </row>
    <row r="186" spans="1:15" x14ac:dyDescent="0.3">
      <c r="A186" s="2" t="s">
        <v>273</v>
      </c>
      <c r="B186" s="3">
        <v>45809</v>
      </c>
      <c r="C186" s="2" t="s">
        <v>63</v>
      </c>
      <c r="D186" s="2" t="s">
        <v>95</v>
      </c>
      <c r="E186" s="2" t="s">
        <v>18</v>
      </c>
      <c r="F186" s="2" t="s">
        <v>19</v>
      </c>
      <c r="G186" s="2" t="s">
        <v>20</v>
      </c>
      <c r="H186" s="2">
        <v>8</v>
      </c>
      <c r="I186" s="2">
        <v>653.5</v>
      </c>
      <c r="J186" s="2">
        <v>0.08</v>
      </c>
      <c r="K186" s="2">
        <v>4809.74</v>
      </c>
      <c r="L186" s="2">
        <v>3065.25</v>
      </c>
      <c r="M186" s="2">
        <v>1744.49</v>
      </c>
      <c r="N186" s="2" t="s">
        <v>21</v>
      </c>
      <c r="O186" s="2" t="s">
        <v>40</v>
      </c>
    </row>
    <row r="187" spans="1:15" x14ac:dyDescent="0.3">
      <c r="A187" s="2" t="s">
        <v>274</v>
      </c>
      <c r="B187" s="3">
        <v>45918</v>
      </c>
      <c r="C187" s="2" t="s">
        <v>63</v>
      </c>
      <c r="D187" s="2" t="s">
        <v>117</v>
      </c>
      <c r="E187" s="2" t="s">
        <v>18</v>
      </c>
      <c r="F187" s="2" t="s">
        <v>34</v>
      </c>
      <c r="G187" s="2" t="s">
        <v>57</v>
      </c>
      <c r="H187" s="2">
        <v>4</v>
      </c>
      <c r="I187" s="2">
        <v>22966.78</v>
      </c>
      <c r="J187" s="2">
        <v>0.08</v>
      </c>
      <c r="K187" s="2">
        <v>84517.75</v>
      </c>
      <c r="L187" s="2">
        <v>56157.56</v>
      </c>
      <c r="M187" s="2">
        <v>28360.19</v>
      </c>
      <c r="N187" s="2" t="s">
        <v>29</v>
      </c>
      <c r="O187" s="2" t="s">
        <v>59</v>
      </c>
    </row>
    <row r="188" spans="1:15" x14ac:dyDescent="0.3">
      <c r="A188" s="2" t="s">
        <v>275</v>
      </c>
      <c r="B188" s="3">
        <v>45981</v>
      </c>
      <c r="C188" s="2" t="s">
        <v>37</v>
      </c>
      <c r="D188" s="2"/>
      <c r="E188" s="2" t="s">
        <v>26</v>
      </c>
      <c r="F188" s="2" t="s">
        <v>27</v>
      </c>
      <c r="G188" s="2" t="s">
        <v>89</v>
      </c>
      <c r="H188" s="2">
        <v>1</v>
      </c>
      <c r="I188" s="2">
        <v>31395.53</v>
      </c>
      <c r="J188" s="2">
        <v>0.03</v>
      </c>
      <c r="K188" s="2">
        <v>30453.67</v>
      </c>
      <c r="L188" s="2">
        <v>19768.47</v>
      </c>
      <c r="M188" s="2">
        <v>10685.2</v>
      </c>
      <c r="N188" s="2" t="s">
        <v>58</v>
      </c>
      <c r="O188" s="2" t="s">
        <v>30</v>
      </c>
    </row>
    <row r="189" spans="1:15" x14ac:dyDescent="0.3">
      <c r="A189" s="2" t="s">
        <v>276</v>
      </c>
      <c r="B189" s="3">
        <v>45926</v>
      </c>
      <c r="C189" s="2" t="s">
        <v>54</v>
      </c>
      <c r="D189" s="2" t="s">
        <v>174</v>
      </c>
      <c r="E189" s="2" t="s">
        <v>74</v>
      </c>
      <c r="F189" s="2" t="s">
        <v>27</v>
      </c>
      <c r="G189" s="2" t="s">
        <v>28</v>
      </c>
      <c r="H189" s="2">
        <v>5</v>
      </c>
      <c r="I189" s="2">
        <v>26321.05</v>
      </c>
      <c r="J189" s="2">
        <v>0.05</v>
      </c>
      <c r="K189" s="2">
        <v>125024.97</v>
      </c>
      <c r="L189" s="2">
        <v>80934.86</v>
      </c>
      <c r="M189" s="2">
        <v>44090.11</v>
      </c>
      <c r="N189" s="2" t="s">
        <v>29</v>
      </c>
      <c r="O189" s="2" t="s">
        <v>40</v>
      </c>
    </row>
    <row r="190" spans="1:15" x14ac:dyDescent="0.3">
      <c r="A190" s="2" t="s">
        <v>277</v>
      </c>
      <c r="B190" s="3">
        <v>45771</v>
      </c>
      <c r="C190" s="2" t="s">
        <v>37</v>
      </c>
      <c r="D190" s="2" t="s">
        <v>25</v>
      </c>
      <c r="E190" s="2" t="s">
        <v>18</v>
      </c>
      <c r="F190" s="2" t="s">
        <v>34</v>
      </c>
      <c r="G190" s="2" t="s">
        <v>39</v>
      </c>
      <c r="H190" s="2">
        <v>7</v>
      </c>
      <c r="I190" s="2">
        <v>28056.06</v>
      </c>
      <c r="J190" s="2">
        <v>0.05</v>
      </c>
      <c r="K190" s="2">
        <v>186572.77</v>
      </c>
      <c r="L190" s="2">
        <v>140306.84</v>
      </c>
      <c r="M190" s="2">
        <v>46265.93</v>
      </c>
      <c r="N190" s="2" t="s">
        <v>58</v>
      </c>
      <c r="O190" s="2" t="s">
        <v>40</v>
      </c>
    </row>
    <row r="191" spans="1:15" x14ac:dyDescent="0.3">
      <c r="A191" s="2" t="s">
        <v>278</v>
      </c>
      <c r="B191" s="3">
        <v>45925</v>
      </c>
      <c r="C191" s="2" t="s">
        <v>37</v>
      </c>
      <c r="D191" s="2" t="s">
        <v>42</v>
      </c>
      <c r="E191" s="2" t="s">
        <v>69</v>
      </c>
      <c r="F191" s="2" t="s">
        <v>27</v>
      </c>
      <c r="G191" s="2" t="s">
        <v>125</v>
      </c>
      <c r="H191" s="2">
        <v>3</v>
      </c>
      <c r="I191" s="2">
        <v>8733.18</v>
      </c>
      <c r="J191" s="2">
        <v>0.03</v>
      </c>
      <c r="K191" s="2">
        <v>25413.55</v>
      </c>
      <c r="L191" s="2">
        <v>21119.279999999999</v>
      </c>
      <c r="M191" s="2">
        <v>4294.2700000000004</v>
      </c>
      <c r="N191" s="2" t="s">
        <v>58</v>
      </c>
      <c r="O191" s="2" t="s">
        <v>59</v>
      </c>
    </row>
    <row r="192" spans="1:15" x14ac:dyDescent="0.3">
      <c r="A192" s="2" t="s">
        <v>279</v>
      </c>
      <c r="B192" s="3">
        <v>45679</v>
      </c>
      <c r="C192" s="2" t="s">
        <v>280</v>
      </c>
      <c r="D192" s="2" t="s">
        <v>117</v>
      </c>
      <c r="E192" s="2" t="s">
        <v>65</v>
      </c>
      <c r="F192" s="2" t="s">
        <v>27</v>
      </c>
      <c r="G192" s="2" t="s">
        <v>50</v>
      </c>
      <c r="H192" s="2">
        <v>8</v>
      </c>
      <c r="I192" s="2">
        <v>28451.66</v>
      </c>
      <c r="J192" s="2">
        <v>0.05</v>
      </c>
      <c r="K192" s="2">
        <v>216232.6</v>
      </c>
      <c r="L192" s="2">
        <v>185164.46</v>
      </c>
      <c r="M192" s="2">
        <v>31068.14</v>
      </c>
      <c r="N192" s="2" t="s">
        <v>29</v>
      </c>
      <c r="O192" s="2" t="s">
        <v>45</v>
      </c>
    </row>
    <row r="193" spans="1:15" x14ac:dyDescent="0.3">
      <c r="A193" s="2" t="s">
        <v>281</v>
      </c>
      <c r="B193" s="3">
        <v>45935</v>
      </c>
      <c r="C193" s="2" t="s">
        <v>37</v>
      </c>
      <c r="D193" s="2" t="s">
        <v>68</v>
      </c>
      <c r="E193" s="2" t="s">
        <v>65</v>
      </c>
      <c r="F193" s="2" t="s">
        <v>19</v>
      </c>
      <c r="G193" s="2" t="s">
        <v>106</v>
      </c>
      <c r="H193" s="2">
        <v>2</v>
      </c>
      <c r="I193" s="2">
        <v>13358.27</v>
      </c>
      <c r="J193" s="2">
        <v>0.05</v>
      </c>
      <c r="K193" s="2">
        <v>25380.7</v>
      </c>
      <c r="L193" s="2">
        <v>20857.07</v>
      </c>
      <c r="M193" s="2">
        <v>4523.63</v>
      </c>
      <c r="N193" s="2" t="s">
        <v>29</v>
      </c>
      <c r="O193" s="2" t="s">
        <v>45</v>
      </c>
    </row>
    <row r="194" spans="1:15" x14ac:dyDescent="0.3">
      <c r="A194" s="2" t="s">
        <v>282</v>
      </c>
      <c r="B194" s="3">
        <v>45768</v>
      </c>
      <c r="C194" s="2" t="s">
        <v>63</v>
      </c>
      <c r="D194" s="2" t="s">
        <v>64</v>
      </c>
      <c r="E194" s="2" t="s">
        <v>18</v>
      </c>
      <c r="F194" s="2" t="s">
        <v>34</v>
      </c>
      <c r="G194" s="2" t="s">
        <v>80</v>
      </c>
      <c r="H194" s="2">
        <v>6</v>
      </c>
      <c r="I194" s="2">
        <v>4768.79</v>
      </c>
      <c r="J194" s="2">
        <v>0.08</v>
      </c>
      <c r="K194" s="2">
        <v>26323.73</v>
      </c>
      <c r="L194" s="2">
        <v>21129.25</v>
      </c>
      <c r="M194" s="2">
        <v>5194.4799999999996</v>
      </c>
      <c r="N194" s="2" t="s">
        <v>21</v>
      </c>
      <c r="O194" s="2" t="s">
        <v>59</v>
      </c>
    </row>
    <row r="195" spans="1:15" x14ac:dyDescent="0.3">
      <c r="A195" s="2" t="s">
        <v>283</v>
      </c>
      <c r="B195" s="3">
        <v>45667</v>
      </c>
      <c r="C195" s="2" t="s">
        <v>37</v>
      </c>
      <c r="D195" s="2" t="s">
        <v>68</v>
      </c>
      <c r="E195" s="2" t="s">
        <v>49</v>
      </c>
      <c r="F195" s="2" t="s">
        <v>19</v>
      </c>
      <c r="G195" s="2" t="s">
        <v>108</v>
      </c>
      <c r="H195" s="2">
        <v>4</v>
      </c>
      <c r="I195" s="2">
        <v>14038.03</v>
      </c>
      <c r="J195" s="2">
        <v>0.05</v>
      </c>
      <c r="K195" s="2">
        <v>53344.5</v>
      </c>
      <c r="L195" s="2">
        <v>43316.639999999999</v>
      </c>
      <c r="M195" s="2">
        <v>10027.86</v>
      </c>
      <c r="N195" s="2" t="s">
        <v>58</v>
      </c>
      <c r="O195" s="2" t="s">
        <v>22</v>
      </c>
    </row>
    <row r="196" spans="1:15" x14ac:dyDescent="0.3">
      <c r="A196" s="2" t="s">
        <v>284</v>
      </c>
      <c r="B196" s="3">
        <v>45866</v>
      </c>
      <c r="C196" s="2" t="s">
        <v>113</v>
      </c>
      <c r="D196" s="2" t="s">
        <v>68</v>
      </c>
      <c r="E196" s="2" t="s">
        <v>26</v>
      </c>
      <c r="F196" s="2" t="s">
        <v>19</v>
      </c>
      <c r="G196" s="2" t="s">
        <v>102</v>
      </c>
      <c r="H196" s="2">
        <v>4</v>
      </c>
      <c r="I196" s="2">
        <v>230.21</v>
      </c>
      <c r="J196" s="2">
        <v>0.08</v>
      </c>
      <c r="K196" s="2">
        <v>847.17</v>
      </c>
      <c r="L196" s="2">
        <v>532.41999999999996</v>
      </c>
      <c r="M196" s="2">
        <v>314.75</v>
      </c>
      <c r="N196" s="2" t="s">
        <v>21</v>
      </c>
      <c r="O196" s="2" t="s">
        <v>30</v>
      </c>
    </row>
    <row r="197" spans="1:15" x14ac:dyDescent="0.3">
      <c r="A197" s="2" t="s">
        <v>285</v>
      </c>
      <c r="B197" s="3">
        <v>45789</v>
      </c>
      <c r="C197" s="2" t="s">
        <v>54</v>
      </c>
      <c r="D197" s="2" t="s">
        <v>124</v>
      </c>
      <c r="E197" s="2" t="s">
        <v>49</v>
      </c>
      <c r="F197" s="2" t="s">
        <v>34</v>
      </c>
      <c r="G197" s="2" t="s">
        <v>57</v>
      </c>
      <c r="H197" s="2">
        <v>7</v>
      </c>
      <c r="I197" s="2">
        <v>21315.73</v>
      </c>
      <c r="J197" s="2">
        <v>0.1</v>
      </c>
      <c r="K197" s="2">
        <v>134289.07999999999</v>
      </c>
      <c r="L197" s="2">
        <v>115370.47</v>
      </c>
      <c r="M197" s="2">
        <v>18918.61</v>
      </c>
      <c r="N197" s="2" t="s">
        <v>21</v>
      </c>
      <c r="O197" s="2" t="s">
        <v>40</v>
      </c>
    </row>
    <row r="198" spans="1:15" x14ac:dyDescent="0.3">
      <c r="A198" s="2" t="s">
        <v>286</v>
      </c>
      <c r="B198" s="3">
        <v>45695</v>
      </c>
      <c r="C198" s="2" t="s">
        <v>63</v>
      </c>
      <c r="D198" s="2" t="s">
        <v>88</v>
      </c>
      <c r="E198" s="2" t="s">
        <v>74</v>
      </c>
      <c r="F198" s="2" t="s">
        <v>287</v>
      </c>
      <c r="G198" s="2" t="s">
        <v>121</v>
      </c>
      <c r="H198" s="2">
        <v>6</v>
      </c>
      <c r="I198" s="2">
        <v>4930.1000000000004</v>
      </c>
      <c r="J198" s="2">
        <v>0.08</v>
      </c>
      <c r="K198" s="2">
        <v>27214.14</v>
      </c>
      <c r="L198" s="2">
        <v>16893.79</v>
      </c>
      <c r="M198" s="2">
        <v>10320.35</v>
      </c>
      <c r="N198" s="2" t="s">
        <v>21</v>
      </c>
      <c r="O198" s="2" t="s">
        <v>40</v>
      </c>
    </row>
    <row r="199" spans="1:15" x14ac:dyDescent="0.3">
      <c r="A199" s="2" t="s">
        <v>288</v>
      </c>
      <c r="B199" s="3">
        <v>45712</v>
      </c>
      <c r="C199" s="2" t="s">
        <v>54</v>
      </c>
      <c r="D199" s="2" t="s">
        <v>55</v>
      </c>
      <c r="E199" s="2" t="s">
        <v>56</v>
      </c>
      <c r="F199" s="2" t="s">
        <v>43</v>
      </c>
      <c r="G199" s="2" t="s">
        <v>91</v>
      </c>
      <c r="H199" s="2">
        <v>5</v>
      </c>
      <c r="I199" s="2">
        <v>49093.06</v>
      </c>
      <c r="J199" s="2">
        <v>0</v>
      </c>
      <c r="K199" s="2">
        <v>245465.3</v>
      </c>
      <c r="L199" s="2">
        <v>186356.3</v>
      </c>
      <c r="M199" s="2">
        <v>59109</v>
      </c>
      <c r="N199" s="2" t="s">
        <v>58</v>
      </c>
      <c r="O199" s="2" t="s">
        <v>59</v>
      </c>
    </row>
    <row r="200" spans="1:15" x14ac:dyDescent="0.3">
      <c r="A200" s="2" t="s">
        <v>289</v>
      </c>
      <c r="B200" s="3">
        <v>45733</v>
      </c>
      <c r="C200" s="2" t="s">
        <v>63</v>
      </c>
      <c r="D200" s="2" t="s">
        <v>64</v>
      </c>
      <c r="E200" s="2" t="s">
        <v>18</v>
      </c>
      <c r="F200" s="2" t="s">
        <v>34</v>
      </c>
      <c r="G200" s="2" t="s">
        <v>57</v>
      </c>
      <c r="H200" s="2">
        <v>1</v>
      </c>
      <c r="I200" s="2">
        <v>22480.45</v>
      </c>
      <c r="J200" s="2">
        <v>0</v>
      </c>
      <c r="K200" s="2">
        <v>22480.45</v>
      </c>
      <c r="L200" s="2">
        <v>17689.86</v>
      </c>
      <c r="M200" s="2">
        <v>4790.59</v>
      </c>
      <c r="N200" s="2" t="s">
        <v>58</v>
      </c>
      <c r="O200" s="2" t="s">
        <v>45</v>
      </c>
    </row>
    <row r="201" spans="1:15" x14ac:dyDescent="0.3">
      <c r="A201" s="2" t="s">
        <v>290</v>
      </c>
      <c r="B201" s="3">
        <v>45773</v>
      </c>
      <c r="C201" s="2" t="s">
        <v>54</v>
      </c>
      <c r="D201" s="2" t="s">
        <v>55</v>
      </c>
      <c r="E201" s="2" t="s">
        <v>69</v>
      </c>
      <c r="F201" s="2" t="s">
        <v>43</v>
      </c>
      <c r="G201" s="2" t="s">
        <v>91</v>
      </c>
      <c r="H201" s="2">
        <v>6</v>
      </c>
      <c r="I201" s="2">
        <v>46680.52</v>
      </c>
      <c r="J201" s="2">
        <v>0.05</v>
      </c>
      <c r="K201" s="2">
        <v>266078.96999999997</v>
      </c>
      <c r="L201" s="2">
        <v>170626.89</v>
      </c>
      <c r="M201" s="2">
        <v>95452.08</v>
      </c>
      <c r="N201" s="2" t="s">
        <v>21</v>
      </c>
      <c r="O201" s="2" t="s">
        <v>40</v>
      </c>
    </row>
    <row r="202" spans="1:15" x14ac:dyDescent="0.3">
      <c r="A202" s="2" t="s">
        <v>291</v>
      </c>
      <c r="B202" s="3">
        <v>45855</v>
      </c>
      <c r="C202" s="2" t="s">
        <v>63</v>
      </c>
      <c r="D202" s="2" t="s">
        <v>64</v>
      </c>
      <c r="E202" s="2" t="s">
        <v>56</v>
      </c>
      <c r="F202" s="2" t="s">
        <v>27</v>
      </c>
      <c r="G202" s="2" t="s">
        <v>125</v>
      </c>
      <c r="H202" s="2">
        <v>1</v>
      </c>
      <c r="I202" s="2">
        <v>8392.9</v>
      </c>
      <c r="J202" s="2">
        <v>0.08</v>
      </c>
      <c r="K202" s="2">
        <v>7721.47</v>
      </c>
      <c r="L202" s="2">
        <v>6243.24</v>
      </c>
      <c r="M202" s="2">
        <v>1478.23</v>
      </c>
      <c r="N202" s="2" t="s">
        <v>58</v>
      </c>
      <c r="O202" s="2" t="s">
        <v>40</v>
      </c>
    </row>
    <row r="203" spans="1:15" x14ac:dyDescent="0.3">
      <c r="A203" s="2" t="s">
        <v>292</v>
      </c>
      <c r="B203" s="3">
        <v>45770</v>
      </c>
      <c r="C203" s="2" t="s">
        <v>16</v>
      </c>
      <c r="D203" s="2" t="s">
        <v>17</v>
      </c>
      <c r="E203" s="2" t="s">
        <v>33</v>
      </c>
      <c r="F203" s="2" t="s">
        <v>43</v>
      </c>
      <c r="G203" s="2" t="s">
        <v>84</v>
      </c>
      <c r="H203" s="2">
        <v>4</v>
      </c>
      <c r="I203" s="2">
        <v>41074.22</v>
      </c>
      <c r="J203" s="2">
        <v>0.05</v>
      </c>
      <c r="K203" s="2">
        <v>156082.04</v>
      </c>
      <c r="L203" s="2">
        <v>97752.19</v>
      </c>
      <c r="M203" s="2">
        <v>58329.85</v>
      </c>
      <c r="N203" s="2" t="s">
        <v>29</v>
      </c>
      <c r="O203" s="2" t="s">
        <v>45</v>
      </c>
    </row>
    <row r="204" spans="1:15" x14ac:dyDescent="0.3">
      <c r="A204" s="2" t="s">
        <v>293</v>
      </c>
      <c r="B204" s="3">
        <v>45977</v>
      </c>
      <c r="C204" s="2" t="s">
        <v>63</v>
      </c>
      <c r="D204" s="2" t="s">
        <v>64</v>
      </c>
      <c r="E204" s="2" t="s">
        <v>65</v>
      </c>
      <c r="F204" s="2" t="s">
        <v>19</v>
      </c>
      <c r="G204" s="2" t="s">
        <v>106</v>
      </c>
      <c r="H204" s="2">
        <v>2</v>
      </c>
      <c r="I204" s="2">
        <v>14790.11</v>
      </c>
      <c r="J204" s="2">
        <v>0.03</v>
      </c>
      <c r="K204" s="2">
        <v>28692.81</v>
      </c>
      <c r="L204" s="2">
        <v>20385.080000000002</v>
      </c>
      <c r="M204" s="2">
        <v>8307.73</v>
      </c>
      <c r="N204" s="2" t="s">
        <v>21</v>
      </c>
      <c r="O204" s="2" t="s">
        <v>30</v>
      </c>
    </row>
    <row r="205" spans="1:15" x14ac:dyDescent="0.3">
      <c r="A205" s="2" t="s">
        <v>294</v>
      </c>
      <c r="B205" s="3">
        <v>45937</v>
      </c>
      <c r="C205" s="2" t="s">
        <v>16</v>
      </c>
      <c r="D205" s="2" t="s">
        <v>82</v>
      </c>
      <c r="E205" s="2" t="s">
        <v>65</v>
      </c>
      <c r="F205" s="2" t="s">
        <v>19</v>
      </c>
      <c r="G205" s="2" t="s">
        <v>61</v>
      </c>
      <c r="H205" s="2">
        <v>4</v>
      </c>
      <c r="I205" s="2">
        <v>8351.77</v>
      </c>
      <c r="J205" s="2">
        <v>0.1</v>
      </c>
      <c r="K205" s="2">
        <v>30066.38</v>
      </c>
      <c r="L205" s="2">
        <v>25203.25</v>
      </c>
      <c r="M205" s="2">
        <v>4863.13</v>
      </c>
      <c r="N205" s="2" t="s">
        <v>58</v>
      </c>
      <c r="O205" s="2" t="s">
        <v>30</v>
      </c>
    </row>
    <row r="206" spans="1:15" x14ac:dyDescent="0.3">
      <c r="A206" s="2" t="s">
        <v>295</v>
      </c>
      <c r="B206" s="3">
        <v>45763</v>
      </c>
      <c r="C206" s="2" t="s">
        <v>37</v>
      </c>
      <c r="D206" s="2" t="s">
        <v>42</v>
      </c>
      <c r="E206" s="2" t="s">
        <v>49</v>
      </c>
      <c r="F206" s="2" t="s">
        <v>34</v>
      </c>
      <c r="G206" s="2" t="s">
        <v>35</v>
      </c>
      <c r="H206" s="2">
        <v>8</v>
      </c>
      <c r="I206" s="2">
        <v>17919.53</v>
      </c>
      <c r="J206" s="2">
        <v>0</v>
      </c>
      <c r="K206" s="2">
        <v>143356.26999999999</v>
      </c>
      <c r="L206" s="2">
        <v>98608.9</v>
      </c>
      <c r="M206" s="2">
        <v>44747.37</v>
      </c>
      <c r="N206" s="2" t="s">
        <v>21</v>
      </c>
      <c r="O206" s="2" t="s">
        <v>40</v>
      </c>
    </row>
    <row r="207" spans="1:15" x14ac:dyDescent="0.3">
      <c r="A207" s="2" t="s">
        <v>296</v>
      </c>
      <c r="B207" s="3">
        <v>45727</v>
      </c>
      <c r="C207" s="2" t="s">
        <v>37</v>
      </c>
      <c r="D207" s="2" t="s">
        <v>38</v>
      </c>
      <c r="E207" s="2" t="s">
        <v>49</v>
      </c>
      <c r="F207" s="2" t="s">
        <v>19</v>
      </c>
      <c r="G207" s="2" t="s">
        <v>61</v>
      </c>
      <c r="H207" s="2">
        <v>8</v>
      </c>
      <c r="I207" s="2">
        <v>8814.5400000000009</v>
      </c>
      <c r="J207" s="2">
        <v>0.05</v>
      </c>
      <c r="K207" s="2">
        <v>66990.490000000005</v>
      </c>
      <c r="L207" s="2">
        <v>55116.39</v>
      </c>
      <c r="M207" s="2">
        <v>11874.1</v>
      </c>
      <c r="N207" s="2" t="s">
        <v>21</v>
      </c>
      <c r="O207" s="2" t="s">
        <v>45</v>
      </c>
    </row>
    <row r="208" spans="1:15" x14ac:dyDescent="0.3">
      <c r="A208" s="2" t="s">
        <v>297</v>
      </c>
      <c r="B208" s="3">
        <v>45727</v>
      </c>
      <c r="C208" s="2" t="s">
        <v>54</v>
      </c>
      <c r="D208" s="2" t="s">
        <v>174</v>
      </c>
      <c r="E208" s="2" t="s">
        <v>49</v>
      </c>
      <c r="F208" s="2" t="s">
        <v>43</v>
      </c>
      <c r="G208" s="2" t="s">
        <v>44</v>
      </c>
      <c r="H208" s="2">
        <v>1</v>
      </c>
      <c r="I208" s="2">
        <v>11704.17</v>
      </c>
      <c r="J208" s="2">
        <v>0.03</v>
      </c>
      <c r="K208" s="2">
        <v>11353.04</v>
      </c>
      <c r="L208" s="2">
        <v>9141.99</v>
      </c>
      <c r="M208" s="2">
        <v>2211.0500000000002</v>
      </c>
      <c r="N208" s="2" t="s">
        <v>58</v>
      </c>
      <c r="O208" s="2" t="s">
        <v>59</v>
      </c>
    </row>
    <row r="209" spans="1:15" x14ac:dyDescent="0.3">
      <c r="A209" s="2" t="s">
        <v>298</v>
      </c>
      <c r="B209" s="3">
        <v>45822</v>
      </c>
      <c r="C209" s="2" t="s">
        <v>63</v>
      </c>
      <c r="D209" s="2" t="s">
        <v>64</v>
      </c>
      <c r="E209" s="2" t="s">
        <v>49</v>
      </c>
      <c r="F209" s="2" t="s">
        <v>34</v>
      </c>
      <c r="G209" s="2" t="s">
        <v>80</v>
      </c>
      <c r="H209" s="2">
        <v>2</v>
      </c>
      <c r="I209" s="2">
        <v>4736.07</v>
      </c>
      <c r="J209" s="2">
        <v>0.1</v>
      </c>
      <c r="K209" s="2">
        <v>8524.92</v>
      </c>
      <c r="L209" s="2">
        <v>6563.01</v>
      </c>
      <c r="M209" s="2">
        <v>1961.91</v>
      </c>
      <c r="N209" s="2" t="s">
        <v>58</v>
      </c>
      <c r="O209" s="2" t="s">
        <v>59</v>
      </c>
    </row>
    <row r="210" spans="1:15" x14ac:dyDescent="0.3">
      <c r="A210" s="2" t="s">
        <v>299</v>
      </c>
      <c r="B210" s="3">
        <v>45818</v>
      </c>
      <c r="C210" s="2" t="s">
        <v>37</v>
      </c>
      <c r="D210" s="2" t="s">
        <v>38</v>
      </c>
      <c r="E210" s="2" t="s">
        <v>33</v>
      </c>
      <c r="F210" s="2" t="s">
        <v>34</v>
      </c>
      <c r="G210" s="2" t="s">
        <v>70</v>
      </c>
      <c r="H210" s="2">
        <v>3</v>
      </c>
      <c r="I210" s="2">
        <v>63010.47</v>
      </c>
      <c r="J210" s="2">
        <v>0.1</v>
      </c>
      <c r="K210" s="2">
        <v>170128.26</v>
      </c>
      <c r="L210" s="2">
        <v>144977.43</v>
      </c>
      <c r="M210" s="2">
        <v>25150.83</v>
      </c>
      <c r="N210" s="2" t="s">
        <v>21</v>
      </c>
      <c r="O210" s="2" t="s">
        <v>40</v>
      </c>
    </row>
    <row r="211" spans="1:15" x14ac:dyDescent="0.3">
      <c r="A211" s="2" t="s">
        <v>300</v>
      </c>
      <c r="B211" s="3">
        <v>45700</v>
      </c>
      <c r="C211" s="2" t="s">
        <v>16</v>
      </c>
      <c r="D211" s="2" t="s">
        <v>17</v>
      </c>
      <c r="E211" s="2" t="s">
        <v>18</v>
      </c>
      <c r="F211" s="2" t="s">
        <v>19</v>
      </c>
      <c r="G211" s="2" t="s">
        <v>108</v>
      </c>
      <c r="H211" s="2">
        <v>1</v>
      </c>
      <c r="I211" s="2">
        <v>16153.24</v>
      </c>
      <c r="J211" s="2">
        <v>0.03</v>
      </c>
      <c r="K211" s="2">
        <v>15668.64</v>
      </c>
      <c r="L211" s="2">
        <v>11233.7</v>
      </c>
      <c r="M211" s="2">
        <v>4434.9399999999996</v>
      </c>
      <c r="N211" s="2" t="s">
        <v>21</v>
      </c>
      <c r="O211" s="2" t="s">
        <v>30</v>
      </c>
    </row>
    <row r="212" spans="1:15" x14ac:dyDescent="0.3">
      <c r="A212" s="2" t="s">
        <v>301</v>
      </c>
      <c r="B212" s="3">
        <v>45723</v>
      </c>
      <c r="C212" s="2" t="s">
        <v>16</v>
      </c>
      <c r="D212" s="2" t="s">
        <v>52</v>
      </c>
      <c r="E212" s="2" t="s">
        <v>74</v>
      </c>
      <c r="F212" s="2" t="s">
        <v>43</v>
      </c>
      <c r="G212" s="2" t="s">
        <v>84</v>
      </c>
      <c r="H212" s="2">
        <v>2</v>
      </c>
      <c r="I212" s="2">
        <v>39754</v>
      </c>
      <c r="J212" s="2">
        <v>0.1</v>
      </c>
      <c r="K212" s="2">
        <v>71557.210000000006</v>
      </c>
      <c r="L212" s="2">
        <v>58962.720000000001</v>
      </c>
      <c r="M212" s="2">
        <v>12594.49</v>
      </c>
      <c r="N212" s="2" t="s">
        <v>21</v>
      </c>
      <c r="O212" s="2" t="s">
        <v>22</v>
      </c>
    </row>
    <row r="213" spans="1:15" x14ac:dyDescent="0.3">
      <c r="A213" s="2" t="s">
        <v>302</v>
      </c>
      <c r="B213" s="3">
        <v>45689</v>
      </c>
      <c r="C213" s="2" t="s">
        <v>63</v>
      </c>
      <c r="D213" s="2" t="s">
        <v>117</v>
      </c>
      <c r="E213" s="2" t="s">
        <v>49</v>
      </c>
      <c r="F213" s="2" t="s">
        <v>34</v>
      </c>
      <c r="G213" s="2" t="s">
        <v>35</v>
      </c>
      <c r="H213" s="2">
        <v>3</v>
      </c>
      <c r="I213" s="2">
        <v>17882.61</v>
      </c>
      <c r="J213" s="2">
        <v>0</v>
      </c>
      <c r="K213" s="2">
        <v>53647.83</v>
      </c>
      <c r="L213" s="2">
        <v>43385.36</v>
      </c>
      <c r="M213" s="2">
        <v>10262.469999999999</v>
      </c>
      <c r="N213" s="2" t="s">
        <v>21</v>
      </c>
      <c r="O213" s="2" t="s">
        <v>40</v>
      </c>
    </row>
    <row r="214" spans="1:15" x14ac:dyDescent="0.3">
      <c r="A214" s="2" t="s">
        <v>303</v>
      </c>
      <c r="B214" s="3">
        <v>45825</v>
      </c>
      <c r="C214" s="2" t="s">
        <v>16</v>
      </c>
      <c r="D214" s="2" t="s">
        <v>82</v>
      </c>
      <c r="E214" s="2" t="s">
        <v>74</v>
      </c>
      <c r="F214" s="2" t="s">
        <v>19</v>
      </c>
      <c r="G214" s="2" t="s">
        <v>20</v>
      </c>
      <c r="H214" s="2">
        <v>7</v>
      </c>
      <c r="I214" s="2">
        <v>742.51</v>
      </c>
      <c r="J214" s="2">
        <v>0.1</v>
      </c>
      <c r="K214" s="2">
        <v>4677.83</v>
      </c>
      <c r="L214" s="2">
        <v>3168.35</v>
      </c>
      <c r="M214" s="2">
        <v>1509.48</v>
      </c>
      <c r="N214" s="2" t="s">
        <v>58</v>
      </c>
      <c r="O214" s="2" t="s">
        <v>59</v>
      </c>
    </row>
    <row r="215" spans="1:15" x14ac:dyDescent="0.3">
      <c r="A215" s="2" t="s">
        <v>304</v>
      </c>
      <c r="B215" s="3">
        <v>45824</v>
      </c>
      <c r="C215" s="2" t="s">
        <v>63</v>
      </c>
      <c r="D215" s="2" t="s">
        <v>117</v>
      </c>
      <c r="E215" s="2" t="s">
        <v>56</v>
      </c>
      <c r="F215" s="2" t="s">
        <v>34</v>
      </c>
      <c r="G215" s="2" t="s">
        <v>57</v>
      </c>
      <c r="H215" s="2">
        <v>8</v>
      </c>
      <c r="I215" s="2">
        <v>21234.16</v>
      </c>
      <c r="J215" s="2">
        <v>0.05</v>
      </c>
      <c r="K215" s="2">
        <v>161379.59</v>
      </c>
      <c r="L215" s="2">
        <v>130976.1</v>
      </c>
      <c r="M215" s="2">
        <v>30403.49</v>
      </c>
      <c r="N215" s="2" t="s">
        <v>29</v>
      </c>
      <c r="O215" s="2" t="s">
        <v>30</v>
      </c>
    </row>
    <row r="216" spans="1:15" x14ac:dyDescent="0.3">
      <c r="A216" s="2" t="s">
        <v>305</v>
      </c>
      <c r="B216" s="3">
        <v>45954</v>
      </c>
      <c r="C216" s="2" t="s">
        <v>16</v>
      </c>
      <c r="D216" s="2" t="s">
        <v>32</v>
      </c>
      <c r="E216" s="2" t="s">
        <v>306</v>
      </c>
      <c r="F216" s="2" t="s">
        <v>43</v>
      </c>
      <c r="G216" s="2" t="s">
        <v>44</v>
      </c>
      <c r="H216" s="2">
        <v>8</v>
      </c>
      <c r="I216" s="2">
        <v>11398.51</v>
      </c>
      <c r="J216" s="2">
        <v>0</v>
      </c>
      <c r="K216" s="2">
        <v>91188.07</v>
      </c>
      <c r="L216" s="2">
        <v>64342.400000000001</v>
      </c>
      <c r="M216" s="2">
        <v>26845.67</v>
      </c>
      <c r="N216" s="2" t="s">
        <v>29</v>
      </c>
      <c r="O216" s="2" t="s">
        <v>45</v>
      </c>
    </row>
    <row r="217" spans="1:15" x14ac:dyDescent="0.3">
      <c r="A217" s="2" t="s">
        <v>307</v>
      </c>
      <c r="B217" s="3">
        <v>45993</v>
      </c>
      <c r="C217" s="2" t="s">
        <v>16</v>
      </c>
      <c r="D217" s="2" t="s">
        <v>17</v>
      </c>
      <c r="E217" s="2" t="s">
        <v>18</v>
      </c>
      <c r="F217" s="2" t="s">
        <v>34</v>
      </c>
      <c r="G217" s="2" t="s">
        <v>39</v>
      </c>
      <c r="H217" s="2">
        <v>2</v>
      </c>
      <c r="I217" s="2">
        <v>29748.49</v>
      </c>
      <c r="J217" s="2">
        <v>0.05</v>
      </c>
      <c r="K217" s="2">
        <v>56522.14</v>
      </c>
      <c r="L217" s="2">
        <v>37296.03</v>
      </c>
      <c r="M217" s="2">
        <v>19226.11</v>
      </c>
      <c r="N217" s="2" t="s">
        <v>58</v>
      </c>
      <c r="O217" s="2" t="s">
        <v>22</v>
      </c>
    </row>
    <row r="218" spans="1:15" x14ac:dyDescent="0.3">
      <c r="A218" s="2" t="s">
        <v>308</v>
      </c>
      <c r="B218" s="3">
        <v>45833</v>
      </c>
      <c r="C218" s="2" t="s">
        <v>54</v>
      </c>
      <c r="D218" s="2" t="s">
        <v>174</v>
      </c>
      <c r="E218" s="2" t="s">
        <v>26</v>
      </c>
      <c r="F218" s="2" t="s">
        <v>43</v>
      </c>
      <c r="G218" s="2" t="s">
        <v>91</v>
      </c>
      <c r="H218" s="2">
        <v>1</v>
      </c>
      <c r="I218" s="2">
        <v>44416.39</v>
      </c>
      <c r="J218" s="2">
        <v>0.05</v>
      </c>
      <c r="K218" s="2">
        <v>42195.57</v>
      </c>
      <c r="L218" s="2">
        <v>33580.6</v>
      </c>
      <c r="M218" s="2">
        <v>8614.9699999999993</v>
      </c>
      <c r="N218" s="2" t="s">
        <v>21</v>
      </c>
      <c r="O218" s="2" t="s">
        <v>40</v>
      </c>
    </row>
    <row r="219" spans="1:15" x14ac:dyDescent="0.3">
      <c r="A219" s="2" t="s">
        <v>309</v>
      </c>
      <c r="B219" s="3">
        <v>45766</v>
      </c>
      <c r="C219" s="2" t="s">
        <v>54</v>
      </c>
      <c r="D219" s="2" t="s">
        <v>48</v>
      </c>
      <c r="E219" s="2" t="s">
        <v>74</v>
      </c>
      <c r="F219" s="2" t="s">
        <v>27</v>
      </c>
      <c r="G219" s="2" t="s">
        <v>89</v>
      </c>
      <c r="H219" s="2">
        <v>4</v>
      </c>
      <c r="I219" s="2">
        <v>33227.42</v>
      </c>
      <c r="J219" s="2">
        <v>0.03</v>
      </c>
      <c r="K219" s="2">
        <v>128922.39</v>
      </c>
      <c r="L219" s="2">
        <v>110514.83</v>
      </c>
      <c r="M219" s="2">
        <v>18407.560000000001</v>
      </c>
      <c r="N219" s="2" t="s">
        <v>58</v>
      </c>
      <c r="O219" s="2" t="s">
        <v>45</v>
      </c>
    </row>
    <row r="220" spans="1:15" x14ac:dyDescent="0.3">
      <c r="A220" s="2" t="s">
        <v>310</v>
      </c>
      <c r="B220" s="3">
        <v>45788</v>
      </c>
      <c r="C220" s="2" t="s">
        <v>63</v>
      </c>
      <c r="D220" s="2" t="s">
        <v>117</v>
      </c>
      <c r="E220" s="2" t="s">
        <v>49</v>
      </c>
      <c r="F220" s="2" t="s">
        <v>27</v>
      </c>
      <c r="G220" s="2" t="s">
        <v>28</v>
      </c>
      <c r="H220" s="2">
        <v>7</v>
      </c>
      <c r="I220" s="2">
        <v>28699.48</v>
      </c>
      <c r="J220" s="2">
        <v>0</v>
      </c>
      <c r="K220" s="2">
        <v>200896.36</v>
      </c>
      <c r="L220" s="2">
        <v>157672.82999999999</v>
      </c>
      <c r="M220" s="2">
        <v>43223.53</v>
      </c>
      <c r="N220" s="2" t="s">
        <v>29</v>
      </c>
      <c r="O220" s="2" t="s">
        <v>30</v>
      </c>
    </row>
    <row r="221" spans="1:15" x14ac:dyDescent="0.3">
      <c r="A221" s="2" t="s">
        <v>311</v>
      </c>
      <c r="B221" s="3">
        <v>45791</v>
      </c>
      <c r="C221" s="2" t="s">
        <v>54</v>
      </c>
      <c r="D221" s="2" t="s">
        <v>48</v>
      </c>
      <c r="E221" s="2" t="s">
        <v>74</v>
      </c>
      <c r="F221" s="2" t="s">
        <v>43</v>
      </c>
      <c r="G221" s="2" t="s">
        <v>44</v>
      </c>
      <c r="H221" s="2">
        <v>5</v>
      </c>
      <c r="I221" s="2">
        <v>11686.73</v>
      </c>
      <c r="J221" s="2">
        <v>0.03</v>
      </c>
      <c r="K221" s="2">
        <v>56680.66</v>
      </c>
      <c r="L221" s="2">
        <v>47632.72</v>
      </c>
      <c r="M221" s="2">
        <v>9047.94</v>
      </c>
      <c r="N221" s="2" t="s">
        <v>58</v>
      </c>
      <c r="O221" s="2" t="s">
        <v>40</v>
      </c>
    </row>
    <row r="222" spans="1:15" x14ac:dyDescent="0.3">
      <c r="A222" s="2" t="s">
        <v>312</v>
      </c>
      <c r="B222" s="3">
        <v>45943</v>
      </c>
      <c r="C222" s="2" t="s">
        <v>54</v>
      </c>
      <c r="D222" s="2" t="s">
        <v>48</v>
      </c>
      <c r="E222" s="2" t="s">
        <v>18</v>
      </c>
      <c r="F222" s="2" t="s">
        <v>19</v>
      </c>
      <c r="G222" s="2" t="s">
        <v>108</v>
      </c>
      <c r="H222" s="2">
        <v>5</v>
      </c>
      <c r="I222" s="2">
        <v>14410.37</v>
      </c>
      <c r="J222" s="2">
        <v>0.1</v>
      </c>
      <c r="K222" s="2">
        <v>64846.68</v>
      </c>
      <c r="L222" s="2">
        <v>53897.79</v>
      </c>
      <c r="M222" s="2">
        <v>10948.89</v>
      </c>
      <c r="N222" s="2" t="s">
        <v>21</v>
      </c>
      <c r="O222" s="2" t="s">
        <v>45</v>
      </c>
    </row>
    <row r="223" spans="1:15" x14ac:dyDescent="0.3">
      <c r="A223" s="2" t="s">
        <v>313</v>
      </c>
      <c r="B223" s="3">
        <v>45732</v>
      </c>
      <c r="C223" s="2" t="s">
        <v>37</v>
      </c>
      <c r="D223" s="2" t="s">
        <v>25</v>
      </c>
      <c r="E223" s="2" t="s">
        <v>74</v>
      </c>
      <c r="F223" s="2" t="s">
        <v>19</v>
      </c>
      <c r="G223" s="2" t="s">
        <v>106</v>
      </c>
      <c r="H223" s="2">
        <v>4</v>
      </c>
      <c r="I223" s="2">
        <v>14908.01</v>
      </c>
      <c r="J223" s="2">
        <v>0.08</v>
      </c>
      <c r="K223" s="2">
        <v>54861.46</v>
      </c>
      <c r="L223" s="2">
        <v>36532.379999999997</v>
      </c>
      <c r="M223" s="2">
        <v>18329.080000000002</v>
      </c>
      <c r="N223" s="2" t="s">
        <v>29</v>
      </c>
      <c r="O223" s="2" t="s">
        <v>30</v>
      </c>
    </row>
    <row r="224" spans="1:15" x14ac:dyDescent="0.3">
      <c r="A224" s="2" t="s">
        <v>314</v>
      </c>
      <c r="B224" s="3">
        <v>45905</v>
      </c>
      <c r="C224" s="2" t="s">
        <v>54</v>
      </c>
      <c r="D224" s="2" t="s">
        <v>174</v>
      </c>
      <c r="E224" s="2" t="s">
        <v>74</v>
      </c>
      <c r="F224" s="2" t="s">
        <v>27</v>
      </c>
      <c r="G224" s="2" t="s">
        <v>66</v>
      </c>
      <c r="H224" s="2">
        <v>1</v>
      </c>
      <c r="I224" s="2">
        <v>10342.23</v>
      </c>
      <c r="J224" s="2">
        <v>0.08</v>
      </c>
      <c r="K224" s="2">
        <v>9514.85</v>
      </c>
      <c r="L224" s="2">
        <v>6641.6</v>
      </c>
      <c r="M224" s="2">
        <v>2873.25</v>
      </c>
      <c r="N224" s="2" t="s">
        <v>21</v>
      </c>
      <c r="O224" s="2" t="s">
        <v>30</v>
      </c>
    </row>
    <row r="225" spans="1:15" x14ac:dyDescent="0.3">
      <c r="A225" s="2" t="s">
        <v>315</v>
      </c>
      <c r="B225" s="3">
        <v>45678</v>
      </c>
      <c r="C225" s="2" t="s">
        <v>63</v>
      </c>
      <c r="D225" s="2" t="s">
        <v>95</v>
      </c>
      <c r="E225" s="2" t="s">
        <v>26</v>
      </c>
      <c r="F225" s="2" t="s">
        <v>34</v>
      </c>
      <c r="G225" s="2" t="s">
        <v>57</v>
      </c>
      <c r="H225" s="2">
        <v>4</v>
      </c>
      <c r="I225" s="2">
        <v>23289.68</v>
      </c>
      <c r="J225" s="2">
        <v>0.03</v>
      </c>
      <c r="K225" s="2">
        <v>90363.96</v>
      </c>
      <c r="L225" s="2">
        <v>63841.3</v>
      </c>
      <c r="M225" s="2">
        <v>26522.66</v>
      </c>
      <c r="N225" s="2" t="s">
        <v>21</v>
      </c>
      <c r="O225" s="2" t="s">
        <v>45</v>
      </c>
    </row>
    <row r="226" spans="1:15" x14ac:dyDescent="0.3">
      <c r="A226" s="2" t="s">
        <v>316</v>
      </c>
      <c r="B226" s="3">
        <v>45772</v>
      </c>
      <c r="C226" s="2" t="s">
        <v>16</v>
      </c>
      <c r="D226" s="2" t="s">
        <v>82</v>
      </c>
      <c r="E226" s="2" t="s">
        <v>74</v>
      </c>
      <c r="F226" s="2" t="s">
        <v>27</v>
      </c>
      <c r="G226" s="2" t="s">
        <v>89</v>
      </c>
      <c r="H226" s="2">
        <v>7</v>
      </c>
      <c r="I226" s="2">
        <v>33573.870000000003</v>
      </c>
      <c r="J226" s="2">
        <v>0</v>
      </c>
      <c r="K226" s="2">
        <v>235017.07</v>
      </c>
      <c r="L226" s="2">
        <v>196409.26</v>
      </c>
      <c r="M226" s="2">
        <v>38607.81</v>
      </c>
      <c r="N226" s="2" t="s">
        <v>58</v>
      </c>
      <c r="O226" s="2" t="s">
        <v>22</v>
      </c>
    </row>
    <row r="227" spans="1:15" x14ac:dyDescent="0.3">
      <c r="A227" s="2" t="s">
        <v>317</v>
      </c>
      <c r="B227" s="3">
        <v>45991</v>
      </c>
      <c r="C227" s="2" t="s">
        <v>37</v>
      </c>
      <c r="D227" s="2" t="s">
        <v>38</v>
      </c>
      <c r="E227" s="2" t="s">
        <v>69</v>
      </c>
      <c r="F227" s="2" t="s">
        <v>318</v>
      </c>
      <c r="G227" s="2" t="s">
        <v>91</v>
      </c>
      <c r="H227" s="2">
        <v>5</v>
      </c>
      <c r="I227" s="2">
        <v>48358.26</v>
      </c>
      <c r="J227" s="2">
        <v>0.05</v>
      </c>
      <c r="K227" s="2">
        <v>229701.73</v>
      </c>
      <c r="L227" s="2">
        <v>196264.53</v>
      </c>
      <c r="M227" s="2">
        <v>33437.199999999997</v>
      </c>
      <c r="N227" s="2" t="s">
        <v>29</v>
      </c>
      <c r="O227" s="2" t="s">
        <v>30</v>
      </c>
    </row>
    <row r="228" spans="1:15" x14ac:dyDescent="0.3">
      <c r="A228" s="2" t="s">
        <v>319</v>
      </c>
      <c r="B228" s="3">
        <v>45941</v>
      </c>
      <c r="C228" s="2" t="s">
        <v>37</v>
      </c>
      <c r="D228" s="2" t="s">
        <v>42</v>
      </c>
      <c r="E228" s="2" t="s">
        <v>74</v>
      </c>
      <c r="F228" s="2" t="s">
        <v>27</v>
      </c>
      <c r="G228" s="2" t="s">
        <v>89</v>
      </c>
      <c r="H228" s="2">
        <v>3</v>
      </c>
      <c r="I228" s="2">
        <v>34420.61</v>
      </c>
      <c r="J228" s="2">
        <v>0.1</v>
      </c>
      <c r="K228" s="2">
        <v>92935.66</v>
      </c>
      <c r="L228" s="2">
        <v>73218.03</v>
      </c>
      <c r="M228" s="2">
        <v>19717.63</v>
      </c>
      <c r="N228" s="2" t="s">
        <v>21</v>
      </c>
      <c r="O228" s="2" t="s">
        <v>30</v>
      </c>
    </row>
    <row r="229" spans="1:15" x14ac:dyDescent="0.3">
      <c r="A229" s="2" t="s">
        <v>320</v>
      </c>
      <c r="B229" s="3">
        <v>45943</v>
      </c>
      <c r="C229" s="2" t="s">
        <v>16</v>
      </c>
      <c r="D229" s="2" t="s">
        <v>32</v>
      </c>
      <c r="E229" s="2" t="s">
        <v>56</v>
      </c>
      <c r="F229" s="2" t="s">
        <v>34</v>
      </c>
      <c r="G229" s="2" t="s">
        <v>35</v>
      </c>
      <c r="H229" s="2">
        <v>6</v>
      </c>
      <c r="I229" s="2">
        <v>17189.12</v>
      </c>
      <c r="J229" s="2">
        <v>0</v>
      </c>
      <c r="K229" s="2">
        <v>103134.7</v>
      </c>
      <c r="L229" s="2">
        <v>65635.11</v>
      </c>
      <c r="M229" s="2">
        <v>37499.589999999997</v>
      </c>
      <c r="N229" s="2" t="s">
        <v>21</v>
      </c>
      <c r="O229" s="2" t="s">
        <v>30</v>
      </c>
    </row>
    <row r="230" spans="1:15" x14ac:dyDescent="0.3">
      <c r="A230" s="2" t="s">
        <v>321</v>
      </c>
      <c r="B230" s="3">
        <v>45725</v>
      </c>
      <c r="C230" s="2" t="s">
        <v>16</v>
      </c>
      <c r="D230" s="2" t="s">
        <v>17</v>
      </c>
      <c r="E230" s="2" t="s">
        <v>74</v>
      </c>
      <c r="F230" s="2" t="s">
        <v>43</v>
      </c>
      <c r="G230" s="2" t="s">
        <v>44</v>
      </c>
      <c r="H230" s="2">
        <v>1</v>
      </c>
      <c r="I230" s="2">
        <v>11615.84</v>
      </c>
      <c r="J230" s="2">
        <v>0.08</v>
      </c>
      <c r="K230" s="2">
        <v>10686.58</v>
      </c>
      <c r="L230" s="2">
        <v>6749.16</v>
      </c>
      <c r="M230" s="2">
        <v>3937.42</v>
      </c>
      <c r="N230" s="2" t="s">
        <v>58</v>
      </c>
      <c r="O230" s="2" t="s">
        <v>59</v>
      </c>
    </row>
    <row r="231" spans="1:15" x14ac:dyDescent="0.3">
      <c r="A231" s="2" t="s">
        <v>322</v>
      </c>
      <c r="B231" s="3">
        <v>45721</v>
      </c>
      <c r="C231" s="2" t="s">
        <v>63</v>
      </c>
      <c r="D231" s="2" t="s">
        <v>117</v>
      </c>
      <c r="E231" s="2" t="s">
        <v>74</v>
      </c>
      <c r="F231" s="2" t="s">
        <v>27</v>
      </c>
      <c r="G231" s="2" t="s">
        <v>125</v>
      </c>
      <c r="H231" s="2">
        <v>6</v>
      </c>
      <c r="I231" s="2">
        <v>8900.6299999999992</v>
      </c>
      <c r="J231" s="2">
        <v>0</v>
      </c>
      <c r="K231" s="2">
        <v>53403.76</v>
      </c>
      <c r="L231" s="2">
        <v>40580.11</v>
      </c>
      <c r="M231" s="2">
        <v>12823.65</v>
      </c>
      <c r="N231" s="2" t="s">
        <v>58</v>
      </c>
      <c r="O231" s="2" t="s">
        <v>45</v>
      </c>
    </row>
    <row r="232" spans="1:15" x14ac:dyDescent="0.3">
      <c r="A232" s="2" t="s">
        <v>323</v>
      </c>
      <c r="B232" s="3">
        <v>45981</v>
      </c>
      <c r="C232" s="2" t="s">
        <v>16</v>
      </c>
      <c r="D232" s="2" t="s">
        <v>17</v>
      </c>
      <c r="E232" s="2" t="s">
        <v>26</v>
      </c>
      <c r="F232" s="2" t="s">
        <v>27</v>
      </c>
      <c r="G232" s="2" t="s">
        <v>66</v>
      </c>
      <c r="H232" s="2">
        <v>4</v>
      </c>
      <c r="I232" s="2">
        <v>10322.280000000001</v>
      </c>
      <c r="J232" s="2">
        <v>0</v>
      </c>
      <c r="K232" s="2">
        <v>41289.129999999997</v>
      </c>
      <c r="L232" s="2">
        <v>34613.11</v>
      </c>
      <c r="M232" s="2">
        <v>6676.02</v>
      </c>
      <c r="N232" s="2" t="s">
        <v>58</v>
      </c>
      <c r="O232" s="2" t="s">
        <v>59</v>
      </c>
    </row>
    <row r="233" spans="1:15" x14ac:dyDescent="0.3">
      <c r="A233" s="2" t="s">
        <v>324</v>
      </c>
      <c r="B233" s="3">
        <v>45683</v>
      </c>
      <c r="C233" s="2" t="s">
        <v>54</v>
      </c>
      <c r="D233" s="2" t="s">
        <v>124</v>
      </c>
      <c r="E233" s="2" t="s">
        <v>26</v>
      </c>
      <c r="F233" s="2" t="s">
        <v>43</v>
      </c>
      <c r="G233" s="2" t="s">
        <v>91</v>
      </c>
      <c r="H233" s="2">
        <v>6</v>
      </c>
      <c r="I233" s="2">
        <v>47497.7</v>
      </c>
      <c r="J233" s="2">
        <v>0.08</v>
      </c>
      <c r="K233" s="2">
        <v>262187.28999999998</v>
      </c>
      <c r="L233" s="2">
        <v>200432.12</v>
      </c>
      <c r="M233" s="2">
        <v>61755.17</v>
      </c>
      <c r="N233" s="2" t="s">
        <v>21</v>
      </c>
      <c r="O233" s="2" t="s">
        <v>45</v>
      </c>
    </row>
    <row r="234" spans="1:15" x14ac:dyDescent="0.3">
      <c r="A234" s="2" t="s">
        <v>325</v>
      </c>
      <c r="B234" s="3">
        <v>45724</v>
      </c>
      <c r="C234" s="2" t="s">
        <v>63</v>
      </c>
      <c r="D234" s="2" t="s">
        <v>88</v>
      </c>
      <c r="E234" s="2" t="s">
        <v>56</v>
      </c>
      <c r="F234" s="2" t="s">
        <v>19</v>
      </c>
      <c r="G234" s="2" t="s">
        <v>102</v>
      </c>
      <c r="H234" s="2">
        <v>7</v>
      </c>
      <c r="I234" s="2">
        <v>250.49</v>
      </c>
      <c r="J234" s="2">
        <v>0</v>
      </c>
      <c r="K234" s="2">
        <v>1753.46</v>
      </c>
      <c r="L234" s="2">
        <v>1248.96</v>
      </c>
      <c r="M234" s="2">
        <v>504.5</v>
      </c>
      <c r="N234" s="2" t="s">
        <v>29</v>
      </c>
      <c r="O234" s="2" t="s">
        <v>59</v>
      </c>
    </row>
    <row r="235" spans="1:15" x14ac:dyDescent="0.3">
      <c r="A235" s="2" t="s">
        <v>326</v>
      </c>
      <c r="B235" s="3">
        <v>45793</v>
      </c>
      <c r="C235" s="2" t="s">
        <v>37</v>
      </c>
      <c r="D235" s="2" t="s">
        <v>38</v>
      </c>
      <c r="E235" s="2" t="s">
        <v>18</v>
      </c>
      <c r="F235" s="2" t="s">
        <v>27</v>
      </c>
      <c r="G235" s="2" t="s">
        <v>89</v>
      </c>
      <c r="H235" s="2">
        <v>2</v>
      </c>
      <c r="I235" s="2">
        <v>31292.69</v>
      </c>
      <c r="J235" s="2">
        <v>0.05</v>
      </c>
      <c r="K235" s="2">
        <v>59456.11</v>
      </c>
      <c r="L235" s="2">
        <v>37514.17</v>
      </c>
      <c r="M235" s="2">
        <v>21941.94</v>
      </c>
      <c r="N235" s="2" t="s">
        <v>21</v>
      </c>
      <c r="O235" s="2" t="s">
        <v>59</v>
      </c>
    </row>
    <row r="236" spans="1:15" x14ac:dyDescent="0.3">
      <c r="A236" s="2" t="s">
        <v>327</v>
      </c>
      <c r="B236" s="3">
        <v>45706</v>
      </c>
      <c r="C236" s="2" t="s">
        <v>54</v>
      </c>
      <c r="D236" s="2" t="s">
        <v>124</v>
      </c>
      <c r="E236" s="2" t="s">
        <v>65</v>
      </c>
      <c r="F236" s="2" t="s">
        <v>43</v>
      </c>
      <c r="G236" s="2" t="s">
        <v>44</v>
      </c>
      <c r="H236" s="2">
        <v>8</v>
      </c>
      <c r="I236" s="2">
        <v>11578.91</v>
      </c>
      <c r="J236" s="2">
        <v>0.03</v>
      </c>
      <c r="K236" s="2">
        <v>89852.36</v>
      </c>
      <c r="L236" s="2">
        <v>66848.13</v>
      </c>
      <c r="M236" s="2">
        <v>23004.23</v>
      </c>
      <c r="N236" s="2" t="s">
        <v>21</v>
      </c>
      <c r="O236" s="2" t="s">
        <v>22</v>
      </c>
    </row>
    <row r="237" spans="1:15" x14ac:dyDescent="0.3">
      <c r="A237" s="2" t="s">
        <v>328</v>
      </c>
      <c r="B237" s="3">
        <v>45890</v>
      </c>
      <c r="C237" s="2" t="s">
        <v>54</v>
      </c>
      <c r="D237" s="2" t="s">
        <v>124</v>
      </c>
      <c r="E237" s="2" t="s">
        <v>33</v>
      </c>
      <c r="F237" s="2" t="s">
        <v>318</v>
      </c>
      <c r="G237" s="2" t="s">
        <v>121</v>
      </c>
      <c r="H237" s="2">
        <v>1</v>
      </c>
      <c r="I237" s="2">
        <v>4774.8100000000004</v>
      </c>
      <c r="J237" s="2">
        <v>0.05</v>
      </c>
      <c r="K237" s="2">
        <v>4536.07</v>
      </c>
      <c r="L237" s="2">
        <v>2860.69</v>
      </c>
      <c r="M237" s="2">
        <v>1675.38</v>
      </c>
      <c r="N237" s="2" t="s">
        <v>21</v>
      </c>
      <c r="O237" s="2" t="s">
        <v>45</v>
      </c>
    </row>
    <row r="238" spans="1:15" x14ac:dyDescent="0.3">
      <c r="A238" s="2" t="s">
        <v>329</v>
      </c>
      <c r="B238" s="3">
        <v>45804</v>
      </c>
      <c r="C238" s="2" t="s">
        <v>16</v>
      </c>
      <c r="D238" s="2" t="s">
        <v>17</v>
      </c>
      <c r="E238" s="2" t="s">
        <v>26</v>
      </c>
      <c r="F238" s="2" t="s">
        <v>43</v>
      </c>
      <c r="G238" s="2" t="s">
        <v>44</v>
      </c>
      <c r="H238" s="2">
        <v>7</v>
      </c>
      <c r="I238" s="2">
        <v>12143.58</v>
      </c>
      <c r="J238" s="2">
        <v>0</v>
      </c>
      <c r="K238" s="2">
        <v>85005.04</v>
      </c>
      <c r="L238" s="2">
        <v>66482.509999999995</v>
      </c>
      <c r="M238" s="2">
        <v>18522.53</v>
      </c>
      <c r="N238" s="2" t="s">
        <v>29</v>
      </c>
      <c r="O238" s="2" t="s">
        <v>45</v>
      </c>
    </row>
    <row r="239" spans="1:15" x14ac:dyDescent="0.3">
      <c r="A239" s="2" t="s">
        <v>330</v>
      </c>
      <c r="B239" s="3">
        <v>45747</v>
      </c>
      <c r="C239" s="2" t="s">
        <v>16</v>
      </c>
      <c r="D239" s="2" t="s">
        <v>82</v>
      </c>
      <c r="E239" s="2" t="s">
        <v>69</v>
      </c>
      <c r="F239" s="2" t="s">
        <v>43</v>
      </c>
      <c r="G239" s="2" t="s">
        <v>121</v>
      </c>
      <c r="H239" s="2">
        <v>5</v>
      </c>
      <c r="I239" s="2">
        <v>4806.54</v>
      </c>
      <c r="J239" s="2">
        <v>0.08</v>
      </c>
      <c r="K239" s="2">
        <v>22110.080000000002</v>
      </c>
      <c r="L239" s="2">
        <v>15282.81</v>
      </c>
      <c r="M239" s="2">
        <v>6827.27</v>
      </c>
      <c r="N239" s="2" t="s">
        <v>58</v>
      </c>
      <c r="O239" s="2" t="s">
        <v>59</v>
      </c>
    </row>
    <row r="240" spans="1:15" x14ac:dyDescent="0.3">
      <c r="A240" s="2" t="s">
        <v>331</v>
      </c>
      <c r="B240" s="3">
        <v>45981</v>
      </c>
      <c r="C240" s="2" t="s">
        <v>63</v>
      </c>
      <c r="D240" s="2" t="s">
        <v>95</v>
      </c>
      <c r="E240" s="2" t="s">
        <v>69</v>
      </c>
      <c r="F240" s="2" t="s">
        <v>34</v>
      </c>
      <c r="G240" s="2" t="s">
        <v>80</v>
      </c>
      <c r="H240" s="2">
        <v>7</v>
      </c>
      <c r="I240" s="2">
        <v>4182.8599999999997</v>
      </c>
      <c r="J240" s="2">
        <v>0.08</v>
      </c>
      <c r="K240" s="2">
        <v>26937.599999999999</v>
      </c>
      <c r="L240" s="2">
        <v>21140.13</v>
      </c>
      <c r="M240" s="2">
        <v>5797.47</v>
      </c>
      <c r="N240" s="2" t="s">
        <v>21</v>
      </c>
      <c r="O240" s="2" t="s">
        <v>40</v>
      </c>
    </row>
    <row r="241" spans="1:15" x14ac:dyDescent="0.3">
      <c r="A241" s="2" t="s">
        <v>332</v>
      </c>
      <c r="B241" s="3">
        <v>45915</v>
      </c>
      <c r="C241" s="2" t="s">
        <v>16</v>
      </c>
      <c r="D241" s="2" t="s">
        <v>32</v>
      </c>
      <c r="E241" s="2" t="s">
        <v>18</v>
      </c>
      <c r="F241" s="2" t="s">
        <v>43</v>
      </c>
      <c r="G241" s="2" t="s">
        <v>91</v>
      </c>
      <c r="H241" s="2">
        <v>1</v>
      </c>
      <c r="I241" s="2">
        <v>44705.34</v>
      </c>
      <c r="J241" s="2">
        <v>0</v>
      </c>
      <c r="K241" s="2">
        <v>44705.34</v>
      </c>
      <c r="L241" s="2">
        <v>31523.75</v>
      </c>
      <c r="M241" s="2">
        <v>13181.59</v>
      </c>
      <c r="N241" s="2" t="s">
        <v>29</v>
      </c>
      <c r="O241" s="2" t="s">
        <v>30</v>
      </c>
    </row>
    <row r="242" spans="1:15" x14ac:dyDescent="0.3">
      <c r="A242" s="2" t="s">
        <v>333</v>
      </c>
      <c r="B242" s="3">
        <v>45741</v>
      </c>
      <c r="C242" s="2" t="s">
        <v>63</v>
      </c>
      <c r="D242" s="2" t="s">
        <v>64</v>
      </c>
      <c r="E242" s="2" t="s">
        <v>69</v>
      </c>
      <c r="F242" s="2" t="s">
        <v>43</v>
      </c>
      <c r="G242" s="2" t="s">
        <v>75</v>
      </c>
      <c r="H242" s="2">
        <v>3</v>
      </c>
      <c r="I242" s="2">
        <v>38380.53</v>
      </c>
      <c r="J242" s="2">
        <v>0.08</v>
      </c>
      <c r="K242" s="2">
        <v>105930.27</v>
      </c>
      <c r="L242" s="2">
        <v>87889.04</v>
      </c>
      <c r="M242" s="2">
        <v>18041.23</v>
      </c>
      <c r="N242" s="2" t="s">
        <v>29</v>
      </c>
      <c r="O242" s="2" t="s">
        <v>45</v>
      </c>
    </row>
    <row r="243" spans="1:15" x14ac:dyDescent="0.3">
      <c r="A243" s="2" t="s">
        <v>334</v>
      </c>
      <c r="B243" s="3">
        <v>45968</v>
      </c>
      <c r="C243" s="2" t="s">
        <v>54</v>
      </c>
      <c r="D243" s="2" t="s">
        <v>48</v>
      </c>
      <c r="E243" s="2" t="s">
        <v>69</v>
      </c>
      <c r="F243" s="2" t="s">
        <v>43</v>
      </c>
      <c r="G243" s="2" t="s">
        <v>75</v>
      </c>
      <c r="H243" s="2">
        <v>1</v>
      </c>
      <c r="I243" s="2">
        <v>37122.519999999997</v>
      </c>
      <c r="J243" s="2">
        <v>0.05</v>
      </c>
      <c r="K243" s="2">
        <v>35266.400000000001</v>
      </c>
      <c r="L243" s="2">
        <v>25664.23</v>
      </c>
      <c r="M243" s="2">
        <v>9602.17</v>
      </c>
      <c r="N243" s="2" t="s">
        <v>29</v>
      </c>
      <c r="O243" s="2" t="s">
        <v>59</v>
      </c>
    </row>
    <row r="244" spans="1:15" x14ac:dyDescent="0.3">
      <c r="A244" s="2" t="s">
        <v>335</v>
      </c>
      <c r="B244" s="3">
        <v>45764</v>
      </c>
      <c r="C244" s="2" t="s">
        <v>54</v>
      </c>
      <c r="D244" s="2" t="s">
        <v>48</v>
      </c>
      <c r="E244" s="2" t="s">
        <v>56</v>
      </c>
      <c r="F244" s="2" t="s">
        <v>34</v>
      </c>
      <c r="G244" s="2" t="s">
        <v>70</v>
      </c>
      <c r="H244" s="2">
        <v>7</v>
      </c>
      <c r="I244" s="2">
        <v>68293.919999999998</v>
      </c>
      <c r="J244" s="2">
        <v>0</v>
      </c>
      <c r="K244" s="2">
        <v>478057.45</v>
      </c>
      <c r="L244" s="2">
        <v>340842.64</v>
      </c>
      <c r="M244" s="2">
        <v>137214.81</v>
      </c>
      <c r="N244" s="2" t="s">
        <v>29</v>
      </c>
      <c r="O244" s="2" t="s">
        <v>22</v>
      </c>
    </row>
    <row r="245" spans="1:15" x14ac:dyDescent="0.3">
      <c r="A245" s="2" t="s">
        <v>336</v>
      </c>
      <c r="B245" s="3">
        <v>45992</v>
      </c>
      <c r="C245" s="2" t="s">
        <v>37</v>
      </c>
      <c r="D245" s="2" t="s">
        <v>68</v>
      </c>
      <c r="E245" s="2" t="s">
        <v>65</v>
      </c>
      <c r="F245" s="2" t="s">
        <v>27</v>
      </c>
      <c r="G245" s="2" t="s">
        <v>50</v>
      </c>
      <c r="H245" s="2">
        <v>4</v>
      </c>
      <c r="I245" s="2">
        <v>31432.23</v>
      </c>
      <c r="J245" s="2">
        <v>0.1</v>
      </c>
      <c r="K245" s="2">
        <v>113156.01</v>
      </c>
      <c r="L245" s="2">
        <v>93445.93</v>
      </c>
      <c r="M245" s="2">
        <v>19710.080000000002</v>
      </c>
      <c r="N245" s="2" t="s">
        <v>58</v>
      </c>
      <c r="O245" s="2" t="s">
        <v>22</v>
      </c>
    </row>
    <row r="246" spans="1:15" x14ac:dyDescent="0.3">
      <c r="A246" s="2" t="s">
        <v>337</v>
      </c>
      <c r="B246" s="3">
        <v>45664</v>
      </c>
      <c r="C246" s="2" t="s">
        <v>63</v>
      </c>
      <c r="D246" s="2" t="s">
        <v>117</v>
      </c>
      <c r="E246" s="2" t="s">
        <v>69</v>
      </c>
      <c r="F246" s="2" t="s">
        <v>43</v>
      </c>
      <c r="G246" s="2" t="s">
        <v>91</v>
      </c>
      <c r="H246" s="2">
        <v>4</v>
      </c>
      <c r="I246" s="2">
        <v>49446.95</v>
      </c>
      <c r="J246" s="2">
        <v>0.05</v>
      </c>
      <c r="K246" s="2">
        <v>187898.41</v>
      </c>
      <c r="L246" s="2">
        <v>124021.68</v>
      </c>
      <c r="M246" s="2">
        <v>63876.73</v>
      </c>
      <c r="N246" s="2" t="s">
        <v>21</v>
      </c>
      <c r="O246" s="2" t="s">
        <v>30</v>
      </c>
    </row>
    <row r="247" spans="1:15" x14ac:dyDescent="0.3">
      <c r="A247" s="2" t="s">
        <v>338</v>
      </c>
      <c r="B247" s="3">
        <v>45783</v>
      </c>
      <c r="C247" s="2" t="s">
        <v>16</v>
      </c>
      <c r="D247" s="2" t="s">
        <v>82</v>
      </c>
      <c r="E247" s="2" t="s">
        <v>69</v>
      </c>
      <c r="F247" s="2" t="s">
        <v>34</v>
      </c>
      <c r="G247" s="2" t="s">
        <v>35</v>
      </c>
      <c r="H247" s="2">
        <v>2</v>
      </c>
      <c r="I247" s="2">
        <v>18394.28</v>
      </c>
      <c r="J247" s="2">
        <v>0.05</v>
      </c>
      <c r="K247" s="2">
        <v>34949.129999999997</v>
      </c>
      <c r="L247" s="2">
        <v>22269.96</v>
      </c>
      <c r="M247" s="2">
        <v>12679.17</v>
      </c>
      <c r="N247" s="2" t="s">
        <v>29</v>
      </c>
      <c r="O247" s="2" t="s">
        <v>30</v>
      </c>
    </row>
    <row r="248" spans="1:15" x14ac:dyDescent="0.3">
      <c r="A248" s="2" t="s">
        <v>339</v>
      </c>
      <c r="B248" s="3">
        <v>46022</v>
      </c>
      <c r="C248" s="2" t="s">
        <v>63</v>
      </c>
      <c r="D248" s="2" t="s">
        <v>95</v>
      </c>
      <c r="E248" s="2" t="s">
        <v>26</v>
      </c>
      <c r="F248" s="2" t="s">
        <v>43</v>
      </c>
      <c r="G248" s="2" t="s">
        <v>91</v>
      </c>
      <c r="H248" s="2">
        <v>8</v>
      </c>
      <c r="I248" s="2">
        <v>51748.12</v>
      </c>
      <c r="J248" s="2">
        <v>0.05</v>
      </c>
      <c r="K248" s="2">
        <v>393285.68</v>
      </c>
      <c r="L248" s="2">
        <v>308802.34000000003</v>
      </c>
      <c r="M248" s="2">
        <v>84483.34</v>
      </c>
      <c r="N248" s="2" t="s">
        <v>58</v>
      </c>
      <c r="O248" s="2" t="s">
        <v>22</v>
      </c>
    </row>
    <row r="249" spans="1:15" x14ac:dyDescent="0.3">
      <c r="A249" s="2" t="s">
        <v>340</v>
      </c>
      <c r="B249" s="3">
        <v>45782</v>
      </c>
      <c r="C249" s="2" t="s">
        <v>16</v>
      </c>
      <c r="D249" s="2" t="s">
        <v>17</v>
      </c>
      <c r="E249" s="2" t="s">
        <v>49</v>
      </c>
      <c r="F249" s="2" t="s">
        <v>34</v>
      </c>
      <c r="G249" s="2" t="s">
        <v>57</v>
      </c>
      <c r="H249" s="2">
        <v>8</v>
      </c>
      <c r="I249" s="2">
        <v>21697.81</v>
      </c>
      <c r="J249" s="2">
        <v>0.05</v>
      </c>
      <c r="K249" s="2">
        <v>164903.35</v>
      </c>
      <c r="L249" s="2">
        <v>114635.78</v>
      </c>
      <c r="M249" s="2">
        <v>50267.57</v>
      </c>
      <c r="N249" s="2" t="s">
        <v>29</v>
      </c>
      <c r="O249" s="2" t="s">
        <v>59</v>
      </c>
    </row>
    <row r="250" spans="1:15" x14ac:dyDescent="0.3">
      <c r="A250" s="2" t="s">
        <v>341</v>
      </c>
      <c r="B250" s="3">
        <v>45942</v>
      </c>
      <c r="C250" s="2" t="s">
        <v>54</v>
      </c>
      <c r="D250" s="2" t="s">
        <v>124</v>
      </c>
      <c r="E250" s="2" t="s">
        <v>65</v>
      </c>
      <c r="F250" s="2" t="s">
        <v>27</v>
      </c>
      <c r="G250" s="2" t="s">
        <v>125</v>
      </c>
      <c r="H250" s="2">
        <v>3</v>
      </c>
      <c r="I250" s="2">
        <v>9028.23</v>
      </c>
      <c r="J250" s="2">
        <v>0.08</v>
      </c>
      <c r="K250" s="2">
        <v>24917.91</v>
      </c>
      <c r="L250" s="2">
        <v>20393.060000000001</v>
      </c>
      <c r="M250" s="2">
        <v>4524.8500000000004</v>
      </c>
      <c r="N250" s="2" t="s">
        <v>21</v>
      </c>
      <c r="O250" s="2" t="s">
        <v>40</v>
      </c>
    </row>
    <row r="251" spans="1:15" x14ac:dyDescent="0.3">
      <c r="A251" s="2" t="s">
        <v>342</v>
      </c>
      <c r="B251" s="3">
        <v>45966</v>
      </c>
      <c r="C251" s="2" t="s">
        <v>37</v>
      </c>
      <c r="D251" s="2" t="s">
        <v>42</v>
      </c>
      <c r="E251" s="2" t="s">
        <v>26</v>
      </c>
      <c r="F251" s="2" t="s">
        <v>19</v>
      </c>
      <c r="G251" s="2" t="s">
        <v>20</v>
      </c>
      <c r="H251" s="2">
        <v>5</v>
      </c>
      <c r="I251" s="2">
        <v>697.52</v>
      </c>
      <c r="J251" s="2">
        <v>0.05</v>
      </c>
      <c r="K251" s="2">
        <v>3313.23</v>
      </c>
      <c r="L251" s="2">
        <v>2188.06</v>
      </c>
      <c r="M251" s="2">
        <v>1125.17</v>
      </c>
      <c r="N251" s="2" t="s">
        <v>58</v>
      </c>
      <c r="O251" s="2" t="s">
        <v>22</v>
      </c>
    </row>
    <row r="252" spans="1:15" x14ac:dyDescent="0.3">
      <c r="A252" s="2" t="s">
        <v>343</v>
      </c>
      <c r="B252" s="3">
        <v>45796</v>
      </c>
      <c r="C252" s="2" t="s">
        <v>16</v>
      </c>
      <c r="D252" s="2" t="s">
        <v>52</v>
      </c>
      <c r="E252" s="2" t="s">
        <v>344</v>
      </c>
      <c r="F252" s="2" t="s">
        <v>19</v>
      </c>
      <c r="G252" s="2" t="s">
        <v>61</v>
      </c>
      <c r="H252" s="2">
        <v>1</v>
      </c>
      <c r="I252" s="2">
        <v>9010.7199999999993</v>
      </c>
      <c r="J252" s="2">
        <v>0.08</v>
      </c>
      <c r="K252" s="2">
        <v>8289.86</v>
      </c>
      <c r="L252" s="2">
        <v>5607.34</v>
      </c>
      <c r="M252" s="2">
        <v>2682.52</v>
      </c>
      <c r="N252" s="2" t="s">
        <v>29</v>
      </c>
      <c r="O252" s="2" t="s">
        <v>22</v>
      </c>
    </row>
    <row r="253" spans="1:15" x14ac:dyDescent="0.3">
      <c r="A253" s="2" t="s">
        <v>345</v>
      </c>
      <c r="B253" s="3">
        <v>45756</v>
      </c>
      <c r="C253" s="2" t="s">
        <v>37</v>
      </c>
      <c r="D253" s="2" t="s">
        <v>38</v>
      </c>
      <c r="E253" s="2" t="s">
        <v>26</v>
      </c>
      <c r="F253" s="2" t="s">
        <v>27</v>
      </c>
      <c r="G253" s="2" t="s">
        <v>125</v>
      </c>
      <c r="H253" s="2">
        <v>7</v>
      </c>
      <c r="I253" s="2">
        <v>8930.7900000000009</v>
      </c>
      <c r="J253" s="2">
        <v>0.03</v>
      </c>
      <c r="K253" s="2">
        <v>60640.06</v>
      </c>
      <c r="L253" s="2">
        <v>48983.42</v>
      </c>
      <c r="M253" s="2">
        <v>11656.64</v>
      </c>
      <c r="N253" s="2" t="s">
        <v>58</v>
      </c>
      <c r="O253" s="2" t="s">
        <v>30</v>
      </c>
    </row>
    <row r="254" spans="1:15" x14ac:dyDescent="0.3">
      <c r="A254" s="2" t="s">
        <v>346</v>
      </c>
      <c r="B254" s="3">
        <v>45721</v>
      </c>
      <c r="C254" s="2" t="s">
        <v>54</v>
      </c>
      <c r="D254" s="2" t="s">
        <v>174</v>
      </c>
      <c r="E254" s="2" t="s">
        <v>65</v>
      </c>
      <c r="F254" s="2" t="s">
        <v>19</v>
      </c>
      <c r="G254" s="2" t="s">
        <v>102</v>
      </c>
      <c r="H254" s="2">
        <v>5</v>
      </c>
      <c r="I254" s="2">
        <v>249.02</v>
      </c>
      <c r="J254" s="2">
        <v>0.05</v>
      </c>
      <c r="K254" s="2">
        <v>1182.8499999999999</v>
      </c>
      <c r="L254" s="2">
        <v>798.02</v>
      </c>
      <c r="M254" s="2">
        <v>384.83</v>
      </c>
      <c r="N254" s="2" t="s">
        <v>29</v>
      </c>
      <c r="O254" s="2" t="s">
        <v>59</v>
      </c>
    </row>
    <row r="255" spans="1:15" x14ac:dyDescent="0.3">
      <c r="A255" s="2" t="s">
        <v>347</v>
      </c>
      <c r="B255" s="3">
        <v>45677</v>
      </c>
      <c r="C255" s="2" t="s">
        <v>63</v>
      </c>
      <c r="D255" s="2" t="s">
        <v>95</v>
      </c>
      <c r="E255" s="2" t="s">
        <v>18</v>
      </c>
      <c r="F255" s="2" t="s">
        <v>27</v>
      </c>
      <c r="G255" s="2" t="s">
        <v>125</v>
      </c>
      <c r="H255" s="2">
        <v>6</v>
      </c>
      <c r="I255" s="2">
        <v>8895.09</v>
      </c>
      <c r="J255" s="2">
        <v>0</v>
      </c>
      <c r="K255" s="2">
        <v>53370.559999999998</v>
      </c>
      <c r="L255" s="2">
        <v>43262.74</v>
      </c>
      <c r="M255" s="2">
        <v>10107.82</v>
      </c>
      <c r="N255" s="2" t="s">
        <v>29</v>
      </c>
      <c r="O255" s="2" t="s">
        <v>59</v>
      </c>
    </row>
    <row r="256" spans="1:15" x14ac:dyDescent="0.3">
      <c r="A256" s="2" t="s">
        <v>348</v>
      </c>
      <c r="B256" s="3">
        <v>45885</v>
      </c>
      <c r="C256" s="2" t="s">
        <v>54</v>
      </c>
      <c r="D256" s="2" t="s">
        <v>124</v>
      </c>
      <c r="E256" s="2" t="s">
        <v>69</v>
      </c>
      <c r="F256" s="2" t="s">
        <v>43</v>
      </c>
      <c r="G256" s="2" t="s">
        <v>91</v>
      </c>
      <c r="H256" s="2">
        <v>4</v>
      </c>
      <c r="I256" s="2" t="s">
        <v>349</v>
      </c>
      <c r="J256" s="2">
        <v>0.05</v>
      </c>
      <c r="K256" s="2">
        <v>189830.87</v>
      </c>
      <c r="L256" s="2">
        <v>131474.47</v>
      </c>
      <c r="M256" s="2">
        <v>58356.4</v>
      </c>
      <c r="N256" s="2" t="s">
        <v>21</v>
      </c>
      <c r="O256" s="2" t="s">
        <v>30</v>
      </c>
    </row>
    <row r="257" spans="1:15" x14ac:dyDescent="0.3">
      <c r="A257" s="2" t="s">
        <v>350</v>
      </c>
      <c r="B257" s="3">
        <v>45739</v>
      </c>
      <c r="C257" s="2" t="s">
        <v>63</v>
      </c>
      <c r="D257" s="2" t="s">
        <v>64</v>
      </c>
      <c r="E257" s="2" t="s">
        <v>18</v>
      </c>
      <c r="F257" s="2" t="s">
        <v>43</v>
      </c>
      <c r="G257" s="2" t="s">
        <v>84</v>
      </c>
      <c r="H257" s="2">
        <v>3</v>
      </c>
      <c r="I257" s="2">
        <v>42519.32</v>
      </c>
      <c r="J257" s="2">
        <v>0.1</v>
      </c>
      <c r="K257" s="2">
        <v>114802.15</v>
      </c>
      <c r="L257" s="2">
        <v>98199.17</v>
      </c>
      <c r="M257" s="2">
        <v>16602.98</v>
      </c>
      <c r="N257" s="2" t="s">
        <v>29</v>
      </c>
      <c r="O257" s="2" t="s">
        <v>40</v>
      </c>
    </row>
    <row r="258" spans="1:15" x14ac:dyDescent="0.3">
      <c r="A258" s="2" t="s">
        <v>351</v>
      </c>
      <c r="B258" s="3">
        <v>45804</v>
      </c>
      <c r="C258" s="2" t="s">
        <v>54</v>
      </c>
      <c r="D258" s="2" t="s">
        <v>174</v>
      </c>
      <c r="E258" s="2" t="s">
        <v>26</v>
      </c>
      <c r="F258" s="2" t="s">
        <v>27</v>
      </c>
      <c r="G258" s="2" t="s">
        <v>50</v>
      </c>
      <c r="H258" s="2">
        <v>5</v>
      </c>
      <c r="I258" s="2">
        <v>29707.919999999998</v>
      </c>
      <c r="J258" s="2">
        <v>0.1</v>
      </c>
      <c r="K258" s="2">
        <v>133685.64000000001</v>
      </c>
      <c r="L258" s="2">
        <v>111539.5</v>
      </c>
      <c r="M258" s="2">
        <v>22146.14</v>
      </c>
      <c r="N258" s="2" t="s">
        <v>21</v>
      </c>
      <c r="O258" s="2" t="s">
        <v>22</v>
      </c>
    </row>
    <row r="259" spans="1:15" x14ac:dyDescent="0.3">
      <c r="A259" s="2" t="s">
        <v>352</v>
      </c>
      <c r="B259" s="3">
        <v>45955</v>
      </c>
      <c r="C259" s="2" t="s">
        <v>16</v>
      </c>
      <c r="D259" s="2" t="s">
        <v>17</v>
      </c>
      <c r="E259" s="2" t="s">
        <v>18</v>
      </c>
      <c r="F259" s="2" t="s">
        <v>19</v>
      </c>
      <c r="G259" s="2" t="s">
        <v>61</v>
      </c>
      <c r="H259" s="2">
        <v>8</v>
      </c>
      <c r="I259" s="2">
        <v>9618.1299999999992</v>
      </c>
      <c r="J259" s="2">
        <v>0</v>
      </c>
      <c r="K259" s="2">
        <v>76945.05</v>
      </c>
      <c r="L259" s="2">
        <v>63809.88</v>
      </c>
      <c r="M259" s="2">
        <v>13135.17</v>
      </c>
      <c r="N259" s="2" t="s">
        <v>29</v>
      </c>
      <c r="O259" s="2" t="s">
        <v>45</v>
      </c>
    </row>
    <row r="260" spans="1:15" x14ac:dyDescent="0.3">
      <c r="A260" s="2" t="s">
        <v>353</v>
      </c>
      <c r="B260" s="3">
        <v>45770</v>
      </c>
      <c r="C260" s="2" t="s">
        <v>16</v>
      </c>
      <c r="D260" s="2" t="s">
        <v>52</v>
      </c>
      <c r="E260" s="2" t="s">
        <v>56</v>
      </c>
      <c r="F260" s="2" t="s">
        <v>34</v>
      </c>
      <c r="G260" s="2" t="s">
        <v>70</v>
      </c>
      <c r="H260" s="2">
        <v>6</v>
      </c>
      <c r="I260" s="2">
        <v>59892.18</v>
      </c>
      <c r="J260" s="2">
        <v>0.15</v>
      </c>
      <c r="K260" s="2">
        <v>305450.11</v>
      </c>
      <c r="L260" s="2">
        <v>238995.5</v>
      </c>
      <c r="M260" s="2">
        <v>66454.61</v>
      </c>
      <c r="N260" s="2" t="s">
        <v>21</v>
      </c>
      <c r="O260" s="2" t="s">
        <v>22</v>
      </c>
    </row>
    <row r="261" spans="1:15" x14ac:dyDescent="0.3">
      <c r="A261" s="2" t="s">
        <v>354</v>
      </c>
      <c r="B261" s="3">
        <v>45784</v>
      </c>
      <c r="C261" s="2" t="s">
        <v>63</v>
      </c>
      <c r="D261" s="2" t="s">
        <v>95</v>
      </c>
      <c r="E261" s="2" t="s">
        <v>65</v>
      </c>
      <c r="F261" s="2" t="s">
        <v>19</v>
      </c>
      <c r="G261" s="2" t="s">
        <v>20</v>
      </c>
      <c r="H261" s="2">
        <v>5</v>
      </c>
      <c r="I261" s="2">
        <v>728.38</v>
      </c>
      <c r="J261" s="2">
        <v>0.08</v>
      </c>
      <c r="K261" s="2">
        <v>3350.57</v>
      </c>
      <c r="L261" s="2">
        <v>2606.91</v>
      </c>
      <c r="M261" s="2">
        <v>743.66</v>
      </c>
      <c r="N261" s="2" t="s">
        <v>58</v>
      </c>
      <c r="O261" s="2" t="s">
        <v>22</v>
      </c>
    </row>
    <row r="262" spans="1:15" x14ac:dyDescent="0.3">
      <c r="A262" s="2" t="s">
        <v>355</v>
      </c>
      <c r="B262" s="3">
        <v>45845</v>
      </c>
      <c r="C262" s="2" t="s">
        <v>63</v>
      </c>
      <c r="D262" s="2" t="s">
        <v>88</v>
      </c>
      <c r="E262" s="2" t="s">
        <v>18</v>
      </c>
      <c r="F262" s="2" t="s">
        <v>43</v>
      </c>
      <c r="G262" s="2" t="s">
        <v>91</v>
      </c>
      <c r="H262" s="2">
        <v>6</v>
      </c>
      <c r="I262" s="2">
        <v>44348.15</v>
      </c>
      <c r="J262" s="2">
        <v>0.03</v>
      </c>
      <c r="K262" s="2">
        <v>258106.22</v>
      </c>
      <c r="L262" s="2">
        <v>194042.01</v>
      </c>
      <c r="M262" s="2">
        <v>64064.21</v>
      </c>
      <c r="N262" s="2" t="s">
        <v>29</v>
      </c>
      <c r="O262" s="2" t="s">
        <v>59</v>
      </c>
    </row>
    <row r="263" spans="1:15" x14ac:dyDescent="0.3">
      <c r="A263" s="2" t="s">
        <v>356</v>
      </c>
      <c r="B263" s="3">
        <v>46015</v>
      </c>
      <c r="C263" s="2" t="s">
        <v>24</v>
      </c>
      <c r="D263" s="2" t="s">
        <v>38</v>
      </c>
      <c r="E263" s="2" t="s">
        <v>69</v>
      </c>
      <c r="F263" s="2" t="s">
        <v>27</v>
      </c>
      <c r="G263" s="2" t="s">
        <v>28</v>
      </c>
      <c r="H263" s="2">
        <v>8</v>
      </c>
      <c r="I263" s="2">
        <v>26265.93</v>
      </c>
      <c r="J263" s="2">
        <v>0.1</v>
      </c>
      <c r="K263" s="2">
        <v>189114.72</v>
      </c>
      <c r="L263" s="2">
        <v>128245.4</v>
      </c>
      <c r="M263" s="2">
        <v>60869.32</v>
      </c>
      <c r="N263" s="2" t="s">
        <v>21</v>
      </c>
      <c r="O263" s="2" t="s">
        <v>59</v>
      </c>
    </row>
    <row r="264" spans="1:15" x14ac:dyDescent="0.3">
      <c r="A264" s="2" t="s">
        <v>357</v>
      </c>
      <c r="B264" s="3">
        <v>45712</v>
      </c>
      <c r="C264" s="2" t="s">
        <v>63</v>
      </c>
      <c r="D264" s="2" t="s">
        <v>88</v>
      </c>
      <c r="E264" s="2" t="s">
        <v>18</v>
      </c>
      <c r="F264" s="2" t="s">
        <v>34</v>
      </c>
      <c r="G264" s="2" t="s">
        <v>39</v>
      </c>
      <c r="H264" s="2">
        <v>7</v>
      </c>
      <c r="I264" s="2">
        <v>29526.27</v>
      </c>
      <c r="J264" s="2">
        <v>0.03</v>
      </c>
      <c r="K264" s="2">
        <v>200483.37</v>
      </c>
      <c r="L264" s="2">
        <v>131629.18</v>
      </c>
      <c r="M264" s="2">
        <v>68854.19</v>
      </c>
      <c r="N264" s="2" t="s">
        <v>58</v>
      </c>
      <c r="O264" s="2" t="s">
        <v>45</v>
      </c>
    </row>
    <row r="265" spans="1:15" x14ac:dyDescent="0.3">
      <c r="A265" s="2" t="s">
        <v>358</v>
      </c>
      <c r="B265" s="3">
        <v>45871</v>
      </c>
      <c r="C265" s="2" t="s">
        <v>63</v>
      </c>
      <c r="D265" s="2" t="s">
        <v>64</v>
      </c>
      <c r="E265" s="2" t="s">
        <v>56</v>
      </c>
      <c r="F265" s="2" t="s">
        <v>318</v>
      </c>
      <c r="G265" s="2" t="s">
        <v>121</v>
      </c>
      <c r="H265" s="2">
        <v>5</v>
      </c>
      <c r="I265" s="2">
        <v>5082.79</v>
      </c>
      <c r="J265" s="2">
        <v>0.05</v>
      </c>
      <c r="K265" s="2">
        <v>24143.27</v>
      </c>
      <c r="L265" s="2">
        <v>18722.53</v>
      </c>
      <c r="M265" s="2">
        <v>5420.74</v>
      </c>
      <c r="N265" s="2" t="s">
        <v>21</v>
      </c>
      <c r="O265" s="2" t="s">
        <v>59</v>
      </c>
    </row>
    <row r="266" spans="1:15" x14ac:dyDescent="0.3">
      <c r="A266" s="2" t="s">
        <v>359</v>
      </c>
      <c r="B266" s="3">
        <v>45992</v>
      </c>
      <c r="C266" s="2" t="s">
        <v>63</v>
      </c>
      <c r="D266" s="2" t="s">
        <v>88</v>
      </c>
      <c r="E266" s="2" t="s">
        <v>74</v>
      </c>
      <c r="F266" s="2" t="s">
        <v>34</v>
      </c>
      <c r="G266" s="2" t="s">
        <v>39</v>
      </c>
      <c r="H266" s="2">
        <v>6</v>
      </c>
      <c r="I266" s="2">
        <v>29823.23</v>
      </c>
      <c r="J266" s="2">
        <v>0.03</v>
      </c>
      <c r="K266" s="2">
        <v>173571.19</v>
      </c>
      <c r="L266" s="2">
        <v>120244.32</v>
      </c>
      <c r="M266" s="2">
        <v>53326.87</v>
      </c>
      <c r="N266" s="2" t="s">
        <v>29</v>
      </c>
      <c r="O266" s="2" t="s">
        <v>40</v>
      </c>
    </row>
    <row r="267" spans="1:15" x14ac:dyDescent="0.3">
      <c r="A267" s="2" t="s">
        <v>360</v>
      </c>
      <c r="B267" s="3">
        <v>45706</v>
      </c>
      <c r="C267" s="2" t="s">
        <v>37</v>
      </c>
      <c r="D267" s="2" t="s">
        <v>38</v>
      </c>
      <c r="E267" s="2" t="s">
        <v>26</v>
      </c>
      <c r="F267" s="2" t="s">
        <v>34</v>
      </c>
      <c r="G267" s="2" t="s">
        <v>39</v>
      </c>
      <c r="H267" s="2">
        <v>2</v>
      </c>
      <c r="I267" s="2">
        <v>31554.13</v>
      </c>
      <c r="J267" s="2">
        <v>0.08</v>
      </c>
      <c r="K267" s="2">
        <v>58059.61</v>
      </c>
      <c r="L267" s="2">
        <v>39780.78</v>
      </c>
      <c r="M267" s="2">
        <v>18278.830000000002</v>
      </c>
      <c r="N267" s="2" t="s">
        <v>21</v>
      </c>
      <c r="O267" s="2" t="s">
        <v>30</v>
      </c>
    </row>
    <row r="268" spans="1:15" x14ac:dyDescent="0.3">
      <c r="A268" s="2" t="s">
        <v>361</v>
      </c>
      <c r="B268" s="3">
        <v>45977</v>
      </c>
      <c r="C268" s="2" t="s">
        <v>16</v>
      </c>
      <c r="D268" s="2" t="s">
        <v>52</v>
      </c>
      <c r="E268" s="2" t="s">
        <v>33</v>
      </c>
      <c r="F268" s="2" t="s">
        <v>34</v>
      </c>
      <c r="G268" s="2" t="s">
        <v>70</v>
      </c>
      <c r="H268" s="2">
        <v>7</v>
      </c>
      <c r="I268" s="2">
        <v>65865.97</v>
      </c>
      <c r="J268" s="2">
        <v>0.05</v>
      </c>
      <c r="K268" s="2">
        <v>438008.71</v>
      </c>
      <c r="L268" s="2">
        <v>307345.88</v>
      </c>
      <c r="M268" s="2">
        <v>130662.83</v>
      </c>
      <c r="N268" s="2" t="s">
        <v>21</v>
      </c>
      <c r="O268" s="2" t="s">
        <v>22</v>
      </c>
    </row>
    <row r="269" spans="1:15" x14ac:dyDescent="0.3">
      <c r="A269" s="2" t="s">
        <v>362</v>
      </c>
      <c r="B269" s="3">
        <v>45740</v>
      </c>
      <c r="C269" s="2" t="s">
        <v>54</v>
      </c>
      <c r="D269" s="2" t="s">
        <v>174</v>
      </c>
      <c r="E269" s="2" t="s">
        <v>69</v>
      </c>
      <c r="F269" s="2" t="s">
        <v>43</v>
      </c>
      <c r="G269" s="2" t="s">
        <v>75</v>
      </c>
      <c r="H269" s="2">
        <v>4</v>
      </c>
      <c r="I269" s="2">
        <v>36413.620000000003</v>
      </c>
      <c r="J269" s="2">
        <v>0.1</v>
      </c>
      <c r="K269" s="2">
        <v>131089.03</v>
      </c>
      <c r="L269" s="2">
        <v>110942.76</v>
      </c>
      <c r="M269" s="2">
        <v>20146.27</v>
      </c>
      <c r="N269" s="2" t="s">
        <v>58</v>
      </c>
      <c r="O269" s="2" t="s">
        <v>40</v>
      </c>
    </row>
    <row r="270" spans="1:15" x14ac:dyDescent="0.3">
      <c r="A270" s="2" t="s">
        <v>363</v>
      </c>
      <c r="B270" s="3">
        <v>45832</v>
      </c>
      <c r="C270" s="2" t="s">
        <v>63</v>
      </c>
      <c r="D270" s="2" t="s">
        <v>95</v>
      </c>
      <c r="E270" s="2" t="s">
        <v>33</v>
      </c>
      <c r="F270" s="2" t="s">
        <v>34</v>
      </c>
      <c r="G270" s="2" t="s">
        <v>80</v>
      </c>
      <c r="H270" s="2">
        <v>1</v>
      </c>
      <c r="I270" s="2">
        <v>4809.72</v>
      </c>
      <c r="J270" s="2">
        <v>0.1</v>
      </c>
      <c r="K270" s="2">
        <v>4328.75</v>
      </c>
      <c r="L270" s="2">
        <v>3385.96</v>
      </c>
      <c r="M270" s="2">
        <v>942.79</v>
      </c>
      <c r="N270" s="2" t="s">
        <v>21</v>
      </c>
      <c r="O270" s="2" t="s">
        <v>45</v>
      </c>
    </row>
    <row r="271" spans="1:15" x14ac:dyDescent="0.3">
      <c r="A271" s="2" t="s">
        <v>364</v>
      </c>
      <c r="B271" s="3">
        <v>45997</v>
      </c>
      <c r="C271" s="2" t="s">
        <v>54</v>
      </c>
      <c r="D271" s="2" t="s">
        <v>124</v>
      </c>
      <c r="E271" s="2" t="s">
        <v>56</v>
      </c>
      <c r="F271" s="2" t="s">
        <v>34</v>
      </c>
      <c r="G271" s="2" t="s">
        <v>57</v>
      </c>
      <c r="H271" s="2">
        <v>1</v>
      </c>
      <c r="I271" s="2">
        <v>22619.9</v>
      </c>
      <c r="J271" s="2">
        <v>0.1</v>
      </c>
      <c r="K271" s="2">
        <v>20357.91</v>
      </c>
      <c r="L271" s="2">
        <v>13936.05</v>
      </c>
      <c r="M271" s="2">
        <v>6421.86</v>
      </c>
      <c r="N271" s="2" t="s">
        <v>58</v>
      </c>
      <c r="O271" s="2" t="s">
        <v>40</v>
      </c>
    </row>
    <row r="272" spans="1:15" x14ac:dyDescent="0.3">
      <c r="A272" s="2" t="s">
        <v>365</v>
      </c>
      <c r="B272" s="3">
        <v>45884</v>
      </c>
      <c r="C272" s="2" t="s">
        <v>54</v>
      </c>
      <c r="D272" s="2" t="s">
        <v>124</v>
      </c>
      <c r="E272" s="2" t="s">
        <v>65</v>
      </c>
      <c r="F272" s="2" t="s">
        <v>43</v>
      </c>
      <c r="G272" s="2" t="s">
        <v>91</v>
      </c>
      <c r="H272" s="2">
        <v>8</v>
      </c>
      <c r="I272" s="2">
        <v>47483.360000000001</v>
      </c>
      <c r="J272" s="2">
        <v>0.05</v>
      </c>
      <c r="K272" s="2">
        <v>360873.53</v>
      </c>
      <c r="L272" s="2">
        <v>241832.85</v>
      </c>
      <c r="M272" s="2">
        <v>119040.68</v>
      </c>
      <c r="N272" s="2" t="s">
        <v>21</v>
      </c>
      <c r="O272" s="2" t="s">
        <v>40</v>
      </c>
    </row>
    <row r="273" spans="1:15" x14ac:dyDescent="0.3">
      <c r="A273" s="2" t="s">
        <v>366</v>
      </c>
      <c r="B273" s="3">
        <v>45967</v>
      </c>
      <c r="C273" s="2" t="s">
        <v>54</v>
      </c>
      <c r="D273" s="2" t="s">
        <v>124</v>
      </c>
      <c r="E273" s="2" t="s">
        <v>33</v>
      </c>
      <c r="F273" s="2" t="s">
        <v>43</v>
      </c>
      <c r="G273" s="2" t="s">
        <v>91</v>
      </c>
      <c r="H273" s="2">
        <v>7</v>
      </c>
      <c r="I273" s="2">
        <v>49686.94</v>
      </c>
      <c r="J273" s="2">
        <v>0.05</v>
      </c>
      <c r="K273" s="2">
        <v>330418.15999999997</v>
      </c>
      <c r="L273" s="2">
        <v>273831.78999999998</v>
      </c>
      <c r="M273" s="2">
        <v>56586.37</v>
      </c>
      <c r="N273" s="2" t="s">
        <v>58</v>
      </c>
      <c r="O273" s="2" t="s">
        <v>30</v>
      </c>
    </row>
    <row r="274" spans="1:15" x14ac:dyDescent="0.3">
      <c r="A274" s="2" t="s">
        <v>367</v>
      </c>
      <c r="B274" s="3">
        <v>45983</v>
      </c>
      <c r="C274" s="2" t="s">
        <v>54</v>
      </c>
      <c r="D274" s="2" t="s">
        <v>174</v>
      </c>
      <c r="E274" s="2" t="s">
        <v>65</v>
      </c>
      <c r="F274" s="2" t="s">
        <v>34</v>
      </c>
      <c r="G274" s="2" t="s">
        <v>70</v>
      </c>
      <c r="H274" s="2" t="s">
        <v>368</v>
      </c>
      <c r="I274" s="2">
        <v>69480.399999999994</v>
      </c>
      <c r="J274" s="2">
        <v>0</v>
      </c>
      <c r="K274" s="2">
        <v>555843.17000000004</v>
      </c>
      <c r="L274" s="2">
        <v>442953.19</v>
      </c>
      <c r="M274" s="2">
        <v>112889.98</v>
      </c>
      <c r="N274" s="2" t="s">
        <v>29</v>
      </c>
      <c r="O274" s="2" t="s">
        <v>45</v>
      </c>
    </row>
    <row r="275" spans="1:15" x14ac:dyDescent="0.3">
      <c r="A275" s="2" t="s">
        <v>369</v>
      </c>
      <c r="B275" s="3">
        <v>45711</v>
      </c>
      <c r="C275" s="2" t="s">
        <v>63</v>
      </c>
      <c r="D275" s="2" t="s">
        <v>117</v>
      </c>
      <c r="E275" s="2" t="s">
        <v>74</v>
      </c>
      <c r="F275" s="2" t="s">
        <v>43</v>
      </c>
      <c r="G275" s="2" t="s">
        <v>121</v>
      </c>
      <c r="H275" s="2">
        <v>4</v>
      </c>
      <c r="I275" s="2">
        <v>4634.41</v>
      </c>
      <c r="J275" s="2">
        <v>0.08</v>
      </c>
      <c r="K275" s="2">
        <v>17054.61</v>
      </c>
      <c r="L275" s="2">
        <v>13943.75</v>
      </c>
      <c r="M275" s="2">
        <v>3110.86</v>
      </c>
      <c r="N275" s="2" t="s">
        <v>29</v>
      </c>
      <c r="O275" s="2" t="s">
        <v>40</v>
      </c>
    </row>
    <row r="276" spans="1:15" x14ac:dyDescent="0.3">
      <c r="A276" s="2" t="s">
        <v>370</v>
      </c>
      <c r="B276" s="3">
        <v>45768</v>
      </c>
      <c r="C276" s="2" t="s">
        <v>37</v>
      </c>
      <c r="D276" s="2" t="s">
        <v>25</v>
      </c>
      <c r="E276" s="2" t="s">
        <v>74</v>
      </c>
      <c r="F276" s="2" t="s">
        <v>34</v>
      </c>
      <c r="G276" s="2" t="s">
        <v>39</v>
      </c>
      <c r="H276" s="2">
        <v>6</v>
      </c>
      <c r="I276" s="2">
        <v>31005.040000000001</v>
      </c>
      <c r="J276" s="2">
        <v>0.1</v>
      </c>
      <c r="K276" s="2">
        <v>167427.21</v>
      </c>
      <c r="L276" s="2">
        <v>105067.48</v>
      </c>
      <c r="M276" s="2">
        <v>62359.73</v>
      </c>
      <c r="N276" s="2" t="s">
        <v>21</v>
      </c>
      <c r="O276" s="2" t="s">
        <v>40</v>
      </c>
    </row>
    <row r="277" spans="1:15" x14ac:dyDescent="0.3">
      <c r="A277" s="2" t="s">
        <v>371</v>
      </c>
      <c r="B277" s="3">
        <v>45813</v>
      </c>
      <c r="C277" s="2" t="s">
        <v>63</v>
      </c>
      <c r="D277" s="2" t="s">
        <v>88</v>
      </c>
      <c r="E277" s="2" t="s">
        <v>65</v>
      </c>
      <c r="F277" s="2" t="s">
        <v>43</v>
      </c>
      <c r="G277" s="2" t="s">
        <v>91</v>
      </c>
      <c r="H277" s="2">
        <v>2</v>
      </c>
      <c r="I277" s="2">
        <v>48146.17</v>
      </c>
      <c r="J277" s="2">
        <v>0.08</v>
      </c>
      <c r="K277" s="2">
        <v>88588.95</v>
      </c>
      <c r="L277" s="2">
        <v>61555.8</v>
      </c>
      <c r="M277" s="2">
        <v>27033.15</v>
      </c>
      <c r="N277" s="2" t="s">
        <v>21</v>
      </c>
      <c r="O277" s="2" t="s">
        <v>30</v>
      </c>
    </row>
    <row r="278" spans="1:15" x14ac:dyDescent="0.3">
      <c r="A278" s="2" t="s">
        <v>372</v>
      </c>
      <c r="B278" s="3">
        <v>45791</v>
      </c>
      <c r="C278" s="2" t="s">
        <v>16</v>
      </c>
      <c r="D278" s="2" t="s">
        <v>52</v>
      </c>
      <c r="E278" s="2" t="s">
        <v>49</v>
      </c>
      <c r="F278" s="2" t="s">
        <v>34</v>
      </c>
      <c r="G278" s="2" t="s">
        <v>80</v>
      </c>
      <c r="H278" s="2">
        <v>2</v>
      </c>
      <c r="I278" s="2">
        <v>4694.51</v>
      </c>
      <c r="J278" s="2">
        <v>0.1</v>
      </c>
      <c r="K278" s="2">
        <v>8450.1299999999992</v>
      </c>
      <c r="L278" s="2">
        <v>5482.86</v>
      </c>
      <c r="M278" s="2">
        <v>2967.27</v>
      </c>
      <c r="N278" s="2" t="s">
        <v>29</v>
      </c>
      <c r="O278" s="2" t="s">
        <v>45</v>
      </c>
    </row>
    <row r="279" spans="1:15" x14ac:dyDescent="0.3">
      <c r="A279" s="2" t="s">
        <v>373</v>
      </c>
      <c r="B279" s="3">
        <v>45792</v>
      </c>
      <c r="C279" s="2" t="s">
        <v>16</v>
      </c>
      <c r="D279" s="2" t="s">
        <v>32</v>
      </c>
      <c r="E279" s="2" t="s">
        <v>374</v>
      </c>
      <c r="F279" s="2" t="s">
        <v>34</v>
      </c>
      <c r="G279" s="2" t="s">
        <v>70</v>
      </c>
      <c r="H279" s="2">
        <v>6</v>
      </c>
      <c r="I279" s="2">
        <v>65734.759999999995</v>
      </c>
      <c r="J279" s="2">
        <v>0.05</v>
      </c>
      <c r="K279" s="2">
        <v>374688.11</v>
      </c>
      <c r="L279" s="2">
        <v>291927.65999999997</v>
      </c>
      <c r="M279" s="2">
        <v>82760.45</v>
      </c>
      <c r="N279" s="2" t="s">
        <v>58</v>
      </c>
      <c r="O279" s="2" t="s">
        <v>22</v>
      </c>
    </row>
    <row r="280" spans="1:15" x14ac:dyDescent="0.3">
      <c r="A280" s="2" t="s">
        <v>375</v>
      </c>
      <c r="B280" s="3">
        <v>45852</v>
      </c>
      <c r="C280" s="2" t="s">
        <v>37</v>
      </c>
      <c r="D280" s="2" t="s">
        <v>38</v>
      </c>
      <c r="E280" s="2" t="s">
        <v>26</v>
      </c>
      <c r="F280" s="2" t="s">
        <v>19</v>
      </c>
      <c r="G280" s="2" t="s">
        <v>108</v>
      </c>
      <c r="H280" s="2">
        <v>8</v>
      </c>
      <c r="I280" s="2">
        <v>14899.19</v>
      </c>
      <c r="J280" s="2">
        <v>0.05</v>
      </c>
      <c r="K280" s="2">
        <v>113233.84</v>
      </c>
      <c r="L280" s="2">
        <v>78437.06</v>
      </c>
      <c r="M280" s="2">
        <v>34796.78</v>
      </c>
      <c r="N280" s="2" t="s">
        <v>58</v>
      </c>
      <c r="O280" s="2" t="s">
        <v>45</v>
      </c>
    </row>
    <row r="281" spans="1:15" x14ac:dyDescent="0.3">
      <c r="A281" s="2" t="s">
        <v>376</v>
      </c>
      <c r="B281" s="3">
        <v>45969</v>
      </c>
      <c r="C281" s="2" t="s">
        <v>37</v>
      </c>
      <c r="D281" s="2" t="s">
        <v>42</v>
      </c>
      <c r="E281" s="2" t="s">
        <v>65</v>
      </c>
      <c r="F281" s="2" t="s">
        <v>19</v>
      </c>
      <c r="G281" s="2" t="s">
        <v>102</v>
      </c>
      <c r="H281" s="2">
        <v>2</v>
      </c>
      <c r="I281" s="2">
        <v>253.29</v>
      </c>
      <c r="J281" s="2">
        <v>0.15</v>
      </c>
      <c r="K281" s="2">
        <v>430.59</v>
      </c>
      <c r="L281" s="2">
        <v>291.68</v>
      </c>
      <c r="M281" s="2">
        <v>138.91</v>
      </c>
      <c r="N281" s="2" t="s">
        <v>58</v>
      </c>
      <c r="O281" s="2" t="s">
        <v>59</v>
      </c>
    </row>
    <row r="282" spans="1:15" x14ac:dyDescent="0.3">
      <c r="A282" s="2" t="s">
        <v>377</v>
      </c>
      <c r="B282" s="3">
        <v>45682</v>
      </c>
      <c r="C282" s="2" t="s">
        <v>63</v>
      </c>
      <c r="D282" s="2" t="s">
        <v>88</v>
      </c>
      <c r="E282" s="2" t="s">
        <v>49</v>
      </c>
      <c r="F282" s="2" t="s">
        <v>19</v>
      </c>
      <c r="G282" s="2" t="s">
        <v>108</v>
      </c>
      <c r="H282" s="2">
        <v>3</v>
      </c>
      <c r="I282" s="2">
        <v>15541.51</v>
      </c>
      <c r="J282" s="2">
        <v>0.08</v>
      </c>
      <c r="K282" s="2">
        <v>42894.55</v>
      </c>
      <c r="L282" s="2">
        <v>35819.440000000002</v>
      </c>
      <c r="M282" s="2">
        <v>7075.11</v>
      </c>
      <c r="N282" s="2" t="s">
        <v>58</v>
      </c>
      <c r="O282" s="2" t="s">
        <v>45</v>
      </c>
    </row>
    <row r="283" spans="1:15" x14ac:dyDescent="0.3">
      <c r="A283" s="2" t="s">
        <v>378</v>
      </c>
      <c r="B283" s="3">
        <v>45832</v>
      </c>
      <c r="C283" s="2" t="s">
        <v>37</v>
      </c>
      <c r="D283" s="2" t="s">
        <v>68</v>
      </c>
      <c r="E283" s="2" t="s">
        <v>65</v>
      </c>
      <c r="F283" s="2" t="s">
        <v>43</v>
      </c>
      <c r="G283" s="2" t="s">
        <v>91</v>
      </c>
      <c r="H283" s="2">
        <v>7</v>
      </c>
      <c r="I283" s="2">
        <v>45418.61</v>
      </c>
      <c r="J283" s="2">
        <v>0.08</v>
      </c>
      <c r="K283" s="2">
        <v>292495.82</v>
      </c>
      <c r="L283" s="2">
        <v>238198.78</v>
      </c>
      <c r="M283" s="2">
        <v>54297.04</v>
      </c>
      <c r="N283" s="2" t="s">
        <v>58</v>
      </c>
      <c r="O283" s="2" t="s">
        <v>40</v>
      </c>
    </row>
    <row r="284" spans="1:15" x14ac:dyDescent="0.3">
      <c r="A284" s="2" t="s">
        <v>379</v>
      </c>
      <c r="B284" s="3">
        <v>45905</v>
      </c>
      <c r="C284" s="2" t="s">
        <v>16</v>
      </c>
      <c r="D284" s="2" t="s">
        <v>32</v>
      </c>
      <c r="E284" s="2" t="s">
        <v>56</v>
      </c>
      <c r="F284" s="2" t="s">
        <v>19</v>
      </c>
      <c r="G284" s="2" t="s">
        <v>61</v>
      </c>
      <c r="H284" s="2">
        <v>1</v>
      </c>
      <c r="I284" s="2">
        <v>9620.07</v>
      </c>
      <c r="J284" s="2">
        <v>0.05</v>
      </c>
      <c r="K284" s="2">
        <v>9139.07</v>
      </c>
      <c r="L284" s="2">
        <v>6171.25</v>
      </c>
      <c r="M284" s="2">
        <v>2967.82</v>
      </c>
      <c r="N284" s="2" t="s">
        <v>21</v>
      </c>
      <c r="O284" s="2" t="s">
        <v>59</v>
      </c>
    </row>
    <row r="285" spans="1:15" x14ac:dyDescent="0.3">
      <c r="A285" s="2" t="s">
        <v>380</v>
      </c>
      <c r="B285" s="3">
        <v>45867</v>
      </c>
      <c r="C285" s="2" t="s">
        <v>16</v>
      </c>
      <c r="D285" s="2" t="s">
        <v>52</v>
      </c>
      <c r="E285" s="2" t="s">
        <v>18</v>
      </c>
      <c r="F285" s="2" t="s">
        <v>43</v>
      </c>
      <c r="G285" s="2" t="s">
        <v>75</v>
      </c>
      <c r="H285" s="2">
        <v>5</v>
      </c>
      <c r="I285" s="2">
        <v>38662.910000000003</v>
      </c>
      <c r="J285" s="2">
        <v>0.08</v>
      </c>
      <c r="K285" s="2">
        <v>177849.37</v>
      </c>
      <c r="L285" s="2">
        <v>149905.4</v>
      </c>
      <c r="M285" s="2">
        <v>27943.97</v>
      </c>
      <c r="N285" s="2" t="s">
        <v>29</v>
      </c>
      <c r="O285" s="2" t="s">
        <v>45</v>
      </c>
    </row>
    <row r="286" spans="1:15" x14ac:dyDescent="0.3">
      <c r="A286" s="2" t="s">
        <v>381</v>
      </c>
      <c r="B286" s="3">
        <v>45990</v>
      </c>
      <c r="C286" s="2" t="s">
        <v>16</v>
      </c>
      <c r="D286" s="2" t="s">
        <v>32</v>
      </c>
      <c r="E286" s="2" t="s">
        <v>74</v>
      </c>
      <c r="F286" s="2" t="s">
        <v>27</v>
      </c>
      <c r="G286" s="2" t="s">
        <v>50</v>
      </c>
      <c r="H286" s="2">
        <v>5</v>
      </c>
      <c r="I286" s="2">
        <v>27839.9</v>
      </c>
      <c r="J286" s="2">
        <v>0.1</v>
      </c>
      <c r="K286" s="2">
        <v>125279.55</v>
      </c>
      <c r="L286" s="2">
        <v>107174.93</v>
      </c>
      <c r="M286" s="2">
        <v>18104.62</v>
      </c>
      <c r="N286" s="2" t="s">
        <v>29</v>
      </c>
      <c r="O286" s="2" t="s">
        <v>40</v>
      </c>
    </row>
    <row r="287" spans="1:15" x14ac:dyDescent="0.3">
      <c r="A287" s="2" t="s">
        <v>382</v>
      </c>
      <c r="B287" s="3">
        <v>45989</v>
      </c>
      <c r="C287" s="2" t="s">
        <v>63</v>
      </c>
      <c r="D287" s="2" t="s">
        <v>95</v>
      </c>
      <c r="E287" s="2" t="s">
        <v>26</v>
      </c>
      <c r="F287" s="2" t="s">
        <v>19</v>
      </c>
      <c r="G287" s="2" t="s">
        <v>102</v>
      </c>
      <c r="H287" s="2">
        <v>8</v>
      </c>
      <c r="I287" s="2">
        <v>246.27</v>
      </c>
      <c r="J287" s="2">
        <v>0.15</v>
      </c>
      <c r="K287" s="2">
        <v>1674.62</v>
      </c>
      <c r="L287" s="2">
        <v>1248.28</v>
      </c>
      <c r="M287" s="2">
        <v>426.34</v>
      </c>
      <c r="N287" s="2" t="s">
        <v>21</v>
      </c>
      <c r="O287" s="2" t="s">
        <v>30</v>
      </c>
    </row>
    <row r="288" spans="1:15" x14ac:dyDescent="0.3">
      <c r="A288" s="2" t="s">
        <v>383</v>
      </c>
      <c r="B288" s="3">
        <v>45782</v>
      </c>
      <c r="C288" s="2" t="s">
        <v>54</v>
      </c>
      <c r="D288" s="2" t="s">
        <v>174</v>
      </c>
      <c r="E288" s="2" t="s">
        <v>18</v>
      </c>
      <c r="F288" s="2" t="s">
        <v>34</v>
      </c>
      <c r="G288" s="2" t="s">
        <v>39</v>
      </c>
      <c r="H288" s="2">
        <v>2</v>
      </c>
      <c r="I288" s="2">
        <v>27668.11</v>
      </c>
      <c r="J288" s="2">
        <v>0.1</v>
      </c>
      <c r="K288" s="2">
        <v>49802.6</v>
      </c>
      <c r="L288" s="2">
        <v>39628.400000000001</v>
      </c>
      <c r="M288" s="2">
        <v>10174.200000000001</v>
      </c>
      <c r="N288" s="2" t="s">
        <v>58</v>
      </c>
      <c r="O288" s="2" t="s">
        <v>22</v>
      </c>
    </row>
    <row r="289" spans="1:15" x14ac:dyDescent="0.3">
      <c r="A289" s="2" t="s">
        <v>384</v>
      </c>
      <c r="B289" s="3">
        <v>45978</v>
      </c>
      <c r="C289" s="2" t="s">
        <v>16</v>
      </c>
      <c r="D289" s="2" t="s">
        <v>82</v>
      </c>
      <c r="E289" s="2" t="s">
        <v>33</v>
      </c>
      <c r="F289" s="2" t="s">
        <v>27</v>
      </c>
      <c r="G289" s="2" t="s">
        <v>125</v>
      </c>
      <c r="H289" s="2">
        <v>2</v>
      </c>
      <c r="I289" s="2">
        <v>8468.58</v>
      </c>
      <c r="J289" s="2">
        <v>0.08</v>
      </c>
      <c r="K289" s="2" t="s">
        <v>385</v>
      </c>
      <c r="L289" s="2">
        <v>10585.94</v>
      </c>
      <c r="M289" s="2">
        <v>4996.25</v>
      </c>
      <c r="N289" s="2" t="s">
        <v>29</v>
      </c>
      <c r="O289" s="2" t="s">
        <v>30</v>
      </c>
    </row>
    <row r="290" spans="1:15" x14ac:dyDescent="0.3">
      <c r="A290" s="2" t="s">
        <v>386</v>
      </c>
      <c r="B290" s="3">
        <v>45813</v>
      </c>
      <c r="C290" s="2" t="s">
        <v>37</v>
      </c>
      <c r="D290" s="2" t="s">
        <v>42</v>
      </c>
      <c r="E290" s="2" t="s">
        <v>33</v>
      </c>
      <c r="F290" s="2" t="s">
        <v>19</v>
      </c>
      <c r="G290" s="2" t="s">
        <v>102</v>
      </c>
      <c r="H290" s="2">
        <v>1</v>
      </c>
      <c r="I290" s="2">
        <v>263.42</v>
      </c>
      <c r="J290" s="2">
        <v>0.1</v>
      </c>
      <c r="K290" s="2">
        <v>237.07</v>
      </c>
      <c r="L290" s="2">
        <v>168.43</v>
      </c>
      <c r="M290" s="2">
        <v>68.64</v>
      </c>
      <c r="N290" s="2" t="s">
        <v>21</v>
      </c>
      <c r="O290" s="2" t="s">
        <v>22</v>
      </c>
    </row>
    <row r="291" spans="1:15" x14ac:dyDescent="0.3">
      <c r="A291" s="2" t="s">
        <v>387</v>
      </c>
      <c r="B291" s="3">
        <v>45798</v>
      </c>
      <c r="C291" s="2" t="s">
        <v>37</v>
      </c>
      <c r="D291" s="2" t="s">
        <v>25</v>
      </c>
      <c r="E291" s="2" t="s">
        <v>49</v>
      </c>
      <c r="F291" s="2" t="s">
        <v>34</v>
      </c>
      <c r="G291" s="2" t="s">
        <v>57</v>
      </c>
      <c r="H291" s="2">
        <v>6</v>
      </c>
      <c r="I291" s="2" t="s">
        <v>388</v>
      </c>
      <c r="J291" s="2">
        <v>0</v>
      </c>
      <c r="K291" s="2">
        <v>130494.19</v>
      </c>
      <c r="L291" s="2">
        <v>95967.21</v>
      </c>
      <c r="M291" s="2">
        <v>34526.980000000003</v>
      </c>
      <c r="N291" s="2" t="s">
        <v>21</v>
      </c>
      <c r="O291" s="2" t="s">
        <v>40</v>
      </c>
    </row>
    <row r="292" spans="1:15" x14ac:dyDescent="0.3">
      <c r="A292" s="2" t="s">
        <v>389</v>
      </c>
      <c r="B292" s="3">
        <v>45774</v>
      </c>
      <c r="C292" s="2" t="s">
        <v>16</v>
      </c>
      <c r="D292" s="2" t="s">
        <v>82</v>
      </c>
      <c r="E292" s="2" t="s">
        <v>18</v>
      </c>
      <c r="F292" s="2" t="s">
        <v>27</v>
      </c>
      <c r="G292" s="2" t="s">
        <v>66</v>
      </c>
      <c r="H292" s="2">
        <v>1</v>
      </c>
      <c r="I292" s="2">
        <v>10199.040000000001</v>
      </c>
      <c r="J292" s="2">
        <v>0.08</v>
      </c>
      <c r="K292" s="2">
        <v>9383.1200000000008</v>
      </c>
      <c r="L292" s="2">
        <v>6654.64</v>
      </c>
      <c r="M292" s="2">
        <v>2728.48</v>
      </c>
      <c r="N292" s="2" t="s">
        <v>21</v>
      </c>
      <c r="O292" s="2" t="s">
        <v>22</v>
      </c>
    </row>
    <row r="293" spans="1:15" x14ac:dyDescent="0.3">
      <c r="A293" s="2" t="s">
        <v>390</v>
      </c>
      <c r="B293" s="3">
        <v>45981</v>
      </c>
      <c r="C293" s="2" t="s">
        <v>54</v>
      </c>
      <c r="D293" s="2" t="s">
        <v>174</v>
      </c>
      <c r="E293" s="2" t="s">
        <v>33</v>
      </c>
      <c r="F293" s="2" t="s">
        <v>43</v>
      </c>
      <c r="G293" s="2" t="s">
        <v>75</v>
      </c>
      <c r="H293" s="2">
        <v>5</v>
      </c>
      <c r="I293" s="2">
        <v>34565.769999999997</v>
      </c>
      <c r="J293" s="2">
        <v>0.05</v>
      </c>
      <c r="K293" s="2">
        <v>164187.4</v>
      </c>
      <c r="L293" s="2">
        <v>115925.96</v>
      </c>
      <c r="M293" s="2">
        <v>48261.440000000002</v>
      </c>
      <c r="N293" s="2" t="s">
        <v>58</v>
      </c>
      <c r="O293" s="2" t="s">
        <v>30</v>
      </c>
    </row>
    <row r="294" spans="1:15" x14ac:dyDescent="0.3">
      <c r="A294" s="2" t="s">
        <v>391</v>
      </c>
      <c r="B294" s="3">
        <v>45935</v>
      </c>
      <c r="C294" s="2" t="s">
        <v>37</v>
      </c>
      <c r="D294" s="2" t="s">
        <v>68</v>
      </c>
      <c r="E294" s="2" t="s">
        <v>49</v>
      </c>
      <c r="F294" s="2" t="s">
        <v>34</v>
      </c>
      <c r="G294" s="2" t="s">
        <v>39</v>
      </c>
      <c r="H294" s="2">
        <v>3</v>
      </c>
      <c r="I294" s="2">
        <v>28660.09</v>
      </c>
      <c r="J294" s="2">
        <v>0</v>
      </c>
      <c r="K294" s="2">
        <v>85980.28</v>
      </c>
      <c r="L294" s="2">
        <v>54051.03</v>
      </c>
      <c r="M294" s="2">
        <v>31929.25</v>
      </c>
      <c r="N294" s="2" t="s">
        <v>58</v>
      </c>
      <c r="O294" s="2" t="s">
        <v>45</v>
      </c>
    </row>
    <row r="295" spans="1:15" x14ac:dyDescent="0.3">
      <c r="A295" s="2" t="s">
        <v>392</v>
      </c>
      <c r="B295" s="3">
        <v>45845</v>
      </c>
      <c r="C295" s="2" t="s">
        <v>37</v>
      </c>
      <c r="D295" s="2" t="s">
        <v>42</v>
      </c>
      <c r="E295" s="2" t="s">
        <v>65</v>
      </c>
      <c r="F295" s="2" t="s">
        <v>19</v>
      </c>
      <c r="G295" s="2" t="s">
        <v>106</v>
      </c>
      <c r="H295" s="2">
        <v>5</v>
      </c>
      <c r="I295" s="2">
        <v>14037.4</v>
      </c>
      <c r="J295" s="2">
        <v>0.08</v>
      </c>
      <c r="K295" s="2">
        <v>64572.06</v>
      </c>
      <c r="L295" s="2">
        <v>44412.6</v>
      </c>
      <c r="M295" s="2">
        <v>20159.46</v>
      </c>
      <c r="N295" s="2" t="s">
        <v>29</v>
      </c>
      <c r="O295" s="2" t="s">
        <v>59</v>
      </c>
    </row>
    <row r="296" spans="1:15" x14ac:dyDescent="0.3">
      <c r="A296" s="2" t="s">
        <v>393</v>
      </c>
      <c r="B296" s="3">
        <v>45698</v>
      </c>
      <c r="C296" s="2" t="s">
        <v>54</v>
      </c>
      <c r="D296" s="2" t="s">
        <v>124</v>
      </c>
      <c r="E296" s="2" t="s">
        <v>74</v>
      </c>
      <c r="F296" s="2" t="s">
        <v>19</v>
      </c>
      <c r="G296" s="2" t="s">
        <v>61</v>
      </c>
      <c r="H296" s="2">
        <v>4</v>
      </c>
      <c r="I296" s="2">
        <v>8996.4599999999991</v>
      </c>
      <c r="J296" s="2">
        <v>0.03</v>
      </c>
      <c r="K296" s="2">
        <v>34906.25</v>
      </c>
      <c r="L296" s="2">
        <v>26594.07</v>
      </c>
      <c r="M296" s="2">
        <v>8312.18</v>
      </c>
      <c r="N296" s="2" t="s">
        <v>21</v>
      </c>
      <c r="O296" s="2" t="s">
        <v>40</v>
      </c>
    </row>
    <row r="297" spans="1:15" x14ac:dyDescent="0.3">
      <c r="A297" s="2" t="s">
        <v>394</v>
      </c>
      <c r="B297" s="3">
        <v>45846</v>
      </c>
      <c r="C297" s="2" t="s">
        <v>63</v>
      </c>
      <c r="D297" s="2" t="s">
        <v>64</v>
      </c>
      <c r="E297" s="2" t="s">
        <v>49</v>
      </c>
      <c r="F297" s="2" t="s">
        <v>34</v>
      </c>
      <c r="G297" s="2" t="s">
        <v>57</v>
      </c>
      <c r="H297" s="2">
        <v>5</v>
      </c>
      <c r="I297" s="2">
        <v>21859.21</v>
      </c>
      <c r="J297" s="2">
        <v>0</v>
      </c>
      <c r="K297" s="2">
        <v>109296.04</v>
      </c>
      <c r="L297" s="2">
        <v>89449.98</v>
      </c>
      <c r="M297" s="2">
        <v>19846.060000000001</v>
      </c>
      <c r="N297" s="2" t="s">
        <v>58</v>
      </c>
      <c r="O297" s="2" t="s">
        <v>45</v>
      </c>
    </row>
    <row r="298" spans="1:15" x14ac:dyDescent="0.3">
      <c r="A298" s="2" t="s">
        <v>395</v>
      </c>
      <c r="B298" s="3">
        <v>45726</v>
      </c>
      <c r="C298" s="2" t="s">
        <v>54</v>
      </c>
      <c r="D298" s="2" t="s">
        <v>48</v>
      </c>
      <c r="E298" s="2" t="s">
        <v>49</v>
      </c>
      <c r="F298" s="2" t="s">
        <v>34</v>
      </c>
      <c r="G298" s="2" t="s">
        <v>70</v>
      </c>
      <c r="H298" s="2">
        <v>1</v>
      </c>
      <c r="I298" s="2">
        <v>65406.58</v>
      </c>
      <c r="J298" s="2">
        <v>0.03</v>
      </c>
      <c r="K298" s="2">
        <v>63444.39</v>
      </c>
      <c r="L298" s="2">
        <v>45810.32</v>
      </c>
      <c r="M298" s="2">
        <v>17634.07</v>
      </c>
      <c r="N298" s="2" t="s">
        <v>21</v>
      </c>
      <c r="O298" s="2" t="s">
        <v>45</v>
      </c>
    </row>
    <row r="299" spans="1:15" x14ac:dyDescent="0.3">
      <c r="A299" s="2" t="s">
        <v>396</v>
      </c>
      <c r="B299" s="3">
        <v>45974</v>
      </c>
      <c r="C299" s="2" t="s">
        <v>63</v>
      </c>
      <c r="D299" s="2" t="s">
        <v>95</v>
      </c>
      <c r="E299" s="2" t="s">
        <v>65</v>
      </c>
      <c r="F299" s="2" t="s">
        <v>43</v>
      </c>
      <c r="G299" s="2" t="s">
        <v>121</v>
      </c>
      <c r="H299" s="2">
        <v>1</v>
      </c>
      <c r="I299" s="2">
        <v>5378.46</v>
      </c>
      <c r="J299" s="2">
        <v>0.03</v>
      </c>
      <c r="K299" s="2">
        <v>5217.1099999999997</v>
      </c>
      <c r="L299" s="2">
        <v>3615.5</v>
      </c>
      <c r="M299" s="2">
        <v>1601.61</v>
      </c>
      <c r="N299" s="2" t="s">
        <v>29</v>
      </c>
      <c r="O299" s="2" t="s">
        <v>22</v>
      </c>
    </row>
    <row r="300" spans="1:15" x14ac:dyDescent="0.3">
      <c r="A300" s="2" t="s">
        <v>397</v>
      </c>
      <c r="B300" s="3">
        <v>45971</v>
      </c>
      <c r="C300" s="2" t="s">
        <v>37</v>
      </c>
      <c r="D300" s="2" t="s">
        <v>42</v>
      </c>
      <c r="E300" s="2" t="s">
        <v>49</v>
      </c>
      <c r="F300" s="2" t="s">
        <v>34</v>
      </c>
      <c r="G300" s="2" t="s">
        <v>57</v>
      </c>
      <c r="H300" s="2">
        <v>7</v>
      </c>
      <c r="I300" s="2">
        <v>22495.040000000001</v>
      </c>
      <c r="J300" s="2">
        <v>0.05</v>
      </c>
      <c r="K300" s="2">
        <v>149592</v>
      </c>
      <c r="L300" s="2">
        <v>119999.19</v>
      </c>
      <c r="M300" s="2">
        <v>29592.81</v>
      </c>
      <c r="N300" s="2" t="s">
        <v>21</v>
      </c>
      <c r="O300" s="2" t="s">
        <v>45</v>
      </c>
    </row>
    <row r="301" spans="1:15" x14ac:dyDescent="0.3">
      <c r="A301" s="2" t="s">
        <v>398</v>
      </c>
      <c r="B301" s="3">
        <v>45870</v>
      </c>
      <c r="C301" s="2" t="s">
        <v>63</v>
      </c>
      <c r="D301" s="2" t="s">
        <v>64</v>
      </c>
      <c r="E301" s="2" t="s">
        <v>69</v>
      </c>
      <c r="F301" s="2" t="s">
        <v>34</v>
      </c>
      <c r="G301" s="2" t="s">
        <v>57</v>
      </c>
      <c r="H301" s="2">
        <v>7</v>
      </c>
      <c r="I301" s="2">
        <v>23079.56</v>
      </c>
      <c r="J301" s="2">
        <v>0.15</v>
      </c>
      <c r="K301" s="2">
        <v>137323.39000000001</v>
      </c>
      <c r="L301" s="2">
        <v>109998.72</v>
      </c>
      <c r="M301" s="2">
        <v>27324.67</v>
      </c>
      <c r="N301" s="2" t="s">
        <v>29</v>
      </c>
      <c r="O301" s="2" t="s">
        <v>30</v>
      </c>
    </row>
    <row r="302" spans="1:15" x14ac:dyDescent="0.3">
      <c r="A302" s="2" t="s">
        <v>399</v>
      </c>
      <c r="B302" s="3">
        <v>45667</v>
      </c>
      <c r="C302" s="2" t="s">
        <v>16</v>
      </c>
      <c r="D302" s="2" t="s">
        <v>32</v>
      </c>
      <c r="E302" s="2" t="s">
        <v>18</v>
      </c>
      <c r="F302" s="2" t="s">
        <v>19</v>
      </c>
      <c r="G302" s="2" t="s">
        <v>106</v>
      </c>
      <c r="H302" s="2">
        <v>2</v>
      </c>
      <c r="I302" s="2">
        <v>14628.62</v>
      </c>
      <c r="J302" s="2">
        <v>0.08</v>
      </c>
      <c r="K302" s="2">
        <v>26916.65</v>
      </c>
      <c r="L302" s="2">
        <v>22839.67</v>
      </c>
      <c r="M302" s="2">
        <v>4076.98</v>
      </c>
      <c r="N302" s="2" t="s">
        <v>29</v>
      </c>
      <c r="O302" s="2" t="s">
        <v>30</v>
      </c>
    </row>
    <row r="303" spans="1:15" x14ac:dyDescent="0.3">
      <c r="A303" s="2" t="s">
        <v>400</v>
      </c>
      <c r="B303" s="3">
        <v>45949</v>
      </c>
      <c r="C303" s="2" t="s">
        <v>63</v>
      </c>
      <c r="D303" s="2" t="s">
        <v>88</v>
      </c>
      <c r="E303" s="2" t="s">
        <v>18</v>
      </c>
      <c r="F303" s="2" t="s">
        <v>19</v>
      </c>
      <c r="G303" s="2" t="s">
        <v>20</v>
      </c>
      <c r="H303" s="2">
        <v>5</v>
      </c>
      <c r="I303" s="2">
        <v>655.48</v>
      </c>
      <c r="J303" s="2">
        <v>0.05</v>
      </c>
      <c r="K303" s="2">
        <v>3113.54</v>
      </c>
      <c r="L303" s="2">
        <v>2310.66</v>
      </c>
      <c r="M303" s="2">
        <v>802.88</v>
      </c>
      <c r="N303" s="2" t="s">
        <v>58</v>
      </c>
      <c r="O303" s="2" t="s">
        <v>59</v>
      </c>
    </row>
    <row r="304" spans="1:15" x14ac:dyDescent="0.3">
      <c r="A304" s="2" t="s">
        <v>401</v>
      </c>
      <c r="B304" s="3">
        <v>45738</v>
      </c>
      <c r="C304" s="2" t="s">
        <v>63</v>
      </c>
      <c r="D304" s="2" t="s">
        <v>88</v>
      </c>
      <c r="E304" s="2" t="s">
        <v>18</v>
      </c>
      <c r="F304" s="2" t="s">
        <v>43</v>
      </c>
      <c r="G304" s="2" t="s">
        <v>84</v>
      </c>
      <c r="H304" s="2">
        <v>7</v>
      </c>
      <c r="I304" s="2">
        <v>43307.68</v>
      </c>
      <c r="J304" s="2">
        <v>0.08</v>
      </c>
      <c r="K304" s="2">
        <v>278901.46999999997</v>
      </c>
      <c r="L304" s="2">
        <v>230597.36</v>
      </c>
      <c r="M304" s="2">
        <v>48304.11</v>
      </c>
      <c r="N304" s="2" t="s">
        <v>21</v>
      </c>
      <c r="O304" s="2" t="s">
        <v>30</v>
      </c>
    </row>
    <row r="305" spans="1:15" x14ac:dyDescent="0.3">
      <c r="A305" s="2" t="s">
        <v>402</v>
      </c>
      <c r="B305" s="3">
        <v>45832</v>
      </c>
      <c r="C305" s="2" t="s">
        <v>37</v>
      </c>
      <c r="D305" s="2" t="s">
        <v>68</v>
      </c>
      <c r="E305" s="2" t="s">
        <v>74</v>
      </c>
      <c r="F305" s="2" t="s">
        <v>34</v>
      </c>
      <c r="G305" s="2" t="s">
        <v>35</v>
      </c>
      <c r="H305" s="2">
        <v>5</v>
      </c>
      <c r="I305" s="2">
        <v>19026.830000000002</v>
      </c>
      <c r="J305" s="2">
        <v>0.08</v>
      </c>
      <c r="K305" s="2">
        <v>87523.41</v>
      </c>
      <c r="L305" s="2">
        <v>69536.789999999994</v>
      </c>
      <c r="M305" s="2">
        <v>17986.62</v>
      </c>
      <c r="N305" s="2" t="s">
        <v>29</v>
      </c>
      <c r="O305" s="2" t="s">
        <v>30</v>
      </c>
    </row>
    <row r="306" spans="1:15" x14ac:dyDescent="0.3">
      <c r="A306" s="2" t="s">
        <v>403</v>
      </c>
      <c r="B306" s="3">
        <v>45735</v>
      </c>
      <c r="C306" s="2" t="s">
        <v>16</v>
      </c>
      <c r="D306" s="2" t="s">
        <v>52</v>
      </c>
      <c r="E306" s="2" t="s">
        <v>18</v>
      </c>
      <c r="F306" s="2" t="s">
        <v>43</v>
      </c>
      <c r="G306" s="2" t="s">
        <v>91</v>
      </c>
      <c r="H306" s="2">
        <v>2</v>
      </c>
      <c r="I306" s="2">
        <v>44283.360000000001</v>
      </c>
      <c r="J306" s="2">
        <v>0.1</v>
      </c>
      <c r="K306" s="2">
        <v>79710.039999999994</v>
      </c>
      <c r="L306" s="2">
        <v>51799.72</v>
      </c>
      <c r="M306" s="2">
        <v>27910.32</v>
      </c>
      <c r="N306" s="2" t="s">
        <v>58</v>
      </c>
      <c r="O306" s="2" t="s">
        <v>59</v>
      </c>
    </row>
    <row r="307" spans="1:15" x14ac:dyDescent="0.3">
      <c r="A307" s="2" t="s">
        <v>404</v>
      </c>
      <c r="B307" s="3">
        <v>45850</v>
      </c>
      <c r="C307" s="2" t="s">
        <v>16</v>
      </c>
      <c r="D307" s="2" t="s">
        <v>82</v>
      </c>
      <c r="E307" s="2" t="s">
        <v>26</v>
      </c>
      <c r="F307" s="2" t="s">
        <v>19</v>
      </c>
      <c r="G307" s="2" t="s">
        <v>106</v>
      </c>
      <c r="H307" s="2">
        <v>6</v>
      </c>
      <c r="I307" s="2">
        <v>14104</v>
      </c>
      <c r="J307" s="2">
        <v>0.15</v>
      </c>
      <c r="K307" s="2">
        <v>71930.42</v>
      </c>
      <c r="L307" s="2">
        <v>45488.83</v>
      </c>
      <c r="M307" s="2">
        <v>26441.59</v>
      </c>
      <c r="N307" s="2" t="s">
        <v>21</v>
      </c>
      <c r="O307" s="2" t="s">
        <v>45</v>
      </c>
    </row>
    <row r="308" spans="1:15" x14ac:dyDescent="0.3">
      <c r="A308" s="2" t="s">
        <v>405</v>
      </c>
      <c r="B308" s="3">
        <v>45808</v>
      </c>
      <c r="C308" s="2" t="s">
        <v>54</v>
      </c>
      <c r="D308" s="2" t="s">
        <v>48</v>
      </c>
      <c r="E308" s="2" t="s">
        <v>69</v>
      </c>
      <c r="F308" s="2" t="s">
        <v>27</v>
      </c>
      <c r="G308" s="2" t="s">
        <v>66</v>
      </c>
      <c r="H308" s="2">
        <v>3</v>
      </c>
      <c r="I308" s="2">
        <v>11642.92</v>
      </c>
      <c r="J308" s="2">
        <v>0.03</v>
      </c>
      <c r="K308" s="2">
        <v>33880.9</v>
      </c>
      <c r="L308" s="2">
        <v>23525.17</v>
      </c>
      <c r="M308" s="2">
        <v>10355.73</v>
      </c>
      <c r="N308" s="2" t="s">
        <v>21</v>
      </c>
      <c r="O308" s="2" t="s">
        <v>22</v>
      </c>
    </row>
    <row r="309" spans="1:15" x14ac:dyDescent="0.3">
      <c r="A309" s="2" t="s">
        <v>406</v>
      </c>
      <c r="B309" s="3">
        <v>45985</v>
      </c>
      <c r="C309" s="2" t="s">
        <v>16</v>
      </c>
      <c r="D309" s="2" t="s">
        <v>82</v>
      </c>
      <c r="E309" s="2" t="s">
        <v>18</v>
      </c>
      <c r="F309" s="2" t="s">
        <v>34</v>
      </c>
      <c r="G309" s="2" t="s">
        <v>57</v>
      </c>
      <c r="H309" s="2">
        <v>2</v>
      </c>
      <c r="I309" s="2">
        <v>23171.56</v>
      </c>
      <c r="J309" s="2">
        <v>0.1</v>
      </c>
      <c r="K309" s="2">
        <v>41708.81</v>
      </c>
      <c r="L309" s="2">
        <v>25981.15</v>
      </c>
      <c r="M309" s="2">
        <v>15727.66</v>
      </c>
      <c r="N309" s="2" t="s">
        <v>21</v>
      </c>
      <c r="O309" s="2" t="s">
        <v>30</v>
      </c>
    </row>
    <row r="310" spans="1:15" x14ac:dyDescent="0.3">
      <c r="A310" s="2" t="s">
        <v>407</v>
      </c>
      <c r="B310" s="3">
        <v>45726</v>
      </c>
      <c r="C310" s="2" t="s">
        <v>37</v>
      </c>
      <c r="D310" s="2" t="s">
        <v>68</v>
      </c>
      <c r="E310" s="2" t="s">
        <v>69</v>
      </c>
      <c r="F310" s="2" t="s">
        <v>34</v>
      </c>
      <c r="G310" s="2" t="s">
        <v>35</v>
      </c>
      <c r="H310" s="2">
        <v>1</v>
      </c>
      <c r="I310" s="2">
        <v>19252.78</v>
      </c>
      <c r="J310" s="2">
        <v>0.05</v>
      </c>
      <c r="K310" s="2">
        <v>18290.14</v>
      </c>
      <c r="L310" s="2">
        <v>15193.92</v>
      </c>
      <c r="M310" s="2">
        <v>3096.22</v>
      </c>
      <c r="N310" s="2" t="s">
        <v>21</v>
      </c>
      <c r="O310" s="2" t="s">
        <v>22</v>
      </c>
    </row>
    <row r="311" spans="1:15" x14ac:dyDescent="0.3">
      <c r="A311" s="2" t="s">
        <v>408</v>
      </c>
      <c r="B311" s="3">
        <v>45798</v>
      </c>
      <c r="C311" s="2" t="s">
        <v>16</v>
      </c>
      <c r="D311" s="2" t="s">
        <v>52</v>
      </c>
      <c r="E311" s="2" t="s">
        <v>26</v>
      </c>
      <c r="F311" s="2" t="s">
        <v>34</v>
      </c>
      <c r="G311" s="2" t="s">
        <v>80</v>
      </c>
      <c r="H311" s="2">
        <v>3</v>
      </c>
      <c r="I311" s="2">
        <v>4180.74</v>
      </c>
      <c r="J311" s="2">
        <v>0.05</v>
      </c>
      <c r="K311" s="2" t="s">
        <v>409</v>
      </c>
      <c r="L311" s="2">
        <v>10088.14</v>
      </c>
      <c r="M311" s="2">
        <v>1826.97</v>
      </c>
      <c r="N311" s="2" t="s">
        <v>58</v>
      </c>
      <c r="O311" s="2" t="s">
        <v>22</v>
      </c>
    </row>
    <row r="312" spans="1:15" x14ac:dyDescent="0.3">
      <c r="A312" s="2" t="s">
        <v>410</v>
      </c>
      <c r="B312" s="3">
        <v>45814</v>
      </c>
      <c r="C312" s="2" t="s">
        <v>54</v>
      </c>
      <c r="D312" s="2" t="s">
        <v>124</v>
      </c>
      <c r="E312" s="2" t="s">
        <v>26</v>
      </c>
      <c r="F312" s="2" t="s">
        <v>27</v>
      </c>
      <c r="G312" s="2" t="s">
        <v>28</v>
      </c>
      <c r="H312" s="2">
        <v>7</v>
      </c>
      <c r="I312" s="2">
        <v>27695.439999999999</v>
      </c>
      <c r="J312" s="2">
        <v>0.15</v>
      </c>
      <c r="K312" s="2">
        <v>164787.9</v>
      </c>
      <c r="L312" s="2">
        <v>104838.16</v>
      </c>
      <c r="M312" s="2">
        <v>59949.74</v>
      </c>
      <c r="N312" s="2" t="s">
        <v>58</v>
      </c>
      <c r="O312" s="2" t="s">
        <v>59</v>
      </c>
    </row>
    <row r="313" spans="1:15" x14ac:dyDescent="0.3">
      <c r="A313" s="2" t="s">
        <v>411</v>
      </c>
      <c r="B313" s="3">
        <v>45861</v>
      </c>
      <c r="C313" s="2" t="s">
        <v>54</v>
      </c>
      <c r="D313" s="2" t="s">
        <v>124</v>
      </c>
      <c r="E313" s="2" t="s">
        <v>49</v>
      </c>
      <c r="F313" s="2" t="s">
        <v>43</v>
      </c>
      <c r="G313" s="2" t="s">
        <v>121</v>
      </c>
      <c r="H313" s="2">
        <v>2</v>
      </c>
      <c r="I313" s="2">
        <v>5163.6400000000003</v>
      </c>
      <c r="J313" s="2">
        <v>0.05</v>
      </c>
      <c r="K313" s="2">
        <v>9810.92</v>
      </c>
      <c r="L313" s="2">
        <v>6898.7</v>
      </c>
      <c r="M313" s="2">
        <v>2912.22</v>
      </c>
      <c r="N313" s="2" t="s">
        <v>21</v>
      </c>
      <c r="O313" s="2" t="s">
        <v>22</v>
      </c>
    </row>
    <row r="314" spans="1:15" x14ac:dyDescent="0.3">
      <c r="A314" s="2" t="s">
        <v>412</v>
      </c>
      <c r="B314" s="3">
        <v>45952</v>
      </c>
      <c r="C314" s="2" t="s">
        <v>37</v>
      </c>
      <c r="D314" s="2" t="s">
        <v>68</v>
      </c>
      <c r="E314" s="2" t="s">
        <v>69</v>
      </c>
      <c r="F314" s="2" t="s">
        <v>34</v>
      </c>
      <c r="G314" s="2" t="s">
        <v>35</v>
      </c>
      <c r="H314" s="2">
        <v>8</v>
      </c>
      <c r="I314" s="2">
        <v>18451.46</v>
      </c>
      <c r="J314" s="2">
        <v>0.15</v>
      </c>
      <c r="K314" s="2">
        <v>125469.91</v>
      </c>
      <c r="L314" s="2">
        <v>95968.54</v>
      </c>
      <c r="M314" s="2">
        <v>29501.37</v>
      </c>
      <c r="N314" s="2" t="s">
        <v>21</v>
      </c>
      <c r="O314" s="2" t="s">
        <v>40</v>
      </c>
    </row>
    <row r="315" spans="1:15" x14ac:dyDescent="0.3">
      <c r="A315" s="2" t="s">
        <v>413</v>
      </c>
      <c r="B315" s="3">
        <v>45980</v>
      </c>
      <c r="C315" s="2" t="s">
        <v>16</v>
      </c>
      <c r="D315" s="2" t="s">
        <v>52</v>
      </c>
      <c r="E315" s="2" t="s">
        <v>49</v>
      </c>
      <c r="F315" s="2" t="s">
        <v>43</v>
      </c>
      <c r="G315" s="2" t="s">
        <v>91</v>
      </c>
      <c r="H315" s="2">
        <v>3</v>
      </c>
      <c r="I315" s="2">
        <v>49140.52</v>
      </c>
      <c r="J315" s="2">
        <v>0.03</v>
      </c>
      <c r="K315" s="2">
        <v>142998.9</v>
      </c>
      <c r="L315" s="2">
        <v>89177.91</v>
      </c>
      <c r="M315" s="2">
        <v>53820.99</v>
      </c>
      <c r="N315" s="2" t="s">
        <v>21</v>
      </c>
      <c r="O315" s="2" t="s">
        <v>22</v>
      </c>
    </row>
    <row r="316" spans="1:15" x14ac:dyDescent="0.3">
      <c r="A316" s="2" t="s">
        <v>414</v>
      </c>
      <c r="B316" s="3">
        <v>45722</v>
      </c>
      <c r="C316" s="2" t="s">
        <v>63</v>
      </c>
      <c r="D316" s="2" t="s">
        <v>95</v>
      </c>
      <c r="E316" s="2" t="s">
        <v>26</v>
      </c>
      <c r="F316" s="2" t="s">
        <v>43</v>
      </c>
      <c r="G316" s="2" t="s">
        <v>84</v>
      </c>
      <c r="H316" s="2">
        <v>3</v>
      </c>
      <c r="I316" s="2">
        <v>40461.769999999997</v>
      </c>
      <c r="J316" s="2">
        <v>0.08</v>
      </c>
      <c r="K316" s="2">
        <v>111674.48</v>
      </c>
      <c r="L316" s="2">
        <v>92451.16</v>
      </c>
      <c r="M316" s="2">
        <v>19223.32</v>
      </c>
      <c r="N316" s="2" t="s">
        <v>21</v>
      </c>
      <c r="O316" s="2" t="s">
        <v>30</v>
      </c>
    </row>
    <row r="317" spans="1:15" x14ac:dyDescent="0.3">
      <c r="A317" s="2" t="s">
        <v>415</v>
      </c>
      <c r="B317" s="3">
        <v>45941</v>
      </c>
      <c r="C317" s="2" t="s">
        <v>37</v>
      </c>
      <c r="D317" s="2" t="s">
        <v>38</v>
      </c>
      <c r="E317" s="2" t="s">
        <v>69</v>
      </c>
      <c r="F317" s="2" t="s">
        <v>19</v>
      </c>
      <c r="G317" s="2" t="s">
        <v>20</v>
      </c>
      <c r="H317" s="2">
        <v>3</v>
      </c>
      <c r="I317" s="2">
        <v>730.5</v>
      </c>
      <c r="J317" s="2">
        <v>0.08</v>
      </c>
      <c r="K317" s="2">
        <v>2016.17</v>
      </c>
      <c r="L317" s="2">
        <v>1430.78</v>
      </c>
      <c r="M317" s="2">
        <v>585.39</v>
      </c>
      <c r="N317" s="2" t="s">
        <v>29</v>
      </c>
      <c r="O317" s="2" t="s">
        <v>45</v>
      </c>
    </row>
    <row r="318" spans="1:15" x14ac:dyDescent="0.3">
      <c r="A318" s="2" t="s">
        <v>416</v>
      </c>
      <c r="B318" s="3">
        <v>45945</v>
      </c>
      <c r="C318" s="2" t="s">
        <v>63</v>
      </c>
      <c r="D318" s="2" t="s">
        <v>95</v>
      </c>
      <c r="E318" s="2" t="s">
        <v>56</v>
      </c>
      <c r="F318" s="2" t="s">
        <v>43</v>
      </c>
      <c r="G318" s="2" t="s">
        <v>84</v>
      </c>
      <c r="H318" s="2">
        <v>2</v>
      </c>
      <c r="I318" s="2">
        <v>41321.519999999997</v>
      </c>
      <c r="J318" s="2">
        <v>0.1</v>
      </c>
      <c r="K318" s="2">
        <v>74378.73</v>
      </c>
      <c r="L318" s="2">
        <v>49480.43</v>
      </c>
      <c r="M318" s="2">
        <v>24898.3</v>
      </c>
      <c r="N318" s="2" t="s">
        <v>21</v>
      </c>
      <c r="O318" s="2" t="s">
        <v>30</v>
      </c>
    </row>
    <row r="319" spans="1:15" x14ac:dyDescent="0.3">
      <c r="A319" s="2" t="s">
        <v>417</v>
      </c>
      <c r="B319" s="3">
        <v>45789</v>
      </c>
      <c r="C319" s="2" t="s">
        <v>16</v>
      </c>
      <c r="D319" s="2" t="s">
        <v>32</v>
      </c>
      <c r="E319" s="2" t="s">
        <v>74</v>
      </c>
      <c r="F319" s="2" t="s">
        <v>34</v>
      </c>
      <c r="G319" s="2" t="s">
        <v>35</v>
      </c>
      <c r="H319" s="2">
        <v>3</v>
      </c>
      <c r="I319" s="2">
        <v>16802.79</v>
      </c>
      <c r="J319" s="2">
        <v>0.1</v>
      </c>
      <c r="K319" s="2">
        <v>45367.53</v>
      </c>
      <c r="L319" s="2">
        <v>37506.1</v>
      </c>
      <c r="M319" s="2">
        <v>7861.43</v>
      </c>
      <c r="N319" s="2" t="s">
        <v>29</v>
      </c>
      <c r="O319" s="2" t="s">
        <v>30</v>
      </c>
    </row>
    <row r="320" spans="1:15" x14ac:dyDescent="0.3">
      <c r="A320" s="2" t="s">
        <v>418</v>
      </c>
      <c r="B320" s="3">
        <v>45696</v>
      </c>
      <c r="C320" s="2" t="s">
        <v>16</v>
      </c>
      <c r="D320" s="2"/>
      <c r="E320" s="2" t="s">
        <v>26</v>
      </c>
      <c r="F320" s="2" t="s">
        <v>34</v>
      </c>
      <c r="G320" s="2" t="s">
        <v>57</v>
      </c>
      <c r="H320" s="2">
        <v>1</v>
      </c>
      <c r="I320" s="2">
        <v>22600.78</v>
      </c>
      <c r="J320" s="2">
        <v>0.08</v>
      </c>
      <c r="K320" s="2">
        <v>20792.72</v>
      </c>
      <c r="L320" s="2">
        <v>13909.62</v>
      </c>
      <c r="M320" s="2">
        <v>6883.1</v>
      </c>
      <c r="N320" s="2" t="s">
        <v>21</v>
      </c>
      <c r="O320" s="2" t="s">
        <v>40</v>
      </c>
    </row>
    <row r="321" spans="1:15" x14ac:dyDescent="0.3">
      <c r="A321" s="2" t="s">
        <v>419</v>
      </c>
      <c r="B321" s="3">
        <v>45975</v>
      </c>
      <c r="C321" s="2" t="s">
        <v>37</v>
      </c>
      <c r="D321" s="2" t="s">
        <v>38</v>
      </c>
      <c r="E321" s="2" t="s">
        <v>56</v>
      </c>
      <c r="F321" s="2" t="s">
        <v>34</v>
      </c>
      <c r="G321" s="2" t="s">
        <v>80</v>
      </c>
      <c r="H321" s="2">
        <v>3</v>
      </c>
      <c r="I321" s="2" t="s">
        <v>420</v>
      </c>
      <c r="J321" s="2">
        <v>0</v>
      </c>
      <c r="K321" s="2">
        <v>12954.73</v>
      </c>
      <c r="L321" s="2">
        <v>9458.84</v>
      </c>
      <c r="M321" s="2">
        <v>3495.89</v>
      </c>
      <c r="N321" s="2" t="s">
        <v>29</v>
      </c>
      <c r="O321" s="2" t="s">
        <v>22</v>
      </c>
    </row>
    <row r="322" spans="1:15" x14ac:dyDescent="0.3">
      <c r="A322" s="2" t="s">
        <v>421</v>
      </c>
      <c r="B322" s="3">
        <v>45831</v>
      </c>
      <c r="C322" s="2" t="s">
        <v>63</v>
      </c>
      <c r="D322" s="2" t="s">
        <v>117</v>
      </c>
      <c r="E322" s="2" t="s">
        <v>26</v>
      </c>
      <c r="F322" s="2" t="s">
        <v>34</v>
      </c>
      <c r="G322" s="2" t="s">
        <v>39</v>
      </c>
      <c r="H322" s="2">
        <v>6</v>
      </c>
      <c r="I322" s="2">
        <v>29439.759999999998</v>
      </c>
      <c r="J322" s="2">
        <v>0.05</v>
      </c>
      <c r="K322" s="2">
        <v>167806.66</v>
      </c>
      <c r="L322" s="2">
        <v>115449.83</v>
      </c>
      <c r="M322" s="2">
        <v>52356.83</v>
      </c>
      <c r="N322" s="2" t="s">
        <v>21</v>
      </c>
      <c r="O322" s="2" t="s">
        <v>30</v>
      </c>
    </row>
    <row r="323" spans="1:15" x14ac:dyDescent="0.3">
      <c r="A323" s="2" t="s">
        <v>422</v>
      </c>
      <c r="B323" s="3">
        <v>45941</v>
      </c>
      <c r="C323" s="2" t="s">
        <v>37</v>
      </c>
      <c r="D323" s="2" t="s">
        <v>38</v>
      </c>
      <c r="E323" s="2" t="s">
        <v>74</v>
      </c>
      <c r="F323" s="2" t="s">
        <v>34</v>
      </c>
      <c r="G323" s="2" t="s">
        <v>39</v>
      </c>
      <c r="H323" s="2">
        <v>1</v>
      </c>
      <c r="I323" s="2">
        <v>32019.68</v>
      </c>
      <c r="J323" s="2">
        <v>0.08</v>
      </c>
      <c r="K323" s="2">
        <v>29458.11</v>
      </c>
      <c r="L323" s="2">
        <v>22070.01</v>
      </c>
      <c r="M323" s="2">
        <v>7388.1</v>
      </c>
      <c r="N323" s="2" t="s">
        <v>58</v>
      </c>
      <c r="O323" s="2" t="s">
        <v>45</v>
      </c>
    </row>
    <row r="324" spans="1:15" x14ac:dyDescent="0.3">
      <c r="A324" s="2" t="s">
        <v>423</v>
      </c>
      <c r="B324" s="3">
        <v>45771</v>
      </c>
      <c r="C324" s="2" t="s">
        <v>63</v>
      </c>
      <c r="D324" s="2" t="s">
        <v>88</v>
      </c>
      <c r="E324" s="2" t="s">
        <v>69</v>
      </c>
      <c r="F324" s="2" t="s">
        <v>318</v>
      </c>
      <c r="G324" s="2" t="s">
        <v>121</v>
      </c>
      <c r="H324" s="2" t="s">
        <v>424</v>
      </c>
      <c r="I324" s="2">
        <v>4798.71</v>
      </c>
      <c r="J324" s="2">
        <v>0.08</v>
      </c>
      <c r="K324" s="2">
        <v>8829.6200000000008</v>
      </c>
      <c r="L324" s="2">
        <v>6380.5</v>
      </c>
      <c r="M324" s="2">
        <v>2449.12</v>
      </c>
      <c r="N324" s="2" t="s">
        <v>29</v>
      </c>
      <c r="O324" s="2" t="s">
        <v>45</v>
      </c>
    </row>
    <row r="325" spans="1:15" x14ac:dyDescent="0.3">
      <c r="A325" s="2" t="s">
        <v>425</v>
      </c>
      <c r="B325" s="3">
        <v>45718</v>
      </c>
      <c r="C325" s="2" t="s">
        <v>54</v>
      </c>
      <c r="D325" s="2" t="s">
        <v>48</v>
      </c>
      <c r="E325" s="2" t="s">
        <v>33</v>
      </c>
      <c r="F325" s="2" t="s">
        <v>43</v>
      </c>
      <c r="G325" s="2" t="s">
        <v>44</v>
      </c>
      <c r="H325" s="2">
        <v>2</v>
      </c>
      <c r="I325" s="2">
        <v>11082.07</v>
      </c>
      <c r="J325" s="2">
        <v>0.03</v>
      </c>
      <c r="K325" s="2">
        <v>21499.22</v>
      </c>
      <c r="L325" s="2">
        <v>15923</v>
      </c>
      <c r="M325" s="2">
        <v>5576.22</v>
      </c>
      <c r="N325" s="2" t="s">
        <v>29</v>
      </c>
      <c r="O325" s="2" t="s">
        <v>40</v>
      </c>
    </row>
    <row r="326" spans="1:15" x14ac:dyDescent="0.3">
      <c r="A326" s="2" t="s">
        <v>426</v>
      </c>
      <c r="B326" s="3">
        <v>45790</v>
      </c>
      <c r="C326" s="2" t="s">
        <v>271</v>
      </c>
      <c r="D326" s="2" t="s">
        <v>68</v>
      </c>
      <c r="E326" s="2" t="s">
        <v>18</v>
      </c>
      <c r="F326" s="2" t="s">
        <v>19</v>
      </c>
      <c r="G326" s="2" t="s">
        <v>61</v>
      </c>
      <c r="H326" s="2">
        <v>1</v>
      </c>
      <c r="I326" s="2">
        <v>8654.74</v>
      </c>
      <c r="J326" s="2">
        <v>0.03</v>
      </c>
      <c r="K326" s="2">
        <v>8395.1</v>
      </c>
      <c r="L326" s="2">
        <v>5528.27</v>
      </c>
      <c r="M326" s="2">
        <v>2866.83</v>
      </c>
      <c r="N326" s="2" t="s">
        <v>58</v>
      </c>
      <c r="O326" s="2" t="s">
        <v>40</v>
      </c>
    </row>
    <row r="327" spans="1:15" x14ac:dyDescent="0.3">
      <c r="A327" s="2" t="s">
        <v>427</v>
      </c>
      <c r="B327" s="3">
        <v>45940</v>
      </c>
      <c r="C327" s="2" t="s">
        <v>63</v>
      </c>
      <c r="D327" s="2" t="s">
        <v>64</v>
      </c>
      <c r="E327" s="2" t="s">
        <v>69</v>
      </c>
      <c r="F327" s="2" t="s">
        <v>19</v>
      </c>
      <c r="G327" s="2" t="s">
        <v>102</v>
      </c>
      <c r="H327" s="2">
        <v>3</v>
      </c>
      <c r="I327" s="2">
        <v>234.42</v>
      </c>
      <c r="J327" s="2">
        <v>0.03</v>
      </c>
      <c r="K327" s="2">
        <v>682.15</v>
      </c>
      <c r="L327" s="2">
        <v>473.65</v>
      </c>
      <c r="M327" s="2">
        <v>208.5</v>
      </c>
      <c r="N327" s="2" t="s">
        <v>29</v>
      </c>
      <c r="O327" s="2" t="s">
        <v>30</v>
      </c>
    </row>
    <row r="328" spans="1:15" x14ac:dyDescent="0.3">
      <c r="A328" s="2" t="s">
        <v>428</v>
      </c>
      <c r="B328" s="3">
        <v>45693</v>
      </c>
      <c r="C328" s="2" t="s">
        <v>16</v>
      </c>
      <c r="D328" s="2" t="s">
        <v>32</v>
      </c>
      <c r="E328" s="2" t="s">
        <v>33</v>
      </c>
      <c r="F328" s="2" t="s">
        <v>27</v>
      </c>
      <c r="G328" s="2" t="s">
        <v>89</v>
      </c>
      <c r="H328" s="2">
        <v>5</v>
      </c>
      <c r="I328" s="2">
        <v>31015.91</v>
      </c>
      <c r="J328" s="2">
        <v>0.1</v>
      </c>
      <c r="K328" s="2">
        <v>139571.62</v>
      </c>
      <c r="L328" s="2">
        <v>118451.03</v>
      </c>
      <c r="M328" s="2">
        <v>21120.59</v>
      </c>
      <c r="N328" s="2" t="s">
        <v>29</v>
      </c>
      <c r="O328" s="2" t="s">
        <v>30</v>
      </c>
    </row>
    <row r="329" spans="1:15" x14ac:dyDescent="0.3">
      <c r="A329" s="2" t="s">
        <v>429</v>
      </c>
      <c r="B329" s="3">
        <v>45807</v>
      </c>
      <c r="C329" s="2" t="s">
        <v>16</v>
      </c>
      <c r="D329" s="2" t="s">
        <v>32</v>
      </c>
      <c r="E329" s="2" t="s">
        <v>26</v>
      </c>
      <c r="F329" s="2" t="s">
        <v>27</v>
      </c>
      <c r="G329" s="2" t="s">
        <v>125</v>
      </c>
      <c r="H329" s="2">
        <v>5</v>
      </c>
      <c r="I329" s="2">
        <v>8354.11</v>
      </c>
      <c r="J329" s="2">
        <v>0.05</v>
      </c>
      <c r="K329" s="2">
        <v>39682.04</v>
      </c>
      <c r="L329" s="2">
        <v>29394.54</v>
      </c>
      <c r="M329" s="2">
        <v>10287.5</v>
      </c>
      <c r="N329" s="2" t="s">
        <v>29</v>
      </c>
      <c r="O329" s="2" t="s">
        <v>45</v>
      </c>
    </row>
    <row r="330" spans="1:15" x14ac:dyDescent="0.3">
      <c r="A330" s="2" t="s">
        <v>430</v>
      </c>
      <c r="B330" s="3">
        <v>45822</v>
      </c>
      <c r="C330" s="2" t="s">
        <v>63</v>
      </c>
      <c r="D330" s="2" t="s">
        <v>95</v>
      </c>
      <c r="E330" s="2" t="s">
        <v>49</v>
      </c>
      <c r="F330" s="2" t="s">
        <v>27</v>
      </c>
      <c r="G330" s="2" t="s">
        <v>66</v>
      </c>
      <c r="H330" s="2">
        <v>6</v>
      </c>
      <c r="I330" s="2">
        <v>10893.01</v>
      </c>
      <c r="J330" s="2">
        <v>0.08</v>
      </c>
      <c r="K330" s="2">
        <v>60129.42</v>
      </c>
      <c r="L330" s="2">
        <v>39594.480000000003</v>
      </c>
      <c r="M330" s="2">
        <v>20534.939999999999</v>
      </c>
      <c r="N330" s="2" t="s">
        <v>21</v>
      </c>
      <c r="O330" s="2" t="s">
        <v>40</v>
      </c>
    </row>
    <row r="331" spans="1:15" x14ac:dyDescent="0.3">
      <c r="A331" s="2" t="s">
        <v>431</v>
      </c>
      <c r="B331" s="3">
        <v>45903</v>
      </c>
      <c r="C331" s="2" t="s">
        <v>37</v>
      </c>
      <c r="D331" s="2" t="s">
        <v>38</v>
      </c>
      <c r="E331" s="2" t="s">
        <v>65</v>
      </c>
      <c r="F331" s="2" t="s">
        <v>34</v>
      </c>
      <c r="G331" s="2" t="s">
        <v>80</v>
      </c>
      <c r="H331" s="2">
        <v>2</v>
      </c>
      <c r="I331" s="2">
        <v>4522.96</v>
      </c>
      <c r="J331" s="2">
        <v>0.1</v>
      </c>
      <c r="K331" s="2">
        <v>8141.33</v>
      </c>
      <c r="L331" s="2">
        <v>5627.52</v>
      </c>
      <c r="M331" s="2">
        <v>2513.81</v>
      </c>
      <c r="N331" s="2" t="s">
        <v>21</v>
      </c>
      <c r="O331" s="2" t="s">
        <v>30</v>
      </c>
    </row>
    <row r="332" spans="1:15" x14ac:dyDescent="0.3">
      <c r="A332" s="2" t="s">
        <v>432</v>
      </c>
      <c r="B332" s="3">
        <v>45891</v>
      </c>
      <c r="C332" s="2" t="s">
        <v>16</v>
      </c>
      <c r="D332" s="2" t="s">
        <v>82</v>
      </c>
      <c r="E332" s="2" t="s">
        <v>33</v>
      </c>
      <c r="F332" s="2" t="s">
        <v>27</v>
      </c>
      <c r="G332" s="2" t="s">
        <v>28</v>
      </c>
      <c r="H332" s="2">
        <v>2</v>
      </c>
      <c r="I332" s="2">
        <v>28603.18</v>
      </c>
      <c r="J332" s="2">
        <v>0.08</v>
      </c>
      <c r="K332" s="2">
        <v>52629.86</v>
      </c>
      <c r="L332" s="2">
        <v>34126.230000000003</v>
      </c>
      <c r="M332" s="2">
        <v>18503.63</v>
      </c>
      <c r="N332" s="2" t="s">
        <v>29</v>
      </c>
      <c r="O332" s="2" t="s">
        <v>22</v>
      </c>
    </row>
    <row r="333" spans="1:15" x14ac:dyDescent="0.3">
      <c r="A333" s="2" t="s">
        <v>433</v>
      </c>
      <c r="B333" s="3">
        <v>45852</v>
      </c>
      <c r="C333" s="2" t="s">
        <v>16</v>
      </c>
      <c r="D333" s="2" t="s">
        <v>52</v>
      </c>
      <c r="E333" s="2" t="s">
        <v>434</v>
      </c>
      <c r="F333" s="2" t="s">
        <v>43</v>
      </c>
      <c r="G333" s="2" t="s">
        <v>44</v>
      </c>
      <c r="H333" s="2">
        <v>5</v>
      </c>
      <c r="I333" s="2">
        <v>11836.29</v>
      </c>
      <c r="J333" s="2">
        <v>0.08</v>
      </c>
      <c r="K333" s="2">
        <v>54446.95</v>
      </c>
      <c r="L333" s="2">
        <v>45144.82</v>
      </c>
      <c r="M333" s="2">
        <v>9302.1299999999992</v>
      </c>
      <c r="N333" s="2" t="s">
        <v>29</v>
      </c>
      <c r="O333" s="2" t="s">
        <v>59</v>
      </c>
    </row>
    <row r="334" spans="1:15" x14ac:dyDescent="0.3">
      <c r="A334" s="2" t="s">
        <v>435</v>
      </c>
      <c r="B334" s="3">
        <v>45902</v>
      </c>
      <c r="C334" s="2" t="s">
        <v>37</v>
      </c>
      <c r="D334" s="2" t="s">
        <v>25</v>
      </c>
      <c r="E334" s="2" t="s">
        <v>33</v>
      </c>
      <c r="F334" s="2" t="s">
        <v>43</v>
      </c>
      <c r="G334" s="2" t="s">
        <v>84</v>
      </c>
      <c r="H334" s="2">
        <v>2</v>
      </c>
      <c r="I334" s="2">
        <v>38788.79</v>
      </c>
      <c r="J334" s="2">
        <v>0.1</v>
      </c>
      <c r="K334" s="2">
        <v>69819.820000000007</v>
      </c>
      <c r="L334" s="2">
        <v>54961.5</v>
      </c>
      <c r="M334" s="2">
        <v>14858.32</v>
      </c>
      <c r="N334" s="2" t="s">
        <v>21</v>
      </c>
      <c r="O334" s="2" t="s">
        <v>45</v>
      </c>
    </row>
    <row r="335" spans="1:15" x14ac:dyDescent="0.3">
      <c r="A335" s="2" t="s">
        <v>436</v>
      </c>
      <c r="B335" s="3">
        <v>45760</v>
      </c>
      <c r="C335" s="2" t="s">
        <v>16</v>
      </c>
      <c r="D335" s="2" t="s">
        <v>82</v>
      </c>
      <c r="E335" s="2" t="s">
        <v>437</v>
      </c>
      <c r="F335" s="2" t="s">
        <v>43</v>
      </c>
      <c r="G335" s="2" t="s">
        <v>121</v>
      </c>
      <c r="H335" s="2">
        <v>5</v>
      </c>
      <c r="I335" s="2">
        <v>5211.84</v>
      </c>
      <c r="J335" s="2">
        <v>0.08</v>
      </c>
      <c r="K335" s="2">
        <v>23974.47</v>
      </c>
      <c r="L335" s="2">
        <v>19311.84</v>
      </c>
      <c r="M335" s="2">
        <v>4662.63</v>
      </c>
      <c r="N335" s="2" t="s">
        <v>21</v>
      </c>
      <c r="O335" s="2" t="s">
        <v>30</v>
      </c>
    </row>
    <row r="336" spans="1:15" x14ac:dyDescent="0.3">
      <c r="A336" s="2" t="s">
        <v>438</v>
      </c>
      <c r="B336" s="3">
        <v>45801</v>
      </c>
      <c r="C336" s="2" t="s">
        <v>63</v>
      </c>
      <c r="D336" s="2" t="s">
        <v>64</v>
      </c>
      <c r="E336" s="2" t="s">
        <v>56</v>
      </c>
      <c r="F336" s="2" t="s">
        <v>19</v>
      </c>
      <c r="G336" s="2" t="s">
        <v>106</v>
      </c>
      <c r="H336" s="2">
        <v>7</v>
      </c>
      <c r="I336" s="2">
        <v>14863.79</v>
      </c>
      <c r="J336" s="2">
        <v>0.03</v>
      </c>
      <c r="K336" s="2">
        <v>100925.12</v>
      </c>
      <c r="L336" s="2">
        <v>79883.64</v>
      </c>
      <c r="M336" s="2">
        <v>21041.48</v>
      </c>
      <c r="N336" s="2" t="s">
        <v>21</v>
      </c>
      <c r="O336" s="2" t="s">
        <v>40</v>
      </c>
    </row>
    <row r="337" spans="1:15" x14ac:dyDescent="0.3">
      <c r="A337" s="2" t="s">
        <v>439</v>
      </c>
      <c r="B337" s="3">
        <v>45996</v>
      </c>
      <c r="C337" s="2" t="s">
        <v>63</v>
      </c>
      <c r="D337" s="2" t="s">
        <v>88</v>
      </c>
      <c r="E337" s="2" t="s">
        <v>56</v>
      </c>
      <c r="F337" s="2" t="s">
        <v>43</v>
      </c>
      <c r="G337" s="2" t="s">
        <v>84</v>
      </c>
      <c r="H337" s="2">
        <v>3</v>
      </c>
      <c r="I337" s="2">
        <v>39496.04</v>
      </c>
      <c r="J337" s="2">
        <v>0.03</v>
      </c>
      <c r="K337" s="2">
        <v>114933.47</v>
      </c>
      <c r="L337" s="2">
        <v>85921.8</v>
      </c>
      <c r="M337" s="2">
        <v>29011.67</v>
      </c>
      <c r="N337" s="2" t="s">
        <v>58</v>
      </c>
      <c r="O337" s="2" t="s">
        <v>30</v>
      </c>
    </row>
    <row r="338" spans="1:15" x14ac:dyDescent="0.3">
      <c r="A338" s="2" t="s">
        <v>440</v>
      </c>
      <c r="B338" s="3">
        <v>45793</v>
      </c>
      <c r="C338" s="2" t="s">
        <v>54</v>
      </c>
      <c r="D338" s="2" t="s">
        <v>174</v>
      </c>
      <c r="E338" s="2" t="s">
        <v>69</v>
      </c>
      <c r="F338" s="2" t="s">
        <v>34</v>
      </c>
      <c r="G338" s="2" t="s">
        <v>70</v>
      </c>
      <c r="H338" s="2">
        <v>8</v>
      </c>
      <c r="I338" s="2">
        <v>59961.29</v>
      </c>
      <c r="J338" s="2">
        <v>0.03</v>
      </c>
      <c r="K338" s="2">
        <v>465299.58</v>
      </c>
      <c r="L338" s="2">
        <v>311708.62</v>
      </c>
      <c r="M338" s="2">
        <v>153590.96</v>
      </c>
      <c r="N338" s="2" t="s">
        <v>58</v>
      </c>
      <c r="O338" s="2" t="s">
        <v>40</v>
      </c>
    </row>
    <row r="339" spans="1:15" x14ac:dyDescent="0.3">
      <c r="A339" s="2" t="s">
        <v>441</v>
      </c>
      <c r="B339" s="3">
        <v>45992</v>
      </c>
      <c r="C339" s="2" t="s">
        <v>37</v>
      </c>
      <c r="D339" s="2" t="s">
        <v>42</v>
      </c>
      <c r="E339" s="2" t="s">
        <v>49</v>
      </c>
      <c r="F339" s="2" t="s">
        <v>27</v>
      </c>
      <c r="G339" s="2" t="s">
        <v>50</v>
      </c>
      <c r="H339" s="2">
        <v>1</v>
      </c>
      <c r="I339" s="2">
        <v>32312.2</v>
      </c>
      <c r="J339" s="2">
        <v>0.05</v>
      </c>
      <c r="K339" s="2">
        <v>30696.59</v>
      </c>
      <c r="L339" s="2">
        <v>22813.96</v>
      </c>
      <c r="M339" s="2">
        <v>7882.63</v>
      </c>
      <c r="N339" s="2" t="s">
        <v>21</v>
      </c>
      <c r="O339" s="2" t="s">
        <v>45</v>
      </c>
    </row>
    <row r="340" spans="1:15" x14ac:dyDescent="0.3">
      <c r="A340" s="2" t="s">
        <v>442</v>
      </c>
      <c r="B340" s="3">
        <v>45779</v>
      </c>
      <c r="C340" s="2" t="s">
        <v>443</v>
      </c>
      <c r="D340" s="2" t="s">
        <v>95</v>
      </c>
      <c r="E340" s="2" t="s">
        <v>69</v>
      </c>
      <c r="F340" s="2" t="s">
        <v>34</v>
      </c>
      <c r="G340" s="2" t="s">
        <v>57</v>
      </c>
      <c r="H340" s="2">
        <v>7</v>
      </c>
      <c r="I340" s="2">
        <v>21540.9</v>
      </c>
      <c r="J340" s="2">
        <v>0.05</v>
      </c>
      <c r="K340" s="2">
        <v>143246.99</v>
      </c>
      <c r="L340" s="2">
        <v>113660.34</v>
      </c>
      <c r="M340" s="2">
        <v>29586.65</v>
      </c>
      <c r="N340" s="2" t="s">
        <v>21</v>
      </c>
      <c r="O340" s="2" t="s">
        <v>22</v>
      </c>
    </row>
    <row r="341" spans="1:15" x14ac:dyDescent="0.3">
      <c r="A341" s="2" t="s">
        <v>444</v>
      </c>
      <c r="B341" s="3">
        <v>45705</v>
      </c>
      <c r="C341" s="2" t="s">
        <v>16</v>
      </c>
      <c r="D341" s="2" t="s">
        <v>52</v>
      </c>
      <c r="E341" s="2" t="s">
        <v>74</v>
      </c>
      <c r="F341" s="2" t="s">
        <v>27</v>
      </c>
      <c r="G341" s="2" t="s">
        <v>89</v>
      </c>
      <c r="H341" s="2">
        <v>4</v>
      </c>
      <c r="I341" s="2">
        <v>32675.78</v>
      </c>
      <c r="J341" s="2">
        <v>0</v>
      </c>
      <c r="K341" s="2">
        <v>130703.13</v>
      </c>
      <c r="L341" s="2">
        <v>84288.21</v>
      </c>
      <c r="M341" s="2">
        <v>46414.92</v>
      </c>
      <c r="N341" s="2" t="s">
        <v>21</v>
      </c>
      <c r="O341" s="2" t="s">
        <v>30</v>
      </c>
    </row>
    <row r="342" spans="1:15" x14ac:dyDescent="0.3">
      <c r="A342" s="2" t="s">
        <v>445</v>
      </c>
      <c r="B342" s="3">
        <v>45686</v>
      </c>
      <c r="C342" s="2" t="s">
        <v>63</v>
      </c>
      <c r="D342" s="2" t="s">
        <v>95</v>
      </c>
      <c r="E342" s="2" t="s">
        <v>26</v>
      </c>
      <c r="F342" s="2" t="s">
        <v>19</v>
      </c>
      <c r="G342" s="2" t="s">
        <v>61</v>
      </c>
      <c r="H342" s="2">
        <v>4</v>
      </c>
      <c r="I342" s="2">
        <v>8482.07</v>
      </c>
      <c r="J342" s="2">
        <v>0.08</v>
      </c>
      <c r="K342" s="2">
        <v>31214.01</v>
      </c>
      <c r="L342" s="2">
        <v>24000.880000000001</v>
      </c>
      <c r="M342" s="2">
        <v>7213.13</v>
      </c>
      <c r="N342" s="2" t="s">
        <v>21</v>
      </c>
      <c r="O342" s="2" t="s">
        <v>40</v>
      </c>
    </row>
    <row r="343" spans="1:15" x14ac:dyDescent="0.3">
      <c r="A343" s="2" t="s">
        <v>446</v>
      </c>
      <c r="B343" s="3">
        <v>45949</v>
      </c>
      <c r="C343" s="2" t="s">
        <v>37</v>
      </c>
      <c r="D343" s="2" t="s">
        <v>42</v>
      </c>
      <c r="E343" s="2" t="s">
        <v>74</v>
      </c>
      <c r="F343" s="2" t="s">
        <v>19</v>
      </c>
      <c r="G343" s="2" t="s">
        <v>108</v>
      </c>
      <c r="H343" s="2">
        <v>8</v>
      </c>
      <c r="I343" s="2">
        <v>15620.92</v>
      </c>
      <c r="J343" s="2">
        <v>0.08</v>
      </c>
      <c r="K343" s="2">
        <v>114969.95</v>
      </c>
      <c r="L343" s="2">
        <v>89330.71</v>
      </c>
      <c r="M343" s="2">
        <v>25639.24</v>
      </c>
      <c r="N343" s="2" t="s">
        <v>58</v>
      </c>
      <c r="O343" s="2" t="s">
        <v>45</v>
      </c>
    </row>
    <row r="344" spans="1:15" x14ac:dyDescent="0.3">
      <c r="A344" s="2" t="s">
        <v>447</v>
      </c>
      <c r="B344" s="3">
        <v>45697</v>
      </c>
      <c r="C344" s="2" t="s">
        <v>63</v>
      </c>
      <c r="D344" s="2" t="s">
        <v>117</v>
      </c>
      <c r="E344" s="2" t="s">
        <v>49</v>
      </c>
      <c r="F344" s="2" t="s">
        <v>43</v>
      </c>
      <c r="G344" s="2" t="s">
        <v>121</v>
      </c>
      <c r="H344" s="2">
        <v>3</v>
      </c>
      <c r="I344" s="2">
        <v>4816.75</v>
      </c>
      <c r="J344" s="2">
        <v>0.03</v>
      </c>
      <c r="K344" s="2">
        <v>14016.75</v>
      </c>
      <c r="L344" s="2">
        <v>9746.1</v>
      </c>
      <c r="M344" s="2">
        <v>4270.6499999999996</v>
      </c>
      <c r="N344" s="2" t="s">
        <v>29</v>
      </c>
      <c r="O344" s="2" t="s">
        <v>59</v>
      </c>
    </row>
    <row r="345" spans="1:15" x14ac:dyDescent="0.3">
      <c r="A345" s="2" t="s">
        <v>448</v>
      </c>
      <c r="B345" s="3">
        <v>45803</v>
      </c>
      <c r="C345" s="2" t="s">
        <v>16</v>
      </c>
      <c r="D345" s="2" t="s">
        <v>82</v>
      </c>
      <c r="E345" s="2" t="s">
        <v>33</v>
      </c>
      <c r="F345" s="2" t="s">
        <v>43</v>
      </c>
      <c r="G345" s="2" t="s">
        <v>84</v>
      </c>
      <c r="H345" s="2">
        <v>2</v>
      </c>
      <c r="I345" s="2">
        <v>43318.17</v>
      </c>
      <c r="J345" s="2">
        <v>0.05</v>
      </c>
      <c r="K345" s="2">
        <v>82304.52</v>
      </c>
      <c r="L345" s="2">
        <v>67262.5</v>
      </c>
      <c r="M345" s="2">
        <v>15042.02</v>
      </c>
      <c r="N345" s="2" t="s">
        <v>58</v>
      </c>
      <c r="O345" s="2" t="s">
        <v>30</v>
      </c>
    </row>
    <row r="346" spans="1:15" x14ac:dyDescent="0.3">
      <c r="A346" s="2" t="s">
        <v>449</v>
      </c>
      <c r="B346" s="3">
        <v>45767</v>
      </c>
      <c r="C346" s="2" t="s">
        <v>37</v>
      </c>
      <c r="D346" s="2" t="s">
        <v>25</v>
      </c>
      <c r="E346" s="2" t="s">
        <v>56</v>
      </c>
      <c r="F346" s="2" t="s">
        <v>34</v>
      </c>
      <c r="G346" s="2" t="s">
        <v>57</v>
      </c>
      <c r="H346" s="2">
        <v>6</v>
      </c>
      <c r="I346" s="2">
        <v>21032.15</v>
      </c>
      <c r="J346" s="2">
        <v>0.05</v>
      </c>
      <c r="K346" s="2">
        <v>119883.24</v>
      </c>
      <c r="L346" s="2">
        <v>98090.89</v>
      </c>
      <c r="M346" s="2">
        <v>21792.35</v>
      </c>
      <c r="N346" s="2" t="s">
        <v>21</v>
      </c>
      <c r="O346" s="2" t="s">
        <v>40</v>
      </c>
    </row>
    <row r="347" spans="1:15" x14ac:dyDescent="0.3">
      <c r="A347" s="2" t="s">
        <v>450</v>
      </c>
      <c r="B347" s="3">
        <v>46014</v>
      </c>
      <c r="C347" s="2" t="s">
        <v>54</v>
      </c>
      <c r="D347" s="2" t="s">
        <v>48</v>
      </c>
      <c r="E347" s="2" t="s">
        <v>18</v>
      </c>
      <c r="F347" s="2" t="s">
        <v>19</v>
      </c>
      <c r="G347" s="2" t="s">
        <v>102</v>
      </c>
      <c r="H347" s="2">
        <v>8</v>
      </c>
      <c r="I347" s="2">
        <v>260.43</v>
      </c>
      <c r="J347" s="2">
        <v>0.03</v>
      </c>
      <c r="K347" s="2">
        <v>2020.97</v>
      </c>
      <c r="L347" s="2">
        <v>1295.8699999999999</v>
      </c>
      <c r="M347" s="2">
        <v>725.1</v>
      </c>
      <c r="N347" s="2" t="s">
        <v>58</v>
      </c>
      <c r="O347" s="2" t="s">
        <v>30</v>
      </c>
    </row>
    <row r="348" spans="1:15" x14ac:dyDescent="0.3">
      <c r="A348" s="2" t="s">
        <v>451</v>
      </c>
      <c r="B348" s="3">
        <v>45959</v>
      </c>
      <c r="C348" s="2" t="s">
        <v>16</v>
      </c>
      <c r="D348" s="2" t="s">
        <v>17</v>
      </c>
      <c r="E348" s="2" t="s">
        <v>65</v>
      </c>
      <c r="F348" s="2" t="s">
        <v>34</v>
      </c>
      <c r="G348" s="2" t="s">
        <v>80</v>
      </c>
      <c r="H348" s="2">
        <v>5</v>
      </c>
      <c r="I348" s="2">
        <v>4779.6899999999996</v>
      </c>
      <c r="J348" s="2">
        <v>0.1</v>
      </c>
      <c r="K348" s="2">
        <v>21508.62</v>
      </c>
      <c r="L348" s="2">
        <v>16587.650000000001</v>
      </c>
      <c r="M348" s="2">
        <v>4920.97</v>
      </c>
      <c r="N348" s="2" t="s">
        <v>29</v>
      </c>
      <c r="O348" s="2" t="s">
        <v>30</v>
      </c>
    </row>
    <row r="349" spans="1:15" x14ac:dyDescent="0.3">
      <c r="A349" s="2" t="s">
        <v>452</v>
      </c>
      <c r="B349" s="3">
        <v>45988</v>
      </c>
      <c r="C349" s="2" t="s">
        <v>54</v>
      </c>
      <c r="D349" s="2" t="s">
        <v>174</v>
      </c>
      <c r="E349" s="2" t="s">
        <v>26</v>
      </c>
      <c r="F349" s="2" t="s">
        <v>34</v>
      </c>
      <c r="G349" s="2" t="s">
        <v>80</v>
      </c>
      <c r="H349" s="2">
        <v>7</v>
      </c>
      <c r="I349" s="2">
        <v>4857.2299999999996</v>
      </c>
      <c r="J349" s="2">
        <v>0.1</v>
      </c>
      <c r="K349" s="2">
        <v>30600.57</v>
      </c>
      <c r="L349" s="2">
        <v>25177.200000000001</v>
      </c>
      <c r="M349" s="2">
        <v>5423.37</v>
      </c>
      <c r="N349" s="2" t="s">
        <v>58</v>
      </c>
      <c r="O349" s="2" t="s">
        <v>45</v>
      </c>
    </row>
    <row r="350" spans="1:15" x14ac:dyDescent="0.3">
      <c r="A350" s="2" t="s">
        <v>111</v>
      </c>
      <c r="B350" s="3">
        <v>45914</v>
      </c>
      <c r="C350" s="2" t="s">
        <v>16</v>
      </c>
      <c r="D350" s="2" t="s">
        <v>52</v>
      </c>
      <c r="E350" s="2" t="s">
        <v>74</v>
      </c>
      <c r="F350" s="2" t="s">
        <v>19</v>
      </c>
      <c r="G350" s="2" t="s">
        <v>61</v>
      </c>
      <c r="H350" s="2">
        <v>4</v>
      </c>
      <c r="I350" s="2" t="s">
        <v>453</v>
      </c>
      <c r="J350" s="2">
        <v>0.08</v>
      </c>
      <c r="K350" s="2">
        <v>32455.55</v>
      </c>
      <c r="L350" s="2">
        <v>24041.54</v>
      </c>
      <c r="M350" s="2">
        <v>8414.01</v>
      </c>
      <c r="N350" s="2" t="s">
        <v>29</v>
      </c>
      <c r="O350" s="2" t="s">
        <v>45</v>
      </c>
    </row>
    <row r="351" spans="1:15" x14ac:dyDescent="0.3">
      <c r="A351" s="2" t="s">
        <v>454</v>
      </c>
      <c r="B351" s="3">
        <v>45948</v>
      </c>
      <c r="C351" s="2" t="s">
        <v>16</v>
      </c>
      <c r="D351" s="2" t="s">
        <v>32</v>
      </c>
      <c r="E351" s="2" t="s">
        <v>49</v>
      </c>
      <c r="F351" s="2" t="s">
        <v>27</v>
      </c>
      <c r="G351" s="2" t="s">
        <v>125</v>
      </c>
      <c r="H351" s="2">
        <v>3</v>
      </c>
      <c r="I351" s="2">
        <v>8372.18</v>
      </c>
      <c r="J351" s="2">
        <v>0</v>
      </c>
      <c r="K351" s="2">
        <v>25116.53</v>
      </c>
      <c r="L351" s="2">
        <v>16055.83</v>
      </c>
      <c r="M351" s="2">
        <v>9060.7000000000007</v>
      </c>
      <c r="N351" s="2" t="s">
        <v>21</v>
      </c>
      <c r="O351" s="2" t="s">
        <v>59</v>
      </c>
    </row>
    <row r="352" spans="1:15" x14ac:dyDescent="0.3">
      <c r="A352" s="2" t="s">
        <v>455</v>
      </c>
      <c r="B352" s="3">
        <v>45795</v>
      </c>
      <c r="C352" s="2" t="s">
        <v>63</v>
      </c>
      <c r="D352" s="2" t="s">
        <v>88</v>
      </c>
      <c r="E352" s="2" t="s">
        <v>26</v>
      </c>
      <c r="F352" s="2" t="s">
        <v>34</v>
      </c>
      <c r="G352" s="2" t="s">
        <v>57</v>
      </c>
      <c r="H352" s="2">
        <v>2</v>
      </c>
      <c r="I352" s="2">
        <v>22223.15</v>
      </c>
      <c r="J352" s="2">
        <v>0.08</v>
      </c>
      <c r="K352" s="2">
        <v>40890.6</v>
      </c>
      <c r="L352" s="2">
        <v>33835.5</v>
      </c>
      <c r="M352" s="2">
        <v>7055.1</v>
      </c>
      <c r="N352" s="2" t="s">
        <v>21</v>
      </c>
      <c r="O352" s="2" t="s">
        <v>40</v>
      </c>
    </row>
    <row r="353" spans="1:15" x14ac:dyDescent="0.3">
      <c r="A353" s="2" t="s">
        <v>456</v>
      </c>
      <c r="B353" s="3">
        <v>45796</v>
      </c>
      <c r="C353" s="2" t="s">
        <v>54</v>
      </c>
      <c r="D353" s="2" t="s">
        <v>174</v>
      </c>
      <c r="E353" s="2" t="s">
        <v>69</v>
      </c>
      <c r="F353" s="2" t="s">
        <v>43</v>
      </c>
      <c r="G353" s="2" t="s">
        <v>75</v>
      </c>
      <c r="H353" s="2">
        <v>5</v>
      </c>
      <c r="I353" s="2">
        <v>35361.97</v>
      </c>
      <c r="J353" s="2">
        <v>0.03</v>
      </c>
      <c r="K353" s="2">
        <v>171505.54</v>
      </c>
      <c r="L353" s="2">
        <v>130900.65</v>
      </c>
      <c r="M353" s="2">
        <v>40604.89</v>
      </c>
      <c r="N353" s="2" t="s">
        <v>58</v>
      </c>
      <c r="O353" s="2" t="s">
        <v>40</v>
      </c>
    </row>
    <row r="354" spans="1:15" x14ac:dyDescent="0.3">
      <c r="A354" s="2" t="s">
        <v>457</v>
      </c>
      <c r="B354" s="3">
        <v>45671</v>
      </c>
      <c r="C354" s="2" t="s">
        <v>16</v>
      </c>
      <c r="D354" s="2" t="s">
        <v>32</v>
      </c>
      <c r="E354" s="2" t="s">
        <v>65</v>
      </c>
      <c r="F354" s="2" t="s">
        <v>27</v>
      </c>
      <c r="G354" s="2" t="s">
        <v>50</v>
      </c>
      <c r="H354" s="2">
        <v>2</v>
      </c>
      <c r="I354" s="2">
        <v>30717.64</v>
      </c>
      <c r="J354" s="2">
        <v>0.1</v>
      </c>
      <c r="K354" s="2">
        <v>55291.76</v>
      </c>
      <c r="L354" s="2">
        <v>43770.29</v>
      </c>
      <c r="M354" s="2">
        <v>11521.47</v>
      </c>
      <c r="N354" s="2" t="s">
        <v>21</v>
      </c>
      <c r="O354" s="2" t="s">
        <v>22</v>
      </c>
    </row>
    <row r="355" spans="1:15" x14ac:dyDescent="0.3">
      <c r="A355" s="2" t="s">
        <v>458</v>
      </c>
      <c r="B355" s="3">
        <v>45973</v>
      </c>
      <c r="C355" s="2" t="s">
        <v>54</v>
      </c>
      <c r="D355" s="2" t="s">
        <v>174</v>
      </c>
      <c r="E355" s="2" t="s">
        <v>18</v>
      </c>
      <c r="F355" s="2" t="s">
        <v>27</v>
      </c>
      <c r="G355" s="2" t="s">
        <v>66</v>
      </c>
      <c r="H355" s="2">
        <v>5</v>
      </c>
      <c r="I355" s="2">
        <v>11231.69</v>
      </c>
      <c r="J355" s="2">
        <v>0</v>
      </c>
      <c r="K355" s="2">
        <v>56158.46</v>
      </c>
      <c r="L355" s="2">
        <v>43501.56</v>
      </c>
      <c r="M355" s="2">
        <v>12656.9</v>
      </c>
      <c r="N355" s="2" t="s">
        <v>29</v>
      </c>
      <c r="O355" s="2" t="s">
        <v>59</v>
      </c>
    </row>
    <row r="356" spans="1:15" x14ac:dyDescent="0.3">
      <c r="A356" s="2" t="s">
        <v>459</v>
      </c>
      <c r="B356" s="3">
        <v>45866</v>
      </c>
      <c r="C356" s="2" t="s">
        <v>63</v>
      </c>
      <c r="D356" s="2" t="s">
        <v>95</v>
      </c>
      <c r="E356" s="2" t="s">
        <v>26</v>
      </c>
      <c r="F356" s="2" t="s">
        <v>460</v>
      </c>
      <c r="G356" s="2" t="s">
        <v>108</v>
      </c>
      <c r="H356" s="2">
        <v>7</v>
      </c>
      <c r="I356" s="2">
        <v>14290</v>
      </c>
      <c r="J356" s="2">
        <v>0</v>
      </c>
      <c r="K356" s="2">
        <v>100030</v>
      </c>
      <c r="L356" s="2">
        <v>75936.2</v>
      </c>
      <c r="M356" s="2">
        <v>24093.8</v>
      </c>
      <c r="N356" s="2" t="s">
        <v>58</v>
      </c>
      <c r="O356" s="2" t="s">
        <v>59</v>
      </c>
    </row>
    <row r="357" spans="1:15" x14ac:dyDescent="0.3">
      <c r="A357" s="2" t="s">
        <v>461</v>
      </c>
      <c r="B357" s="3">
        <v>45788</v>
      </c>
      <c r="C357" s="2" t="s">
        <v>37</v>
      </c>
      <c r="D357" s="2" t="s">
        <v>42</v>
      </c>
      <c r="E357" s="2" t="s">
        <v>56</v>
      </c>
      <c r="F357" s="2" t="s">
        <v>43</v>
      </c>
      <c r="G357" s="2" t="s">
        <v>44</v>
      </c>
      <c r="H357" s="2">
        <v>7</v>
      </c>
      <c r="I357" s="2">
        <v>12649.26</v>
      </c>
      <c r="J357" s="2">
        <v>0.1</v>
      </c>
      <c r="K357" s="2">
        <v>79690.320000000007</v>
      </c>
      <c r="L357" s="2">
        <v>67786.25</v>
      </c>
      <c r="M357" s="2">
        <v>11904.07</v>
      </c>
      <c r="N357" s="2" t="s">
        <v>29</v>
      </c>
      <c r="O357" s="2" t="s">
        <v>59</v>
      </c>
    </row>
    <row r="358" spans="1:15" x14ac:dyDescent="0.3">
      <c r="A358" s="2" t="s">
        <v>462</v>
      </c>
      <c r="B358" s="3">
        <v>45956</v>
      </c>
      <c r="C358" s="2" t="s">
        <v>16</v>
      </c>
      <c r="D358" s="2" t="s">
        <v>17</v>
      </c>
      <c r="E358" s="2" t="s">
        <v>33</v>
      </c>
      <c r="F358" s="2" t="s">
        <v>43</v>
      </c>
      <c r="G358" s="2" t="s">
        <v>75</v>
      </c>
      <c r="H358" s="2">
        <v>4</v>
      </c>
      <c r="I358" s="2">
        <v>33572.49</v>
      </c>
      <c r="J358" s="2">
        <v>0.08</v>
      </c>
      <c r="K358" s="2">
        <v>123546.77</v>
      </c>
      <c r="L358" s="2">
        <v>79413.149999999994</v>
      </c>
      <c r="M358" s="2">
        <v>44133.62</v>
      </c>
      <c r="N358" s="2" t="s">
        <v>21</v>
      </c>
      <c r="O358" s="2" t="s">
        <v>45</v>
      </c>
    </row>
    <row r="359" spans="1:15" x14ac:dyDescent="0.3">
      <c r="A359" s="2" t="s">
        <v>463</v>
      </c>
      <c r="B359" s="3">
        <v>45702</v>
      </c>
      <c r="C359" s="2" t="s">
        <v>16</v>
      </c>
      <c r="D359" s="2" t="s">
        <v>52</v>
      </c>
      <c r="E359" s="2" t="s">
        <v>56</v>
      </c>
      <c r="F359" s="2" t="s">
        <v>43</v>
      </c>
      <c r="G359" s="2" t="s">
        <v>91</v>
      </c>
      <c r="H359" s="2">
        <v>7</v>
      </c>
      <c r="I359" s="2">
        <v>50940.79</v>
      </c>
      <c r="J359" s="2">
        <v>0.08</v>
      </c>
      <c r="K359" s="2">
        <v>328058.65999999997</v>
      </c>
      <c r="L359" s="2">
        <v>220027.51</v>
      </c>
      <c r="M359" s="2">
        <v>108031.15</v>
      </c>
      <c r="N359" s="2" t="s">
        <v>58</v>
      </c>
      <c r="O359" s="2" t="s">
        <v>22</v>
      </c>
    </row>
    <row r="360" spans="1:15" x14ac:dyDescent="0.3">
      <c r="A360" s="2" t="s">
        <v>464</v>
      </c>
      <c r="B360" s="3">
        <v>45776</v>
      </c>
      <c r="C360" s="2" t="s">
        <v>63</v>
      </c>
      <c r="D360" s="2" t="s">
        <v>88</v>
      </c>
      <c r="E360" s="2" t="s">
        <v>26</v>
      </c>
      <c r="F360" s="2" t="s">
        <v>19</v>
      </c>
      <c r="G360" s="2" t="s">
        <v>106</v>
      </c>
      <c r="H360" s="2">
        <v>3</v>
      </c>
      <c r="I360" s="2">
        <v>12947.26</v>
      </c>
      <c r="J360" s="2">
        <v>0.1</v>
      </c>
      <c r="K360" s="2">
        <v>34957.599999999999</v>
      </c>
      <c r="L360" s="2">
        <v>26897.47</v>
      </c>
      <c r="M360" s="2">
        <v>8060.13</v>
      </c>
      <c r="N360" s="2" t="s">
        <v>29</v>
      </c>
      <c r="O360" s="2" t="s">
        <v>45</v>
      </c>
    </row>
    <row r="361" spans="1:15" x14ac:dyDescent="0.3">
      <c r="A361" s="2" t="s">
        <v>465</v>
      </c>
      <c r="B361" s="3">
        <v>45668</v>
      </c>
      <c r="C361" s="2" t="s">
        <v>37</v>
      </c>
      <c r="D361" s="2" t="s">
        <v>42</v>
      </c>
      <c r="E361" s="2" t="s">
        <v>49</v>
      </c>
      <c r="F361" s="2" t="s">
        <v>34</v>
      </c>
      <c r="G361" s="2" t="s">
        <v>35</v>
      </c>
      <c r="H361" s="2">
        <v>1</v>
      </c>
      <c r="I361" s="2">
        <v>18487.61</v>
      </c>
      <c r="J361" s="2">
        <v>0.1</v>
      </c>
      <c r="K361" s="2">
        <v>16638.849999999999</v>
      </c>
      <c r="L361" s="2">
        <v>11538.25</v>
      </c>
      <c r="M361" s="2">
        <v>5100.6000000000004</v>
      </c>
      <c r="N361" s="2" t="s">
        <v>58</v>
      </c>
      <c r="O361" s="2" t="s">
        <v>40</v>
      </c>
    </row>
    <row r="362" spans="1:15" x14ac:dyDescent="0.3">
      <c r="A362" s="2" t="s">
        <v>466</v>
      </c>
      <c r="B362" s="3">
        <v>45783</v>
      </c>
      <c r="C362" s="2" t="s">
        <v>37</v>
      </c>
      <c r="D362" s="2" t="s">
        <v>38</v>
      </c>
      <c r="E362" s="2" t="s">
        <v>49</v>
      </c>
      <c r="F362" s="2" t="s">
        <v>34</v>
      </c>
      <c r="G362" s="2" t="s">
        <v>39</v>
      </c>
      <c r="H362" s="2">
        <v>8</v>
      </c>
      <c r="I362" s="2">
        <v>28403.96</v>
      </c>
      <c r="J362" s="2">
        <v>0</v>
      </c>
      <c r="K362" s="2">
        <v>227231.66</v>
      </c>
      <c r="L362" s="2">
        <v>193950.95</v>
      </c>
      <c r="M362" s="2">
        <v>33280.71</v>
      </c>
      <c r="N362" s="2" t="s">
        <v>21</v>
      </c>
      <c r="O362" s="2" t="s">
        <v>40</v>
      </c>
    </row>
    <row r="363" spans="1:15" x14ac:dyDescent="0.3">
      <c r="A363" s="2" t="s">
        <v>467</v>
      </c>
      <c r="B363" s="3">
        <v>45782</v>
      </c>
      <c r="C363" s="2" t="s">
        <v>37</v>
      </c>
      <c r="D363" s="2" t="s">
        <v>42</v>
      </c>
      <c r="E363" s="2" t="s">
        <v>69</v>
      </c>
      <c r="F363" s="2" t="s">
        <v>34</v>
      </c>
      <c r="G363" s="2" t="s">
        <v>80</v>
      </c>
      <c r="H363" s="2">
        <v>6</v>
      </c>
      <c r="I363" s="2">
        <v>4154.7700000000004</v>
      </c>
      <c r="J363" s="2">
        <v>0.1</v>
      </c>
      <c r="K363" s="2">
        <v>22435.78</v>
      </c>
      <c r="L363" s="2">
        <v>15878.77</v>
      </c>
      <c r="M363" s="2">
        <v>6557.01</v>
      </c>
      <c r="N363" s="2" t="s">
        <v>21</v>
      </c>
      <c r="O363" s="2" t="s">
        <v>40</v>
      </c>
    </row>
    <row r="364" spans="1:15" x14ac:dyDescent="0.3">
      <c r="A364" s="2" t="s">
        <v>468</v>
      </c>
      <c r="B364" s="3">
        <v>45849</v>
      </c>
      <c r="C364" s="2" t="s">
        <v>37</v>
      </c>
      <c r="D364" s="2" t="s">
        <v>25</v>
      </c>
      <c r="E364" s="2" t="s">
        <v>49</v>
      </c>
      <c r="F364" s="2" t="s">
        <v>34</v>
      </c>
      <c r="G364" s="2" t="s">
        <v>39</v>
      </c>
      <c r="H364" s="2">
        <v>7</v>
      </c>
      <c r="I364" s="2">
        <v>29051.61</v>
      </c>
      <c r="J364" s="2">
        <v>0.05</v>
      </c>
      <c r="K364" s="2">
        <v>193193.23</v>
      </c>
      <c r="L364" s="2">
        <v>157049.32</v>
      </c>
      <c r="M364" s="2">
        <v>36143.910000000003</v>
      </c>
      <c r="N364" s="2" t="s">
        <v>29</v>
      </c>
      <c r="O364" s="2" t="s">
        <v>22</v>
      </c>
    </row>
    <row r="365" spans="1:15" x14ac:dyDescent="0.3">
      <c r="A365" s="2" t="s">
        <v>469</v>
      </c>
      <c r="B365" s="3">
        <v>45838</v>
      </c>
      <c r="C365" s="2" t="s">
        <v>37</v>
      </c>
      <c r="D365" s="2" t="s">
        <v>42</v>
      </c>
      <c r="E365" s="2" t="s">
        <v>74</v>
      </c>
      <c r="F365" s="2" t="s">
        <v>27</v>
      </c>
      <c r="G365" s="2" t="s">
        <v>89</v>
      </c>
      <c r="H365" s="2" t="s">
        <v>264</v>
      </c>
      <c r="I365" s="2">
        <v>34479.279999999999</v>
      </c>
      <c r="J365" s="2">
        <v>0.05</v>
      </c>
      <c r="K365" s="2">
        <v>229287.22</v>
      </c>
      <c r="L365" s="2">
        <v>181514.02</v>
      </c>
      <c r="M365" s="2">
        <v>47773.2</v>
      </c>
      <c r="N365" s="2" t="s">
        <v>21</v>
      </c>
      <c r="O365" s="2" t="s">
        <v>30</v>
      </c>
    </row>
    <row r="366" spans="1:15" x14ac:dyDescent="0.3">
      <c r="A366" s="2" t="s">
        <v>470</v>
      </c>
      <c r="B366" s="3">
        <v>45824</v>
      </c>
      <c r="C366" s="2" t="s">
        <v>37</v>
      </c>
      <c r="D366" s="2" t="s">
        <v>68</v>
      </c>
      <c r="E366" s="2" t="s">
        <v>26</v>
      </c>
      <c r="F366" s="2" t="s">
        <v>43</v>
      </c>
      <c r="G366" s="2" t="s">
        <v>91</v>
      </c>
      <c r="H366" s="2">
        <v>8</v>
      </c>
      <c r="I366" s="2">
        <v>49261.07</v>
      </c>
      <c r="J366" s="2">
        <v>0.03</v>
      </c>
      <c r="K366" s="2">
        <v>382265.9</v>
      </c>
      <c r="L366" s="2">
        <v>241129.79</v>
      </c>
      <c r="M366" s="2">
        <v>141136.10999999999</v>
      </c>
      <c r="N366" s="2" t="s">
        <v>29</v>
      </c>
      <c r="O366" s="2" t="s">
        <v>30</v>
      </c>
    </row>
    <row r="367" spans="1:15" x14ac:dyDescent="0.3">
      <c r="A367" s="2" t="s">
        <v>471</v>
      </c>
      <c r="B367" s="3">
        <v>45984</v>
      </c>
      <c r="C367" s="2" t="s">
        <v>54</v>
      </c>
      <c r="D367" s="2" t="s">
        <v>48</v>
      </c>
      <c r="E367" s="2" t="s">
        <v>69</v>
      </c>
      <c r="F367" s="2" t="s">
        <v>43</v>
      </c>
      <c r="G367" s="2" t="s">
        <v>121</v>
      </c>
      <c r="H367" s="2">
        <v>8</v>
      </c>
      <c r="I367" s="2">
        <v>5124.84</v>
      </c>
      <c r="J367" s="2">
        <v>0.05</v>
      </c>
      <c r="K367" s="2">
        <v>38948.81</v>
      </c>
      <c r="L367" s="2">
        <v>30570.51</v>
      </c>
      <c r="M367" s="2">
        <v>8378.2999999999993</v>
      </c>
      <c r="N367" s="2" t="s">
        <v>21</v>
      </c>
      <c r="O367" s="2" t="s">
        <v>59</v>
      </c>
    </row>
    <row r="368" spans="1:15" x14ac:dyDescent="0.3">
      <c r="A368" s="2" t="s">
        <v>60</v>
      </c>
      <c r="B368" s="3">
        <v>45756</v>
      </c>
      <c r="C368" s="2" t="s">
        <v>37</v>
      </c>
      <c r="D368" s="2" t="s">
        <v>38</v>
      </c>
      <c r="E368" s="2" t="s">
        <v>56</v>
      </c>
      <c r="F368" s="2" t="s">
        <v>19</v>
      </c>
      <c r="G368" s="2" t="s">
        <v>61</v>
      </c>
      <c r="H368" s="2">
        <v>1</v>
      </c>
      <c r="I368" s="2">
        <v>8371.52</v>
      </c>
      <c r="J368" s="2">
        <v>0.03</v>
      </c>
      <c r="K368" s="2">
        <v>8120.38</v>
      </c>
      <c r="L368" s="2">
        <v>5668.38</v>
      </c>
      <c r="M368" s="2">
        <v>2452</v>
      </c>
      <c r="N368" s="2" t="s">
        <v>29</v>
      </c>
      <c r="O368" s="2" t="s">
        <v>22</v>
      </c>
    </row>
    <row r="369" spans="1:15" x14ac:dyDescent="0.3">
      <c r="A369" s="2" t="s">
        <v>472</v>
      </c>
      <c r="B369" s="3">
        <v>45788</v>
      </c>
      <c r="C369" s="2" t="s">
        <v>54</v>
      </c>
      <c r="D369" s="2" t="s">
        <v>55</v>
      </c>
      <c r="E369" s="2" t="s">
        <v>56</v>
      </c>
      <c r="F369" s="2" t="s">
        <v>19</v>
      </c>
      <c r="G369" s="2" t="s">
        <v>106</v>
      </c>
      <c r="H369" s="2">
        <v>6</v>
      </c>
      <c r="I369" s="2">
        <v>13174.9</v>
      </c>
      <c r="J369" s="2">
        <v>0.1</v>
      </c>
      <c r="K369" s="2">
        <v>71144.479999999996</v>
      </c>
      <c r="L369" s="2">
        <v>46932.06</v>
      </c>
      <c r="M369" s="2">
        <v>24212.42</v>
      </c>
      <c r="N369" s="2" t="s">
        <v>21</v>
      </c>
      <c r="O369" s="2" t="s">
        <v>59</v>
      </c>
    </row>
    <row r="370" spans="1:15" x14ac:dyDescent="0.3">
      <c r="A370" s="2" t="s">
        <v>473</v>
      </c>
      <c r="B370" s="3">
        <v>45844</v>
      </c>
      <c r="C370" s="2" t="s">
        <v>54</v>
      </c>
      <c r="D370" s="2" t="s">
        <v>55</v>
      </c>
      <c r="E370" s="2" t="s">
        <v>65</v>
      </c>
      <c r="F370" s="2" t="s">
        <v>43</v>
      </c>
      <c r="G370" s="2" t="s">
        <v>84</v>
      </c>
      <c r="H370" s="2">
        <v>6</v>
      </c>
      <c r="I370" s="2">
        <v>41156.959999999999</v>
      </c>
      <c r="J370" s="2">
        <v>0.1</v>
      </c>
      <c r="K370" s="2">
        <v>222247.61</v>
      </c>
      <c r="L370" s="2">
        <v>157389.93</v>
      </c>
      <c r="M370" s="2">
        <v>64857.68</v>
      </c>
      <c r="N370" s="2" t="s">
        <v>21</v>
      </c>
      <c r="O370" s="2" t="s">
        <v>22</v>
      </c>
    </row>
    <row r="371" spans="1:15" x14ac:dyDescent="0.3">
      <c r="A371" s="2" t="s">
        <v>474</v>
      </c>
      <c r="B371" s="3">
        <v>45670</v>
      </c>
      <c r="C371" s="2" t="s">
        <v>54</v>
      </c>
      <c r="D371" s="2" t="s">
        <v>174</v>
      </c>
      <c r="E371" s="2" t="s">
        <v>65</v>
      </c>
      <c r="F371" s="2" t="s">
        <v>34</v>
      </c>
      <c r="G371" s="2" t="s">
        <v>70</v>
      </c>
      <c r="H371" s="2">
        <v>7</v>
      </c>
      <c r="I371" s="2">
        <v>62093.24</v>
      </c>
      <c r="J371" s="2">
        <v>0.03</v>
      </c>
      <c r="K371" s="2">
        <v>421613.13</v>
      </c>
      <c r="L371" s="2">
        <v>349844.97</v>
      </c>
      <c r="M371" s="2">
        <v>71768.160000000003</v>
      </c>
      <c r="N371" s="2" t="s">
        <v>29</v>
      </c>
      <c r="O371" s="2" t="s">
        <v>59</v>
      </c>
    </row>
    <row r="372" spans="1:15" x14ac:dyDescent="0.3">
      <c r="A372" s="2" t="s">
        <v>475</v>
      </c>
      <c r="B372" s="3">
        <v>45985</v>
      </c>
      <c r="C372" s="2" t="s">
        <v>54</v>
      </c>
      <c r="D372" s="2" t="s">
        <v>55</v>
      </c>
      <c r="E372" s="2" t="s">
        <v>49</v>
      </c>
      <c r="F372" s="2" t="s">
        <v>19</v>
      </c>
      <c r="G372" s="2" t="s">
        <v>102</v>
      </c>
      <c r="H372" s="2">
        <v>1</v>
      </c>
      <c r="I372" s="2">
        <v>252.17</v>
      </c>
      <c r="J372" s="2">
        <v>0.03</v>
      </c>
      <c r="K372" s="2" t="s">
        <v>476</v>
      </c>
      <c r="L372" s="2">
        <v>168.91</v>
      </c>
      <c r="M372" s="2">
        <v>75.7</v>
      </c>
      <c r="N372" s="2" t="s">
        <v>58</v>
      </c>
      <c r="O372" s="2" t="s">
        <v>45</v>
      </c>
    </row>
    <row r="373" spans="1:15" x14ac:dyDescent="0.3">
      <c r="A373" s="2" t="s">
        <v>477</v>
      </c>
      <c r="B373" s="3">
        <v>45929</v>
      </c>
      <c r="C373" s="2" t="s">
        <v>54</v>
      </c>
      <c r="D373" s="2" t="s">
        <v>55</v>
      </c>
      <c r="E373" s="2" t="s">
        <v>26</v>
      </c>
      <c r="F373" s="2" t="s">
        <v>27</v>
      </c>
      <c r="G373" s="2" t="s">
        <v>66</v>
      </c>
      <c r="H373" s="2">
        <v>5</v>
      </c>
      <c r="I373" s="2">
        <v>10943.8</v>
      </c>
      <c r="J373" s="2">
        <v>0.05</v>
      </c>
      <c r="K373" s="2">
        <v>51983.06</v>
      </c>
      <c r="L373" s="2">
        <v>41718.39</v>
      </c>
      <c r="M373" s="2">
        <v>10264.67</v>
      </c>
      <c r="N373" s="2" t="s">
        <v>29</v>
      </c>
      <c r="O373" s="2" t="s">
        <v>59</v>
      </c>
    </row>
    <row r="374" spans="1:15" x14ac:dyDescent="0.3">
      <c r="A374" s="2" t="s">
        <v>478</v>
      </c>
      <c r="B374" s="3">
        <v>45751</v>
      </c>
      <c r="C374" s="2" t="s">
        <v>16</v>
      </c>
      <c r="D374" s="2" t="s">
        <v>52</v>
      </c>
      <c r="E374" s="2" t="s">
        <v>18</v>
      </c>
      <c r="F374" s="2" t="s">
        <v>27</v>
      </c>
      <c r="G374" s="2" t="s">
        <v>28</v>
      </c>
      <c r="H374" s="2">
        <v>5</v>
      </c>
      <c r="I374" s="2">
        <v>28932.39</v>
      </c>
      <c r="J374" s="2">
        <v>0.05</v>
      </c>
      <c r="K374" s="2">
        <v>137428.82999999999</v>
      </c>
      <c r="L374" s="2">
        <v>107449.54</v>
      </c>
      <c r="M374" s="2">
        <v>29979.29</v>
      </c>
      <c r="N374" s="2" t="s">
        <v>21</v>
      </c>
      <c r="O374" s="2" t="s">
        <v>30</v>
      </c>
    </row>
    <row r="375" spans="1:15" x14ac:dyDescent="0.3">
      <c r="A375" s="2" t="s">
        <v>479</v>
      </c>
      <c r="B375" s="3">
        <v>45970</v>
      </c>
      <c r="C375" s="2" t="s">
        <v>16</v>
      </c>
      <c r="D375" s="2" t="s">
        <v>82</v>
      </c>
      <c r="E375" s="2" t="s">
        <v>18</v>
      </c>
      <c r="F375" s="2" t="s">
        <v>27</v>
      </c>
      <c r="G375" s="2" t="s">
        <v>28</v>
      </c>
      <c r="H375" s="2">
        <v>4</v>
      </c>
      <c r="I375" s="2">
        <v>28005.71</v>
      </c>
      <c r="J375" s="2">
        <v>0</v>
      </c>
      <c r="K375" s="2">
        <v>112022.86</v>
      </c>
      <c r="L375" s="2">
        <v>70392.789999999994</v>
      </c>
      <c r="M375" s="2">
        <v>41630.07</v>
      </c>
      <c r="N375" s="2" t="s">
        <v>29</v>
      </c>
      <c r="O375" s="2" t="s">
        <v>30</v>
      </c>
    </row>
    <row r="376" spans="1:15" x14ac:dyDescent="0.3">
      <c r="A376" s="2" t="s">
        <v>480</v>
      </c>
      <c r="B376" s="3">
        <v>45812</v>
      </c>
      <c r="C376" s="2" t="s">
        <v>54</v>
      </c>
      <c r="D376" s="2" t="s">
        <v>174</v>
      </c>
      <c r="E376" s="2" t="s">
        <v>33</v>
      </c>
      <c r="F376" s="2" t="s">
        <v>34</v>
      </c>
      <c r="G376" s="2" t="s">
        <v>35</v>
      </c>
      <c r="H376" s="2">
        <v>1</v>
      </c>
      <c r="I376" s="2">
        <v>18787.34</v>
      </c>
      <c r="J376" s="2">
        <v>0.1</v>
      </c>
      <c r="K376" s="2">
        <v>16908.599999999999</v>
      </c>
      <c r="L376" s="2">
        <v>11250.87</v>
      </c>
      <c r="M376" s="2">
        <v>5657.73</v>
      </c>
      <c r="N376" s="2" t="s">
        <v>21</v>
      </c>
      <c r="O376" s="2" t="s">
        <v>30</v>
      </c>
    </row>
    <row r="377" spans="1:15" x14ac:dyDescent="0.3">
      <c r="A377" s="2" t="s">
        <v>481</v>
      </c>
      <c r="B377" s="3">
        <v>45998</v>
      </c>
      <c r="C377" s="2" t="s">
        <v>63</v>
      </c>
      <c r="D377" s="2" t="s">
        <v>117</v>
      </c>
      <c r="E377" s="2" t="s">
        <v>74</v>
      </c>
      <c r="F377" s="2" t="s">
        <v>34</v>
      </c>
      <c r="G377" s="2" t="s">
        <v>57</v>
      </c>
      <c r="H377" s="2">
        <v>7</v>
      </c>
      <c r="I377" s="2">
        <v>22960.16</v>
      </c>
      <c r="J377" s="2">
        <v>0.03</v>
      </c>
      <c r="K377" s="2">
        <v>155899.46</v>
      </c>
      <c r="L377" s="2">
        <v>122002.92</v>
      </c>
      <c r="M377" s="2">
        <v>33896.54</v>
      </c>
      <c r="N377" s="2" t="s">
        <v>58</v>
      </c>
      <c r="O377" s="2" t="s">
        <v>59</v>
      </c>
    </row>
    <row r="378" spans="1:15" x14ac:dyDescent="0.3">
      <c r="A378" s="2" t="s">
        <v>482</v>
      </c>
      <c r="B378" s="3">
        <v>45772</v>
      </c>
      <c r="C378" s="2" t="s">
        <v>16</v>
      </c>
      <c r="D378" s="2" t="s">
        <v>17</v>
      </c>
      <c r="E378" s="2" t="s">
        <v>26</v>
      </c>
      <c r="F378" s="2" t="s">
        <v>43</v>
      </c>
      <c r="G378" s="2" t="s">
        <v>84</v>
      </c>
      <c r="H378" s="2">
        <v>1</v>
      </c>
      <c r="I378" s="2">
        <v>40215.339999999997</v>
      </c>
      <c r="J378" s="2">
        <v>0.05</v>
      </c>
      <c r="K378" s="2">
        <v>38204.57</v>
      </c>
      <c r="L378" s="2">
        <v>23962.86</v>
      </c>
      <c r="M378" s="2">
        <v>14241.71</v>
      </c>
      <c r="N378" s="2" t="s">
        <v>21</v>
      </c>
      <c r="O378" s="2" t="s">
        <v>22</v>
      </c>
    </row>
    <row r="379" spans="1:15" x14ac:dyDescent="0.3">
      <c r="A379" s="2" t="s">
        <v>483</v>
      </c>
      <c r="B379" s="3">
        <v>45871</v>
      </c>
      <c r="C379" s="2" t="s">
        <v>63</v>
      </c>
      <c r="D379" s="2" t="s">
        <v>64</v>
      </c>
      <c r="E379" s="2" t="s">
        <v>56</v>
      </c>
      <c r="F379" s="2" t="s">
        <v>19</v>
      </c>
      <c r="G379" s="2" t="s">
        <v>102</v>
      </c>
      <c r="H379" s="2">
        <v>2</v>
      </c>
      <c r="I379" s="2">
        <v>254.78</v>
      </c>
      <c r="J379" s="2">
        <v>0.08</v>
      </c>
      <c r="K379" s="2">
        <v>468.8</v>
      </c>
      <c r="L379" s="2">
        <v>347.62</v>
      </c>
      <c r="M379" s="2">
        <v>121.18</v>
      </c>
      <c r="N379" s="2" t="s">
        <v>21</v>
      </c>
      <c r="O379" s="2" t="s">
        <v>22</v>
      </c>
    </row>
    <row r="380" spans="1:15" x14ac:dyDescent="0.3">
      <c r="A380" s="2" t="s">
        <v>484</v>
      </c>
      <c r="B380" s="3">
        <v>45909</v>
      </c>
      <c r="C380" s="2" t="s">
        <v>16</v>
      </c>
      <c r="D380" s="2" t="s">
        <v>17</v>
      </c>
      <c r="E380" s="2" t="s">
        <v>49</v>
      </c>
      <c r="F380" s="2" t="s">
        <v>485</v>
      </c>
      <c r="G380" s="2" t="s">
        <v>108</v>
      </c>
      <c r="H380" s="2">
        <v>1</v>
      </c>
      <c r="I380" s="2">
        <v>14632.53</v>
      </c>
      <c r="J380" s="2">
        <v>0.05</v>
      </c>
      <c r="K380" s="2">
        <v>13900.9</v>
      </c>
      <c r="L380" s="2">
        <v>11269.12</v>
      </c>
      <c r="M380" s="2">
        <v>2631.78</v>
      </c>
      <c r="N380" s="2" t="s">
        <v>21</v>
      </c>
      <c r="O380" s="2" t="s">
        <v>22</v>
      </c>
    </row>
    <row r="381" spans="1:15" x14ac:dyDescent="0.3">
      <c r="A381" s="2" t="s">
        <v>486</v>
      </c>
      <c r="B381" s="3">
        <v>45794</v>
      </c>
      <c r="C381" s="2" t="s">
        <v>54</v>
      </c>
      <c r="D381" s="2" t="s">
        <v>48</v>
      </c>
      <c r="E381" s="2" t="s">
        <v>33</v>
      </c>
      <c r="F381" s="2" t="s">
        <v>27</v>
      </c>
      <c r="G381" s="2" t="s">
        <v>89</v>
      </c>
      <c r="H381" s="2">
        <v>7</v>
      </c>
      <c r="I381" s="2">
        <v>34482.410000000003</v>
      </c>
      <c r="J381" s="2">
        <v>0.1</v>
      </c>
      <c r="K381" s="2">
        <v>217239.18</v>
      </c>
      <c r="L381" s="2">
        <v>158296.82</v>
      </c>
      <c r="M381" s="2">
        <v>58942.36</v>
      </c>
      <c r="N381" s="2" t="s">
        <v>21</v>
      </c>
      <c r="O381" s="2" t="s">
        <v>40</v>
      </c>
    </row>
    <row r="382" spans="1:15" x14ac:dyDescent="0.3">
      <c r="A382" s="2" t="s">
        <v>487</v>
      </c>
      <c r="B382" s="3">
        <v>45939</v>
      </c>
      <c r="C382" s="2" t="s">
        <v>37</v>
      </c>
      <c r="D382" s="2" t="s">
        <v>38</v>
      </c>
      <c r="E382" s="2" t="s">
        <v>74</v>
      </c>
      <c r="F382" s="2" t="s">
        <v>43</v>
      </c>
      <c r="G382" s="2" t="s">
        <v>75</v>
      </c>
      <c r="H382" s="2">
        <v>3</v>
      </c>
      <c r="I382" s="2">
        <v>34540.75</v>
      </c>
      <c r="J382" s="2">
        <v>0.05</v>
      </c>
      <c r="K382" s="2">
        <v>98441.15</v>
      </c>
      <c r="L382" s="2">
        <v>76671.8</v>
      </c>
      <c r="M382" s="2">
        <v>21769.35</v>
      </c>
      <c r="N382" s="2" t="s">
        <v>29</v>
      </c>
      <c r="O382" s="2" t="s">
        <v>59</v>
      </c>
    </row>
    <row r="383" spans="1:15" x14ac:dyDescent="0.3">
      <c r="A383" s="2" t="s">
        <v>488</v>
      </c>
      <c r="B383" s="3">
        <v>45701</v>
      </c>
      <c r="C383" s="2" t="s">
        <v>37</v>
      </c>
      <c r="D383" s="2" t="s">
        <v>42</v>
      </c>
      <c r="E383" s="2" t="s">
        <v>65</v>
      </c>
      <c r="F383" s="2" t="s">
        <v>34</v>
      </c>
      <c r="G383" s="2" t="s">
        <v>57</v>
      </c>
      <c r="H383" s="2">
        <v>8</v>
      </c>
      <c r="I383" s="2">
        <v>23000.41</v>
      </c>
      <c r="J383" s="2">
        <v>0.05</v>
      </c>
      <c r="K383" s="2">
        <v>174803.08</v>
      </c>
      <c r="L383" s="2">
        <v>144665.46</v>
      </c>
      <c r="M383" s="2">
        <v>30137.62</v>
      </c>
      <c r="N383" s="2" t="s">
        <v>21</v>
      </c>
      <c r="O383" s="2" t="s">
        <v>59</v>
      </c>
    </row>
    <row r="384" spans="1:15" x14ac:dyDescent="0.3">
      <c r="A384" s="2" t="s">
        <v>489</v>
      </c>
      <c r="B384" s="3">
        <v>45723</v>
      </c>
      <c r="C384" s="2" t="s">
        <v>54</v>
      </c>
      <c r="D384" s="2" t="s">
        <v>48</v>
      </c>
      <c r="E384" s="2" t="s">
        <v>49</v>
      </c>
      <c r="F384" s="2" t="s">
        <v>19</v>
      </c>
      <c r="G384" s="2" t="s">
        <v>102</v>
      </c>
      <c r="H384" s="2">
        <v>7</v>
      </c>
      <c r="I384" s="2">
        <v>241.95</v>
      </c>
      <c r="J384" s="2">
        <v>0</v>
      </c>
      <c r="K384" s="2">
        <v>1693.68</v>
      </c>
      <c r="L384" s="2">
        <v>1228.96</v>
      </c>
      <c r="M384" s="2">
        <v>464.72</v>
      </c>
      <c r="N384" s="2" t="s">
        <v>21</v>
      </c>
      <c r="O384" s="2" t="s">
        <v>59</v>
      </c>
    </row>
    <row r="385" spans="1:15" x14ac:dyDescent="0.3">
      <c r="A385" s="2" t="s">
        <v>490</v>
      </c>
      <c r="B385" s="3">
        <v>45907</v>
      </c>
      <c r="C385" s="2" t="s">
        <v>63</v>
      </c>
      <c r="D385" s="2" t="s">
        <v>88</v>
      </c>
      <c r="E385" s="2" t="s">
        <v>56</v>
      </c>
      <c r="F385" s="2" t="s">
        <v>27</v>
      </c>
      <c r="G385" s="2" t="s">
        <v>125</v>
      </c>
      <c r="H385" s="2">
        <v>6</v>
      </c>
      <c r="I385" s="2">
        <v>8480.7099999999991</v>
      </c>
      <c r="J385" s="2">
        <v>0</v>
      </c>
      <c r="K385" s="2">
        <v>50884.27</v>
      </c>
      <c r="L385" s="2">
        <v>39878.86</v>
      </c>
      <c r="M385" s="2">
        <v>11005.41</v>
      </c>
      <c r="N385" s="2" t="s">
        <v>21</v>
      </c>
      <c r="O385" s="2" t="s">
        <v>30</v>
      </c>
    </row>
    <row r="386" spans="1:15" x14ac:dyDescent="0.3">
      <c r="A386" s="2" t="s">
        <v>491</v>
      </c>
      <c r="B386" s="3">
        <v>45675</v>
      </c>
      <c r="C386" s="2" t="s">
        <v>37</v>
      </c>
      <c r="D386" s="2" t="s">
        <v>68</v>
      </c>
      <c r="E386" s="2" t="s">
        <v>33</v>
      </c>
      <c r="F386" s="2" t="s">
        <v>43</v>
      </c>
      <c r="G386" s="2" t="s">
        <v>84</v>
      </c>
      <c r="H386" s="2">
        <v>3</v>
      </c>
      <c r="I386" s="2">
        <v>40951.4</v>
      </c>
      <c r="J386" s="2">
        <v>0.08</v>
      </c>
      <c r="K386" s="2">
        <v>113025.85</v>
      </c>
      <c r="L386" s="2">
        <v>87943.01</v>
      </c>
      <c r="M386" s="2">
        <v>25082.84</v>
      </c>
      <c r="N386" s="2" t="s">
        <v>21</v>
      </c>
      <c r="O386" s="2" t="s">
        <v>22</v>
      </c>
    </row>
    <row r="387" spans="1:15" x14ac:dyDescent="0.3">
      <c r="A387" s="2" t="s">
        <v>492</v>
      </c>
      <c r="B387" s="3">
        <v>45718</v>
      </c>
      <c r="C387" s="2" t="s">
        <v>63</v>
      </c>
      <c r="D387" s="2" t="s">
        <v>64</v>
      </c>
      <c r="E387" s="2" t="s">
        <v>26</v>
      </c>
      <c r="F387" s="2" t="s">
        <v>27</v>
      </c>
      <c r="G387" s="2" t="s">
        <v>28</v>
      </c>
      <c r="H387" s="2">
        <v>2</v>
      </c>
      <c r="I387" s="2">
        <v>27224.04</v>
      </c>
      <c r="J387" s="2">
        <v>0</v>
      </c>
      <c r="K387" s="2">
        <v>54448.08</v>
      </c>
      <c r="L387" s="2">
        <v>44558.8</v>
      </c>
      <c r="M387" s="2">
        <v>9889.2800000000007</v>
      </c>
      <c r="N387" s="2" t="s">
        <v>58</v>
      </c>
      <c r="O387" s="2" t="s">
        <v>59</v>
      </c>
    </row>
    <row r="388" spans="1:15" x14ac:dyDescent="0.3">
      <c r="A388" s="2" t="s">
        <v>493</v>
      </c>
      <c r="B388" s="3">
        <v>46017</v>
      </c>
      <c r="C388" s="2" t="s">
        <v>63</v>
      </c>
      <c r="D388" s="2" t="s">
        <v>64</v>
      </c>
      <c r="E388" s="2" t="s">
        <v>65</v>
      </c>
      <c r="F388" s="2" t="s">
        <v>34</v>
      </c>
      <c r="G388" s="2" t="s">
        <v>80</v>
      </c>
      <c r="H388" s="2">
        <v>6</v>
      </c>
      <c r="I388" s="2">
        <v>4294.58</v>
      </c>
      <c r="J388" s="2">
        <v>0</v>
      </c>
      <c r="K388" s="2">
        <v>25767.49</v>
      </c>
      <c r="L388" s="2">
        <v>19654.5</v>
      </c>
      <c r="M388" s="2">
        <v>6112.99</v>
      </c>
      <c r="N388" s="2" t="s">
        <v>21</v>
      </c>
      <c r="O388" s="2" t="s">
        <v>22</v>
      </c>
    </row>
    <row r="389" spans="1:15" x14ac:dyDescent="0.3">
      <c r="A389" s="2" t="s">
        <v>494</v>
      </c>
      <c r="B389" s="3">
        <v>45751</v>
      </c>
      <c r="C389" s="2" t="s">
        <v>16</v>
      </c>
      <c r="D389" s="2" t="s">
        <v>82</v>
      </c>
      <c r="E389" s="2" t="s">
        <v>18</v>
      </c>
      <c r="F389" s="2" t="s">
        <v>34</v>
      </c>
      <c r="G389" s="2" t="s">
        <v>57</v>
      </c>
      <c r="H389" s="2">
        <v>8</v>
      </c>
      <c r="I389" s="2">
        <v>21283.18</v>
      </c>
      <c r="J389" s="2">
        <v>0.1</v>
      </c>
      <c r="K389" s="2">
        <v>153238.89000000001</v>
      </c>
      <c r="L389" s="2">
        <v>125119.19</v>
      </c>
      <c r="M389" s="2">
        <v>28119.7</v>
      </c>
      <c r="N389" s="2" t="s">
        <v>21</v>
      </c>
      <c r="O389" s="2" t="s">
        <v>59</v>
      </c>
    </row>
    <row r="390" spans="1:15" x14ac:dyDescent="0.3">
      <c r="A390" s="2" t="s">
        <v>495</v>
      </c>
      <c r="B390" s="3">
        <v>45768</v>
      </c>
      <c r="C390" s="2" t="s">
        <v>16</v>
      </c>
      <c r="D390" s="2" t="s">
        <v>32</v>
      </c>
      <c r="E390" s="2" t="s">
        <v>33</v>
      </c>
      <c r="F390" s="2" t="s">
        <v>34</v>
      </c>
      <c r="G390" s="2" t="s">
        <v>35</v>
      </c>
      <c r="H390" s="2">
        <v>1</v>
      </c>
      <c r="I390" s="2">
        <v>18552.990000000002</v>
      </c>
      <c r="J390" s="2">
        <v>0.05</v>
      </c>
      <c r="K390" s="2">
        <v>17625.34</v>
      </c>
      <c r="L390" s="2">
        <v>11885.92</v>
      </c>
      <c r="M390" s="2">
        <v>5739.42</v>
      </c>
      <c r="N390" s="2" t="s">
        <v>29</v>
      </c>
      <c r="O390" s="2" t="s">
        <v>30</v>
      </c>
    </row>
    <row r="391" spans="1:15" x14ac:dyDescent="0.3">
      <c r="A391" s="2" t="s">
        <v>496</v>
      </c>
      <c r="B391" s="3">
        <v>45832</v>
      </c>
      <c r="C391" s="2" t="s">
        <v>63</v>
      </c>
      <c r="D391" s="2" t="s">
        <v>117</v>
      </c>
      <c r="E391" s="2" t="s">
        <v>33</v>
      </c>
      <c r="F391" s="2" t="s">
        <v>27</v>
      </c>
      <c r="G391" s="2" t="s">
        <v>89</v>
      </c>
      <c r="H391" s="2">
        <v>6</v>
      </c>
      <c r="I391" s="2">
        <v>31884.03</v>
      </c>
      <c r="J391" s="2">
        <v>0.05</v>
      </c>
      <c r="K391" s="2">
        <v>181738.99</v>
      </c>
      <c r="L391" s="2">
        <v>128492.07</v>
      </c>
      <c r="M391" s="2">
        <v>53246.92</v>
      </c>
      <c r="N391" s="2" t="s">
        <v>21</v>
      </c>
      <c r="O391" s="2" t="s">
        <v>59</v>
      </c>
    </row>
    <row r="392" spans="1:15" x14ac:dyDescent="0.3">
      <c r="A392" s="2" t="s">
        <v>497</v>
      </c>
      <c r="B392" s="3">
        <v>45800</v>
      </c>
      <c r="C392" s="2" t="s">
        <v>37</v>
      </c>
      <c r="D392" s="2" t="s">
        <v>25</v>
      </c>
      <c r="E392" s="2" t="s">
        <v>498</v>
      </c>
      <c r="F392" s="2" t="s">
        <v>43</v>
      </c>
      <c r="G392" s="2" t="s">
        <v>121</v>
      </c>
      <c r="H392" s="2">
        <v>6</v>
      </c>
      <c r="I392" s="2">
        <v>5052.55</v>
      </c>
      <c r="J392" s="2">
        <v>0.03</v>
      </c>
      <c r="K392" s="2">
        <v>29405.84</v>
      </c>
      <c r="L392" s="2">
        <v>19216.830000000002</v>
      </c>
      <c r="M392" s="2">
        <v>10189.01</v>
      </c>
      <c r="N392" s="2" t="s">
        <v>58</v>
      </c>
      <c r="O392" s="2" t="s">
        <v>22</v>
      </c>
    </row>
    <row r="393" spans="1:15" x14ac:dyDescent="0.3">
      <c r="A393" s="2" t="s">
        <v>499</v>
      </c>
      <c r="B393" s="3">
        <v>45683</v>
      </c>
      <c r="C393" s="2" t="s">
        <v>54</v>
      </c>
      <c r="D393" s="2" t="s">
        <v>174</v>
      </c>
      <c r="E393" s="2" t="s">
        <v>65</v>
      </c>
      <c r="F393" s="2" t="s">
        <v>100</v>
      </c>
      <c r="G393" s="2" t="s">
        <v>35</v>
      </c>
      <c r="H393" s="2">
        <v>6</v>
      </c>
      <c r="I393" s="2">
        <v>18516.09</v>
      </c>
      <c r="J393" s="2">
        <v>0</v>
      </c>
      <c r="K393" s="2">
        <v>111096.56</v>
      </c>
      <c r="L393" s="2">
        <v>80098.7</v>
      </c>
      <c r="M393" s="2">
        <v>30997.86</v>
      </c>
      <c r="N393" s="2" t="s">
        <v>58</v>
      </c>
      <c r="O393" s="2" t="s">
        <v>59</v>
      </c>
    </row>
    <row r="394" spans="1:15" x14ac:dyDescent="0.3">
      <c r="A394" s="2" t="s">
        <v>500</v>
      </c>
      <c r="B394" s="3">
        <v>45701</v>
      </c>
      <c r="C394" s="2" t="s">
        <v>16</v>
      </c>
      <c r="D394" s="2" t="s">
        <v>52</v>
      </c>
      <c r="E394" s="2" t="s">
        <v>69</v>
      </c>
      <c r="F394" s="2" t="s">
        <v>19</v>
      </c>
      <c r="G394" s="2" t="s">
        <v>61</v>
      </c>
      <c r="H394" s="2">
        <v>4</v>
      </c>
      <c r="I394" s="2">
        <v>9089.5499999999993</v>
      </c>
      <c r="J394" s="2">
        <v>0.08</v>
      </c>
      <c r="K394" s="2">
        <v>33449.550000000003</v>
      </c>
      <c r="L394" s="2">
        <v>21288.23</v>
      </c>
      <c r="M394" s="2">
        <v>12161.32</v>
      </c>
      <c r="N394" s="2" t="s">
        <v>21</v>
      </c>
      <c r="O394" s="2" t="s">
        <v>22</v>
      </c>
    </row>
    <row r="395" spans="1:15" x14ac:dyDescent="0.3">
      <c r="A395" s="2" t="s">
        <v>501</v>
      </c>
      <c r="B395" s="3">
        <v>45701</v>
      </c>
      <c r="C395" s="2" t="s">
        <v>54</v>
      </c>
      <c r="D395" s="2" t="s">
        <v>174</v>
      </c>
      <c r="E395" s="2" t="s">
        <v>49</v>
      </c>
      <c r="F395" s="2" t="s">
        <v>19</v>
      </c>
      <c r="G395" s="2" t="s">
        <v>106</v>
      </c>
      <c r="H395" s="2" t="s">
        <v>196</v>
      </c>
      <c r="I395" s="2">
        <v>13398.52</v>
      </c>
      <c r="J395" s="2">
        <v>0.08</v>
      </c>
      <c r="K395" s="2">
        <v>36979.9</v>
      </c>
      <c r="L395" s="2">
        <v>31271.83</v>
      </c>
      <c r="M395" s="2">
        <v>5708.07</v>
      </c>
      <c r="N395" s="2" t="s">
        <v>58</v>
      </c>
      <c r="O395" s="2" t="s">
        <v>45</v>
      </c>
    </row>
    <row r="396" spans="1:15" x14ac:dyDescent="0.3">
      <c r="A396" s="2" t="s">
        <v>502</v>
      </c>
      <c r="B396" s="3">
        <v>45896</v>
      </c>
      <c r="C396" s="2" t="s">
        <v>16</v>
      </c>
      <c r="D396" s="2" t="s">
        <v>32</v>
      </c>
      <c r="E396" s="2" t="s">
        <v>69</v>
      </c>
      <c r="F396" s="2" t="s">
        <v>27</v>
      </c>
      <c r="G396" s="2" t="s">
        <v>66</v>
      </c>
      <c r="H396" s="2">
        <v>8</v>
      </c>
      <c r="I396" s="2">
        <v>11440.05</v>
      </c>
      <c r="J396" s="2">
        <v>0.05</v>
      </c>
      <c r="K396" s="2">
        <v>86944.38</v>
      </c>
      <c r="L396" s="2">
        <v>65127.24</v>
      </c>
      <c r="M396" s="2">
        <v>21817.14</v>
      </c>
      <c r="N396" s="2" t="s">
        <v>21</v>
      </c>
      <c r="O396" s="2" t="s">
        <v>22</v>
      </c>
    </row>
    <row r="397" spans="1:15" x14ac:dyDescent="0.3">
      <c r="A397" s="2" t="s">
        <v>503</v>
      </c>
      <c r="B397" s="3">
        <v>45793</v>
      </c>
      <c r="C397" s="2" t="s">
        <v>37</v>
      </c>
      <c r="D397" s="2" t="s">
        <v>42</v>
      </c>
      <c r="E397" s="2" t="s">
        <v>74</v>
      </c>
      <c r="F397" s="2" t="s">
        <v>34</v>
      </c>
      <c r="G397" s="2" t="s">
        <v>39</v>
      </c>
      <c r="H397" s="2">
        <v>4</v>
      </c>
      <c r="I397" s="2">
        <v>30087.73</v>
      </c>
      <c r="J397" s="2">
        <v>0.08</v>
      </c>
      <c r="K397" s="2">
        <v>110722.83</v>
      </c>
      <c r="L397" s="2">
        <v>71192.009999999995</v>
      </c>
      <c r="M397" s="2">
        <v>39530.82</v>
      </c>
      <c r="N397" s="2" t="s">
        <v>29</v>
      </c>
      <c r="O397" s="2" t="s">
        <v>22</v>
      </c>
    </row>
    <row r="398" spans="1:15" x14ac:dyDescent="0.3">
      <c r="A398" s="2" t="s">
        <v>504</v>
      </c>
      <c r="B398" s="3">
        <v>45943</v>
      </c>
      <c r="C398" s="2" t="s">
        <v>37</v>
      </c>
      <c r="D398" s="2" t="s">
        <v>38</v>
      </c>
      <c r="E398" s="2" t="s">
        <v>65</v>
      </c>
      <c r="F398" s="2" t="s">
        <v>27</v>
      </c>
      <c r="G398" s="2" t="s">
        <v>50</v>
      </c>
      <c r="H398" s="2">
        <v>3</v>
      </c>
      <c r="I398" s="2">
        <v>29422.16</v>
      </c>
      <c r="J398" s="2">
        <v>0.03</v>
      </c>
      <c r="K398" s="2">
        <v>85618.49</v>
      </c>
      <c r="L398" s="2">
        <v>58954.14</v>
      </c>
      <c r="M398" s="2">
        <v>26664.35</v>
      </c>
      <c r="N398" s="2" t="s">
        <v>58</v>
      </c>
      <c r="O398" s="2" t="s">
        <v>59</v>
      </c>
    </row>
    <row r="399" spans="1:15" x14ac:dyDescent="0.3">
      <c r="A399" s="2" t="s">
        <v>505</v>
      </c>
      <c r="B399" s="3">
        <v>45779</v>
      </c>
      <c r="C399" s="2" t="s">
        <v>37</v>
      </c>
      <c r="D399" s="2" t="s">
        <v>68</v>
      </c>
      <c r="E399" s="2" t="s">
        <v>65</v>
      </c>
      <c r="F399" s="2" t="s">
        <v>43</v>
      </c>
      <c r="G399" s="2" t="s">
        <v>75</v>
      </c>
      <c r="H399" s="2">
        <v>3</v>
      </c>
      <c r="I399" s="2">
        <v>38267.1</v>
      </c>
      <c r="J399" s="2">
        <v>0.08</v>
      </c>
      <c r="K399" s="2">
        <v>105617.21</v>
      </c>
      <c r="L399" s="2">
        <v>65686.95</v>
      </c>
      <c r="M399" s="2">
        <v>39930.26</v>
      </c>
      <c r="N399" s="2" t="s">
        <v>21</v>
      </c>
      <c r="O399" s="2" t="s">
        <v>40</v>
      </c>
    </row>
    <row r="400" spans="1:15" x14ac:dyDescent="0.3">
      <c r="A400" s="2" t="s">
        <v>506</v>
      </c>
      <c r="B400" s="3">
        <v>45869</v>
      </c>
      <c r="C400" s="2" t="s">
        <v>16</v>
      </c>
      <c r="D400" s="2" t="s">
        <v>32</v>
      </c>
      <c r="E400" s="2" t="s">
        <v>74</v>
      </c>
      <c r="F400" s="2" t="s">
        <v>34</v>
      </c>
      <c r="G400" s="2" t="s">
        <v>39</v>
      </c>
      <c r="H400" s="2">
        <v>7</v>
      </c>
      <c r="I400" s="2">
        <v>29923.3</v>
      </c>
      <c r="J400" s="2">
        <v>0.05</v>
      </c>
      <c r="K400" s="2">
        <v>198989.94</v>
      </c>
      <c r="L400" s="2">
        <v>138105.46</v>
      </c>
      <c r="M400" s="2">
        <v>60884.480000000003</v>
      </c>
      <c r="N400" s="2" t="s">
        <v>21</v>
      </c>
      <c r="O400" s="2" t="s">
        <v>22</v>
      </c>
    </row>
    <row r="401" spans="1:15" x14ac:dyDescent="0.3">
      <c r="A401" s="2" t="s">
        <v>507</v>
      </c>
      <c r="B401" s="3">
        <v>45871</v>
      </c>
      <c r="C401" s="2" t="s">
        <v>63</v>
      </c>
      <c r="D401" s="2" t="s">
        <v>117</v>
      </c>
      <c r="E401" s="2" t="s">
        <v>69</v>
      </c>
      <c r="F401" s="2" t="s">
        <v>19</v>
      </c>
      <c r="G401" s="2" t="s">
        <v>102</v>
      </c>
      <c r="H401" s="2">
        <v>7</v>
      </c>
      <c r="I401" s="2">
        <v>245.81</v>
      </c>
      <c r="J401" s="2">
        <v>0.08</v>
      </c>
      <c r="K401" s="2">
        <v>1582.99</v>
      </c>
      <c r="L401" s="2">
        <v>1112.83</v>
      </c>
      <c r="M401" s="2">
        <v>470.16</v>
      </c>
      <c r="N401" s="2" t="s">
        <v>58</v>
      </c>
      <c r="O401" s="2" t="s">
        <v>22</v>
      </c>
    </row>
    <row r="402" spans="1:15" x14ac:dyDescent="0.3">
      <c r="A402" s="2" t="s">
        <v>508</v>
      </c>
      <c r="B402" s="3">
        <v>45744</v>
      </c>
      <c r="C402" s="2" t="s">
        <v>54</v>
      </c>
      <c r="D402" s="2" t="s">
        <v>55</v>
      </c>
      <c r="E402" s="2" t="s">
        <v>74</v>
      </c>
      <c r="F402" s="2" t="s">
        <v>19</v>
      </c>
      <c r="G402" s="2" t="s">
        <v>106</v>
      </c>
      <c r="H402" s="2">
        <v>5</v>
      </c>
      <c r="I402" s="2">
        <v>15098.34</v>
      </c>
      <c r="J402" s="2">
        <v>0</v>
      </c>
      <c r="K402" s="2">
        <v>75491.72</v>
      </c>
      <c r="L402" s="2">
        <v>57739.61</v>
      </c>
      <c r="M402" s="2">
        <v>17752.11</v>
      </c>
      <c r="N402" s="2" t="s">
        <v>29</v>
      </c>
      <c r="O402" s="2" t="s">
        <v>59</v>
      </c>
    </row>
    <row r="403" spans="1:15" x14ac:dyDescent="0.3">
      <c r="A403" s="2" t="s">
        <v>509</v>
      </c>
      <c r="B403" s="3">
        <v>45687</v>
      </c>
      <c r="C403" s="2" t="s">
        <v>37</v>
      </c>
      <c r="D403" s="2" t="s">
        <v>68</v>
      </c>
      <c r="E403" s="2" t="s">
        <v>56</v>
      </c>
      <c r="F403" s="2" t="s">
        <v>34</v>
      </c>
      <c r="G403" s="2" t="s">
        <v>57</v>
      </c>
      <c r="H403" s="2">
        <v>5</v>
      </c>
      <c r="I403" s="2">
        <v>21023.82</v>
      </c>
      <c r="J403" s="2">
        <v>0.03</v>
      </c>
      <c r="K403" s="2">
        <v>101965.53</v>
      </c>
      <c r="L403" s="2">
        <v>76591.41</v>
      </c>
      <c r="M403" s="2">
        <v>25374.12</v>
      </c>
      <c r="N403" s="2" t="s">
        <v>58</v>
      </c>
      <c r="O403" s="2" t="s">
        <v>59</v>
      </c>
    </row>
    <row r="404" spans="1:15" x14ac:dyDescent="0.3">
      <c r="A404" s="2" t="s">
        <v>510</v>
      </c>
      <c r="B404" s="3">
        <v>45682</v>
      </c>
      <c r="C404" s="2" t="s">
        <v>37</v>
      </c>
      <c r="D404" s="2" t="s">
        <v>42</v>
      </c>
      <c r="E404" s="2" t="s">
        <v>18</v>
      </c>
      <c r="F404" s="2" t="s">
        <v>19</v>
      </c>
      <c r="G404" s="2" t="s">
        <v>61</v>
      </c>
      <c r="H404" s="2">
        <v>1</v>
      </c>
      <c r="I404" s="2">
        <v>9274.18</v>
      </c>
      <c r="J404" s="2">
        <v>0.05</v>
      </c>
      <c r="K404" s="2">
        <v>8810.48</v>
      </c>
      <c r="L404" s="2">
        <v>7164.61</v>
      </c>
      <c r="M404" s="2">
        <v>1645.87</v>
      </c>
      <c r="N404" s="2" t="s">
        <v>29</v>
      </c>
      <c r="O404" s="2" t="s">
        <v>40</v>
      </c>
    </row>
    <row r="405" spans="1:15" x14ac:dyDescent="0.3">
      <c r="A405" s="2" t="s">
        <v>511</v>
      </c>
      <c r="B405" s="3">
        <v>45721</v>
      </c>
      <c r="C405" s="2" t="s">
        <v>16</v>
      </c>
      <c r="D405" s="2" t="s">
        <v>52</v>
      </c>
      <c r="E405" s="2" t="s">
        <v>69</v>
      </c>
      <c r="F405" s="2" t="s">
        <v>34</v>
      </c>
      <c r="G405" s="2" t="s">
        <v>80</v>
      </c>
      <c r="H405" s="2">
        <v>5</v>
      </c>
      <c r="I405" s="2">
        <v>4822.74</v>
      </c>
      <c r="J405" s="2">
        <v>0.03</v>
      </c>
      <c r="K405" s="2">
        <v>23390.29</v>
      </c>
      <c r="L405" s="2">
        <v>15986.88</v>
      </c>
      <c r="M405" s="2">
        <v>7403.41</v>
      </c>
      <c r="N405" s="2" t="s">
        <v>21</v>
      </c>
      <c r="O405" s="2" t="s">
        <v>30</v>
      </c>
    </row>
    <row r="406" spans="1:15" x14ac:dyDescent="0.3">
      <c r="A406" s="2" t="s">
        <v>512</v>
      </c>
      <c r="B406" s="3">
        <v>45919</v>
      </c>
      <c r="C406" s="2" t="s">
        <v>16</v>
      </c>
      <c r="D406" s="2" t="s">
        <v>52</v>
      </c>
      <c r="E406" s="2" t="s">
        <v>69</v>
      </c>
      <c r="F406" s="2" t="s">
        <v>34</v>
      </c>
      <c r="G406" s="2" t="s">
        <v>70</v>
      </c>
      <c r="H406" s="2">
        <v>3</v>
      </c>
      <c r="I406" s="2">
        <v>63886.11</v>
      </c>
      <c r="J406" s="2">
        <v>0</v>
      </c>
      <c r="K406" s="2">
        <v>191658.33</v>
      </c>
      <c r="L406" s="2">
        <v>145656.60999999999</v>
      </c>
      <c r="M406" s="2">
        <v>46001.72</v>
      </c>
      <c r="N406" s="2" t="s">
        <v>58</v>
      </c>
      <c r="O406" s="2" t="s">
        <v>22</v>
      </c>
    </row>
    <row r="407" spans="1:15" x14ac:dyDescent="0.3">
      <c r="A407" s="2" t="s">
        <v>513</v>
      </c>
      <c r="B407" s="3">
        <v>45940</v>
      </c>
      <c r="C407" s="2" t="s">
        <v>16</v>
      </c>
      <c r="D407" s="2" t="s">
        <v>82</v>
      </c>
      <c r="E407" s="2" t="s">
        <v>33</v>
      </c>
      <c r="F407" s="2" t="s">
        <v>43</v>
      </c>
      <c r="G407" s="2" t="s">
        <v>121</v>
      </c>
      <c r="H407" s="2">
        <v>4</v>
      </c>
      <c r="I407" s="2">
        <v>5379.04</v>
      </c>
      <c r="J407" s="2">
        <v>0.05</v>
      </c>
      <c r="K407" s="2">
        <v>20440.349999999999</v>
      </c>
      <c r="L407" s="2">
        <v>14023.25</v>
      </c>
      <c r="M407" s="2">
        <v>6417.1</v>
      </c>
      <c r="N407" s="2" t="s">
        <v>29</v>
      </c>
      <c r="O407" s="2" t="s">
        <v>40</v>
      </c>
    </row>
    <row r="408" spans="1:15" x14ac:dyDescent="0.3">
      <c r="A408" s="2" t="s">
        <v>514</v>
      </c>
      <c r="B408" s="3">
        <v>45865</v>
      </c>
      <c r="C408" s="2" t="s">
        <v>16</v>
      </c>
      <c r="D408" s="2" t="s">
        <v>52</v>
      </c>
      <c r="E408" s="2" t="s">
        <v>69</v>
      </c>
      <c r="F408" s="2" t="s">
        <v>19</v>
      </c>
      <c r="G408" s="2" t="s">
        <v>20</v>
      </c>
      <c r="H408" s="2">
        <v>1</v>
      </c>
      <c r="I408" s="2">
        <v>669.32</v>
      </c>
      <c r="J408" s="2">
        <v>0.1</v>
      </c>
      <c r="K408" s="2">
        <v>602.39</v>
      </c>
      <c r="L408" s="2">
        <v>507.99</v>
      </c>
      <c r="M408" s="2">
        <v>94.4</v>
      </c>
      <c r="N408" s="2" t="s">
        <v>21</v>
      </c>
      <c r="O408" s="2" t="s">
        <v>45</v>
      </c>
    </row>
    <row r="409" spans="1:15" x14ac:dyDescent="0.3">
      <c r="A409" s="2" t="s">
        <v>515</v>
      </c>
      <c r="B409" s="3">
        <v>45852</v>
      </c>
      <c r="C409" s="2" t="s">
        <v>63</v>
      </c>
      <c r="D409" s="2" t="s">
        <v>95</v>
      </c>
      <c r="E409" s="2" t="s">
        <v>74</v>
      </c>
      <c r="F409" s="2" t="s">
        <v>34</v>
      </c>
      <c r="G409" s="2" t="s">
        <v>39</v>
      </c>
      <c r="H409" s="2">
        <v>7</v>
      </c>
      <c r="I409" s="2">
        <v>27846.21</v>
      </c>
      <c r="J409" s="2">
        <v>0.05</v>
      </c>
      <c r="K409" s="2">
        <v>185177.3</v>
      </c>
      <c r="L409" s="2">
        <v>134458.29</v>
      </c>
      <c r="M409" s="2">
        <v>50719.01</v>
      </c>
      <c r="N409" s="2" t="s">
        <v>29</v>
      </c>
      <c r="O409" s="2" t="s">
        <v>40</v>
      </c>
    </row>
    <row r="410" spans="1:15" x14ac:dyDescent="0.3">
      <c r="A410" s="2" t="s">
        <v>516</v>
      </c>
      <c r="B410" s="3">
        <v>45821</v>
      </c>
      <c r="C410" s="2" t="s">
        <v>37</v>
      </c>
      <c r="D410" s="2" t="s">
        <v>25</v>
      </c>
      <c r="E410" s="2" t="s">
        <v>65</v>
      </c>
      <c r="F410" s="2" t="s">
        <v>19</v>
      </c>
      <c r="G410" s="2" t="s">
        <v>106</v>
      </c>
      <c r="H410" s="2">
        <v>7</v>
      </c>
      <c r="I410" s="2">
        <v>13224.74</v>
      </c>
      <c r="J410" s="2">
        <v>0</v>
      </c>
      <c r="K410" s="2">
        <v>92573.15</v>
      </c>
      <c r="L410" s="2">
        <v>63353.53</v>
      </c>
      <c r="M410" s="2">
        <v>29219.62</v>
      </c>
      <c r="N410" s="2" t="s">
        <v>21</v>
      </c>
      <c r="O410" s="2" t="s">
        <v>59</v>
      </c>
    </row>
    <row r="411" spans="1:15" x14ac:dyDescent="0.3">
      <c r="A411" s="2" t="s">
        <v>517</v>
      </c>
      <c r="B411" s="3">
        <v>45837</v>
      </c>
      <c r="C411" s="2" t="s">
        <v>37</v>
      </c>
      <c r="D411" s="2" t="s">
        <v>42</v>
      </c>
      <c r="E411" s="2" t="s">
        <v>74</v>
      </c>
      <c r="F411" s="2" t="s">
        <v>43</v>
      </c>
      <c r="G411" s="2" t="s">
        <v>75</v>
      </c>
      <c r="H411" s="2">
        <v>5</v>
      </c>
      <c r="I411" s="2">
        <v>34539.949999999997</v>
      </c>
      <c r="J411" s="2">
        <v>0.15</v>
      </c>
      <c r="K411" s="2">
        <v>146794.81</v>
      </c>
      <c r="L411" s="2">
        <v>103160.97</v>
      </c>
      <c r="M411" s="2">
        <v>43633.84</v>
      </c>
      <c r="N411" s="2" t="s">
        <v>58</v>
      </c>
      <c r="O411" s="2" t="s">
        <v>40</v>
      </c>
    </row>
    <row r="412" spans="1:15" x14ac:dyDescent="0.3">
      <c r="A412" s="2" t="s">
        <v>518</v>
      </c>
      <c r="B412" s="3">
        <v>45707</v>
      </c>
      <c r="C412" s="2" t="s">
        <v>37</v>
      </c>
      <c r="D412" s="2" t="s">
        <v>38</v>
      </c>
      <c r="E412" s="2" t="s">
        <v>69</v>
      </c>
      <c r="F412" s="2" t="s">
        <v>19</v>
      </c>
      <c r="G412" s="2" t="s">
        <v>102</v>
      </c>
      <c r="H412" s="2">
        <v>7</v>
      </c>
      <c r="I412" s="2">
        <v>261.62</v>
      </c>
      <c r="J412" s="2">
        <v>0</v>
      </c>
      <c r="K412" s="2">
        <v>1831.35</v>
      </c>
      <c r="L412" s="2">
        <v>1375.23</v>
      </c>
      <c r="M412" s="2">
        <v>456.12</v>
      </c>
      <c r="N412" s="2" t="s">
        <v>21</v>
      </c>
      <c r="O412" s="2" t="s">
        <v>40</v>
      </c>
    </row>
    <row r="413" spans="1:15" x14ac:dyDescent="0.3">
      <c r="A413" s="2" t="s">
        <v>519</v>
      </c>
      <c r="B413" s="3">
        <v>45752</v>
      </c>
      <c r="C413" s="2" t="s">
        <v>63</v>
      </c>
      <c r="D413" s="2" t="s">
        <v>64</v>
      </c>
      <c r="E413" s="2" t="s">
        <v>65</v>
      </c>
      <c r="F413" s="2" t="s">
        <v>34</v>
      </c>
      <c r="G413" s="2" t="s">
        <v>35</v>
      </c>
      <c r="H413" s="2">
        <v>5</v>
      </c>
      <c r="I413" s="2">
        <v>19410.5</v>
      </c>
      <c r="J413" s="2">
        <v>0</v>
      </c>
      <c r="K413" s="2">
        <v>97052.49</v>
      </c>
      <c r="L413" s="2">
        <v>70526.759999999995</v>
      </c>
      <c r="M413" s="2">
        <v>26525.73</v>
      </c>
      <c r="N413" s="2" t="s">
        <v>58</v>
      </c>
      <c r="O413" s="2" t="s">
        <v>22</v>
      </c>
    </row>
    <row r="414" spans="1:15" x14ac:dyDescent="0.3">
      <c r="A414" s="2" t="s">
        <v>520</v>
      </c>
      <c r="B414" s="3">
        <v>45844</v>
      </c>
      <c r="C414" s="2" t="s">
        <v>37</v>
      </c>
      <c r="D414" s="2" t="s">
        <v>38</v>
      </c>
      <c r="E414" s="2" t="s">
        <v>26</v>
      </c>
      <c r="F414" s="2" t="s">
        <v>19</v>
      </c>
      <c r="G414" s="2" t="s">
        <v>20</v>
      </c>
      <c r="H414" s="2">
        <v>5</v>
      </c>
      <c r="I414" s="2">
        <v>715.45</v>
      </c>
      <c r="J414" s="2">
        <v>0.15</v>
      </c>
      <c r="K414" s="2">
        <v>3040.64</v>
      </c>
      <c r="L414" s="2">
        <v>2445.65</v>
      </c>
      <c r="M414" s="2">
        <v>594.99</v>
      </c>
      <c r="N414" s="2" t="s">
        <v>21</v>
      </c>
      <c r="O414" s="2" t="s">
        <v>59</v>
      </c>
    </row>
    <row r="415" spans="1:15" x14ac:dyDescent="0.3">
      <c r="A415" s="2" t="s">
        <v>521</v>
      </c>
      <c r="B415" s="3">
        <v>45661</v>
      </c>
      <c r="C415" s="2" t="s">
        <v>63</v>
      </c>
      <c r="D415" s="2" t="s">
        <v>88</v>
      </c>
      <c r="E415" s="2" t="s">
        <v>56</v>
      </c>
      <c r="F415" s="2" t="s">
        <v>43</v>
      </c>
      <c r="G415" s="2" t="s">
        <v>121</v>
      </c>
      <c r="H415" s="2">
        <v>7</v>
      </c>
      <c r="I415" s="2">
        <v>5151.2700000000004</v>
      </c>
      <c r="J415" s="2">
        <v>0.1</v>
      </c>
      <c r="K415" s="2" t="s">
        <v>522</v>
      </c>
      <c r="L415" s="2">
        <v>24452.87</v>
      </c>
      <c r="M415" s="2">
        <v>8000.13</v>
      </c>
      <c r="N415" s="2" t="s">
        <v>29</v>
      </c>
      <c r="O415" s="2" t="s">
        <v>59</v>
      </c>
    </row>
    <row r="416" spans="1:15" x14ac:dyDescent="0.3">
      <c r="A416" s="2" t="s">
        <v>523</v>
      </c>
      <c r="B416" s="3">
        <v>45937</v>
      </c>
      <c r="C416" s="2" t="s">
        <v>37</v>
      </c>
      <c r="D416" s="2" t="s">
        <v>68</v>
      </c>
      <c r="E416" s="2" t="s">
        <v>56</v>
      </c>
      <c r="F416" s="2" t="s">
        <v>43</v>
      </c>
      <c r="G416" s="2" t="s">
        <v>84</v>
      </c>
      <c r="H416" s="2">
        <v>7</v>
      </c>
      <c r="I416" s="2">
        <v>40053.339999999997</v>
      </c>
      <c r="J416" s="2">
        <v>0.08</v>
      </c>
      <c r="K416" s="2">
        <v>257943.51</v>
      </c>
      <c r="L416" s="2">
        <v>175588.94</v>
      </c>
      <c r="M416" s="2">
        <v>82354.570000000007</v>
      </c>
      <c r="N416" s="2" t="s">
        <v>29</v>
      </c>
      <c r="O416" s="2" t="s">
        <v>22</v>
      </c>
    </row>
    <row r="417" spans="1:15" x14ac:dyDescent="0.3">
      <c r="A417" s="2" t="s">
        <v>524</v>
      </c>
      <c r="B417" s="3">
        <v>45962</v>
      </c>
      <c r="C417" s="2" t="s">
        <v>37</v>
      </c>
      <c r="D417" s="2" t="s">
        <v>42</v>
      </c>
      <c r="E417" s="2" t="s">
        <v>33</v>
      </c>
      <c r="F417" s="2" t="s">
        <v>19</v>
      </c>
      <c r="G417" s="2" t="s">
        <v>20</v>
      </c>
      <c r="H417" s="2">
        <v>3</v>
      </c>
      <c r="I417" s="2">
        <v>680.32</v>
      </c>
      <c r="J417" s="2">
        <v>0.08</v>
      </c>
      <c r="K417" s="2">
        <v>1877.7</v>
      </c>
      <c r="L417" s="2">
        <v>1431.97</v>
      </c>
      <c r="M417" s="2">
        <v>445.73</v>
      </c>
      <c r="N417" s="2" t="s">
        <v>29</v>
      </c>
      <c r="O417" s="2" t="s">
        <v>40</v>
      </c>
    </row>
    <row r="418" spans="1:15" x14ac:dyDescent="0.3">
      <c r="A418" s="2" t="s">
        <v>525</v>
      </c>
      <c r="B418" s="3">
        <v>46018</v>
      </c>
      <c r="C418" s="2" t="s">
        <v>37</v>
      </c>
      <c r="D418" s="2" t="s">
        <v>42</v>
      </c>
      <c r="E418" s="2" t="s">
        <v>74</v>
      </c>
      <c r="F418" s="2" t="s">
        <v>34</v>
      </c>
      <c r="G418" s="2" t="s">
        <v>80</v>
      </c>
      <c r="H418" s="2">
        <v>2</v>
      </c>
      <c r="I418" s="2">
        <v>4638.5</v>
      </c>
      <c r="J418" s="2">
        <v>0.03</v>
      </c>
      <c r="K418" s="2">
        <v>8998.68</v>
      </c>
      <c r="L418" s="2">
        <v>6929.7</v>
      </c>
      <c r="M418" s="2">
        <v>2068.98</v>
      </c>
      <c r="N418" s="2" t="s">
        <v>29</v>
      </c>
      <c r="O418" s="2" t="s">
        <v>45</v>
      </c>
    </row>
    <row r="419" spans="1:15" x14ac:dyDescent="0.3">
      <c r="A419" s="2" t="s">
        <v>526</v>
      </c>
      <c r="B419" s="3">
        <v>45746</v>
      </c>
      <c r="C419" s="2" t="s">
        <v>527</v>
      </c>
      <c r="D419" s="2" t="s">
        <v>95</v>
      </c>
      <c r="E419" s="2" t="s">
        <v>74</v>
      </c>
      <c r="F419" s="2" t="s">
        <v>34</v>
      </c>
      <c r="G419" s="2" t="s">
        <v>39</v>
      </c>
      <c r="H419" s="2">
        <v>3</v>
      </c>
      <c r="I419" s="2">
        <v>28144.52</v>
      </c>
      <c r="J419" s="2">
        <v>0.15</v>
      </c>
      <c r="K419" s="2">
        <v>71768.52</v>
      </c>
      <c r="L419" s="2">
        <v>47656.35</v>
      </c>
      <c r="M419" s="2">
        <v>24112.17</v>
      </c>
      <c r="N419" s="2" t="s">
        <v>58</v>
      </c>
      <c r="O419" s="2" t="s">
        <v>30</v>
      </c>
    </row>
    <row r="420" spans="1:15" x14ac:dyDescent="0.3">
      <c r="A420" s="2" t="s">
        <v>528</v>
      </c>
      <c r="B420" s="3">
        <v>45781</v>
      </c>
      <c r="C420" s="2" t="s">
        <v>16</v>
      </c>
      <c r="D420" s="2" t="s">
        <v>17</v>
      </c>
      <c r="E420" s="2" t="s">
        <v>33</v>
      </c>
      <c r="F420" s="2" t="s">
        <v>34</v>
      </c>
      <c r="G420" s="2" t="s">
        <v>39</v>
      </c>
      <c r="H420" s="2">
        <v>8</v>
      </c>
      <c r="I420" s="2">
        <v>27733.69</v>
      </c>
      <c r="J420" s="2">
        <v>0.08</v>
      </c>
      <c r="K420" s="2">
        <v>204119.96</v>
      </c>
      <c r="L420" s="2">
        <v>147443.10999999999</v>
      </c>
      <c r="M420" s="2">
        <v>56676.85</v>
      </c>
      <c r="N420" s="2" t="s">
        <v>58</v>
      </c>
      <c r="O420" s="2" t="s">
        <v>22</v>
      </c>
    </row>
    <row r="421" spans="1:15" x14ac:dyDescent="0.3">
      <c r="A421" s="2" t="s">
        <v>529</v>
      </c>
      <c r="B421" s="3">
        <v>45767</v>
      </c>
      <c r="C421" s="2" t="s">
        <v>63</v>
      </c>
      <c r="D421" s="2" t="s">
        <v>95</v>
      </c>
      <c r="E421" s="2" t="s">
        <v>74</v>
      </c>
      <c r="F421" s="2" t="s">
        <v>43</v>
      </c>
      <c r="G421" s="2" t="s">
        <v>91</v>
      </c>
      <c r="H421" s="2">
        <v>5</v>
      </c>
      <c r="I421" s="2">
        <v>48590.45</v>
      </c>
      <c r="J421" s="2">
        <v>0.05</v>
      </c>
      <c r="K421" s="2">
        <v>230804.63</v>
      </c>
      <c r="L421" s="2">
        <v>170810.86</v>
      </c>
      <c r="M421" s="2">
        <v>59993.77</v>
      </c>
      <c r="N421" s="2" t="s">
        <v>21</v>
      </c>
      <c r="O421" s="2" t="s">
        <v>59</v>
      </c>
    </row>
    <row r="422" spans="1:15" x14ac:dyDescent="0.3">
      <c r="A422" s="2" t="s">
        <v>530</v>
      </c>
      <c r="B422" s="3">
        <v>46013</v>
      </c>
      <c r="C422" s="2" t="s">
        <v>37</v>
      </c>
      <c r="D422" s="2" t="s">
        <v>25</v>
      </c>
      <c r="E422" s="2" t="s">
        <v>26</v>
      </c>
      <c r="F422" s="2" t="s">
        <v>27</v>
      </c>
      <c r="G422" s="2" t="s">
        <v>50</v>
      </c>
      <c r="H422" s="2">
        <v>5</v>
      </c>
      <c r="I422" s="2">
        <v>29008.1</v>
      </c>
      <c r="J422" s="2">
        <v>0.05</v>
      </c>
      <c r="K422" s="2">
        <v>137788.46</v>
      </c>
      <c r="L422" s="2">
        <v>108505.64</v>
      </c>
      <c r="M422" s="2">
        <v>29282.82</v>
      </c>
      <c r="N422" s="2" t="s">
        <v>29</v>
      </c>
      <c r="O422" s="2" t="s">
        <v>30</v>
      </c>
    </row>
    <row r="423" spans="1:15" x14ac:dyDescent="0.3">
      <c r="A423" s="2" t="s">
        <v>531</v>
      </c>
      <c r="B423" s="3">
        <v>45900</v>
      </c>
      <c r="C423" s="2" t="s">
        <v>54</v>
      </c>
      <c r="D423" s="2" t="s">
        <v>55</v>
      </c>
      <c r="E423" s="2" t="s">
        <v>33</v>
      </c>
      <c r="F423" s="2" t="s">
        <v>43</v>
      </c>
      <c r="G423" s="2" t="s">
        <v>121</v>
      </c>
      <c r="H423" s="2">
        <v>3</v>
      </c>
      <c r="I423" s="2">
        <v>4665.33</v>
      </c>
      <c r="J423" s="2">
        <v>0.1</v>
      </c>
      <c r="K423" s="2">
        <v>12596.4</v>
      </c>
      <c r="L423" s="2">
        <v>8794.7800000000007</v>
      </c>
      <c r="M423" s="2">
        <v>3801.62</v>
      </c>
      <c r="N423" s="2" t="s">
        <v>29</v>
      </c>
      <c r="O423" s="2" t="s">
        <v>40</v>
      </c>
    </row>
    <row r="424" spans="1:15" x14ac:dyDescent="0.3">
      <c r="A424" s="2" t="s">
        <v>532</v>
      </c>
      <c r="B424" s="3">
        <v>45766</v>
      </c>
      <c r="C424" s="2" t="s">
        <v>16</v>
      </c>
      <c r="D424" s="2" t="s">
        <v>17</v>
      </c>
      <c r="E424" s="2" t="s">
        <v>18</v>
      </c>
      <c r="F424" s="2" t="s">
        <v>43</v>
      </c>
      <c r="G424" s="2" t="s">
        <v>91</v>
      </c>
      <c r="H424" s="2">
        <v>1</v>
      </c>
      <c r="I424" s="2">
        <v>50546.06</v>
      </c>
      <c r="J424" s="2">
        <v>0.1</v>
      </c>
      <c r="K424" s="2">
        <v>45491.45</v>
      </c>
      <c r="L424" s="2">
        <v>35299.050000000003</v>
      </c>
      <c r="M424" s="2">
        <v>10192.4</v>
      </c>
      <c r="N424" s="2" t="s">
        <v>58</v>
      </c>
      <c r="O424" s="2" t="s">
        <v>22</v>
      </c>
    </row>
    <row r="425" spans="1:15" x14ac:dyDescent="0.3">
      <c r="A425" s="2" t="s">
        <v>533</v>
      </c>
      <c r="B425" s="3">
        <v>45945</v>
      </c>
      <c r="C425" s="2" t="s">
        <v>16</v>
      </c>
      <c r="D425" s="2" t="s">
        <v>32</v>
      </c>
      <c r="E425" s="2" t="s">
        <v>56</v>
      </c>
      <c r="F425" s="2" t="s">
        <v>34</v>
      </c>
      <c r="G425" s="2" t="s">
        <v>57</v>
      </c>
      <c r="H425" s="2">
        <v>1</v>
      </c>
      <c r="I425" s="2">
        <v>22191.34</v>
      </c>
      <c r="J425" s="2">
        <v>0</v>
      </c>
      <c r="K425" s="2">
        <v>22191.34</v>
      </c>
      <c r="L425" s="2">
        <v>14249.14</v>
      </c>
      <c r="M425" s="2">
        <v>7942.2</v>
      </c>
      <c r="N425" s="2" t="s">
        <v>58</v>
      </c>
      <c r="O425" s="2" t="s">
        <v>22</v>
      </c>
    </row>
    <row r="426" spans="1:15" x14ac:dyDescent="0.3">
      <c r="A426" s="2" t="s">
        <v>534</v>
      </c>
      <c r="B426" s="3">
        <v>45746</v>
      </c>
      <c r="C426" s="2" t="s">
        <v>54</v>
      </c>
      <c r="D426" s="2" t="s">
        <v>124</v>
      </c>
      <c r="E426" s="2" t="s">
        <v>56</v>
      </c>
      <c r="F426" s="2" t="s">
        <v>43</v>
      </c>
      <c r="G426" s="2" t="s">
        <v>84</v>
      </c>
      <c r="H426" s="2">
        <v>7</v>
      </c>
      <c r="I426" s="2">
        <v>41193.46</v>
      </c>
      <c r="J426" s="2">
        <v>0.08</v>
      </c>
      <c r="K426" s="2">
        <v>265285.88</v>
      </c>
      <c r="L426" s="2">
        <v>189226.91</v>
      </c>
      <c r="M426" s="2">
        <v>76058.97</v>
      </c>
      <c r="N426" s="2" t="s">
        <v>21</v>
      </c>
      <c r="O426" s="2" t="s">
        <v>30</v>
      </c>
    </row>
    <row r="427" spans="1:15" x14ac:dyDescent="0.3">
      <c r="A427" s="2" t="s">
        <v>535</v>
      </c>
      <c r="B427" s="3">
        <v>45850</v>
      </c>
      <c r="C427" s="2" t="s">
        <v>16</v>
      </c>
      <c r="D427" s="2" t="s">
        <v>32</v>
      </c>
      <c r="E427" s="2" t="s">
        <v>26</v>
      </c>
      <c r="F427" s="2" t="s">
        <v>34</v>
      </c>
      <c r="G427" s="2" t="s">
        <v>57</v>
      </c>
      <c r="H427" s="2">
        <v>5</v>
      </c>
      <c r="I427" s="2">
        <v>20548.53</v>
      </c>
      <c r="J427" s="2">
        <v>0</v>
      </c>
      <c r="K427" s="2">
        <v>102742.64</v>
      </c>
      <c r="L427" s="2">
        <v>85678.77</v>
      </c>
      <c r="M427" s="2">
        <v>17063.87</v>
      </c>
      <c r="N427" s="2" t="s">
        <v>21</v>
      </c>
      <c r="O427" s="2" t="s">
        <v>45</v>
      </c>
    </row>
    <row r="428" spans="1:15" x14ac:dyDescent="0.3">
      <c r="A428" s="2" t="s">
        <v>536</v>
      </c>
      <c r="B428" s="3">
        <v>46021</v>
      </c>
      <c r="C428" s="2" t="s">
        <v>16</v>
      </c>
      <c r="D428" s="2" t="s">
        <v>17</v>
      </c>
      <c r="E428" s="2" t="s">
        <v>33</v>
      </c>
      <c r="F428" s="2" t="s">
        <v>19</v>
      </c>
      <c r="G428" s="2" t="s">
        <v>20</v>
      </c>
      <c r="H428" s="2">
        <v>8</v>
      </c>
      <c r="I428" s="2">
        <v>658.92</v>
      </c>
      <c r="J428" s="2">
        <v>0.08</v>
      </c>
      <c r="K428" s="2">
        <v>4849.6499999999996</v>
      </c>
      <c r="L428" s="2">
        <v>3156.14</v>
      </c>
      <c r="M428" s="2">
        <v>1693.51</v>
      </c>
      <c r="N428" s="2" t="s">
        <v>29</v>
      </c>
      <c r="O428" s="2" t="s">
        <v>45</v>
      </c>
    </row>
    <row r="429" spans="1:15" x14ac:dyDescent="0.3">
      <c r="A429" s="2" t="s">
        <v>537</v>
      </c>
      <c r="B429" s="3">
        <v>45743</v>
      </c>
      <c r="C429" s="2" t="s">
        <v>37</v>
      </c>
      <c r="D429" s="2" t="s">
        <v>38</v>
      </c>
      <c r="E429" s="2" t="s">
        <v>49</v>
      </c>
      <c r="F429" s="2" t="s">
        <v>43</v>
      </c>
      <c r="G429" s="2" t="s">
        <v>44</v>
      </c>
      <c r="H429" s="2">
        <v>6</v>
      </c>
      <c r="I429" s="2" t="s">
        <v>538</v>
      </c>
      <c r="J429" s="2">
        <v>0.1</v>
      </c>
      <c r="K429" s="2">
        <v>60575.040000000001</v>
      </c>
      <c r="L429" s="2">
        <v>47350.81</v>
      </c>
      <c r="M429" s="2">
        <v>13224.23</v>
      </c>
      <c r="N429" s="2" t="s">
        <v>21</v>
      </c>
      <c r="O429" s="2" t="s">
        <v>45</v>
      </c>
    </row>
    <row r="430" spans="1:15" x14ac:dyDescent="0.3">
      <c r="A430" s="2" t="s">
        <v>539</v>
      </c>
      <c r="B430" s="3">
        <v>45794</v>
      </c>
      <c r="C430" s="2" t="s">
        <v>54</v>
      </c>
      <c r="D430" s="2" t="s">
        <v>174</v>
      </c>
      <c r="E430" s="2" t="s">
        <v>69</v>
      </c>
      <c r="F430" s="2" t="s">
        <v>34</v>
      </c>
      <c r="G430" s="2" t="s">
        <v>39</v>
      </c>
      <c r="H430" s="2">
        <v>2</v>
      </c>
      <c r="I430" s="2">
        <v>28118.61</v>
      </c>
      <c r="J430" s="2">
        <v>0.05</v>
      </c>
      <c r="K430" s="2">
        <v>53425.37</v>
      </c>
      <c r="L430" s="2">
        <v>40631.879999999997</v>
      </c>
      <c r="M430" s="2">
        <v>12793.49</v>
      </c>
      <c r="N430" s="2" t="s">
        <v>21</v>
      </c>
      <c r="O430" s="2" t="s">
        <v>22</v>
      </c>
    </row>
    <row r="431" spans="1:15" x14ac:dyDescent="0.3">
      <c r="A431" s="2" t="s">
        <v>540</v>
      </c>
      <c r="B431" s="3">
        <v>45932</v>
      </c>
      <c r="C431" s="2" t="s">
        <v>54</v>
      </c>
      <c r="D431" s="2" t="s">
        <v>174</v>
      </c>
      <c r="E431" s="2" t="s">
        <v>49</v>
      </c>
      <c r="F431" s="2" t="s">
        <v>43</v>
      </c>
      <c r="G431" s="2" t="s">
        <v>44</v>
      </c>
      <c r="H431" s="2">
        <v>2</v>
      </c>
      <c r="I431" s="2">
        <v>11607.68</v>
      </c>
      <c r="J431" s="2">
        <v>0.1</v>
      </c>
      <c r="K431" s="2">
        <v>20893.82</v>
      </c>
      <c r="L431" s="2">
        <v>15577.83</v>
      </c>
      <c r="M431" s="2">
        <v>5315.99</v>
      </c>
      <c r="N431" s="2" t="s">
        <v>29</v>
      </c>
      <c r="O431" s="2" t="s">
        <v>40</v>
      </c>
    </row>
    <row r="432" spans="1:15" x14ac:dyDescent="0.3">
      <c r="A432" s="2" t="s">
        <v>541</v>
      </c>
      <c r="B432" s="3">
        <v>45974</v>
      </c>
      <c r="C432" s="2" t="s">
        <v>16</v>
      </c>
      <c r="D432" s="2" t="s">
        <v>52</v>
      </c>
      <c r="E432" s="2" t="s">
        <v>542</v>
      </c>
      <c r="F432" s="2" t="s">
        <v>27</v>
      </c>
      <c r="G432" s="2" t="s">
        <v>66</v>
      </c>
      <c r="H432" s="2">
        <v>4</v>
      </c>
      <c r="I432" s="2">
        <v>11405.19</v>
      </c>
      <c r="J432" s="2">
        <v>0.05</v>
      </c>
      <c r="K432" s="2">
        <v>43339.72</v>
      </c>
      <c r="L432" s="2">
        <v>33537.65</v>
      </c>
      <c r="M432" s="2">
        <v>9802.07</v>
      </c>
      <c r="N432" s="2" t="s">
        <v>58</v>
      </c>
      <c r="O432" s="2" t="s">
        <v>40</v>
      </c>
    </row>
    <row r="433" spans="1:15" x14ac:dyDescent="0.3">
      <c r="A433" s="2" t="s">
        <v>543</v>
      </c>
      <c r="B433" s="3">
        <v>45746</v>
      </c>
      <c r="C433" s="2" t="s">
        <v>443</v>
      </c>
      <c r="D433" s="2" t="s">
        <v>117</v>
      </c>
      <c r="E433" s="2" t="s">
        <v>49</v>
      </c>
      <c r="F433" s="2" t="s">
        <v>43</v>
      </c>
      <c r="G433" s="2" t="s">
        <v>121</v>
      </c>
      <c r="H433" s="2">
        <v>5</v>
      </c>
      <c r="I433" s="2">
        <v>4616.75</v>
      </c>
      <c r="J433" s="2">
        <v>0.03</v>
      </c>
      <c r="K433" s="2">
        <v>22391.22</v>
      </c>
      <c r="L433" s="2">
        <v>14188.23</v>
      </c>
      <c r="M433" s="2">
        <v>8202.99</v>
      </c>
      <c r="N433" s="2" t="s">
        <v>58</v>
      </c>
      <c r="O433" s="2" t="s">
        <v>30</v>
      </c>
    </row>
    <row r="434" spans="1:15" x14ac:dyDescent="0.3">
      <c r="A434" s="2" t="s">
        <v>544</v>
      </c>
      <c r="B434" s="3">
        <v>45685</v>
      </c>
      <c r="C434" s="2" t="s">
        <v>54</v>
      </c>
      <c r="D434" s="2" t="s">
        <v>55</v>
      </c>
      <c r="E434" s="2" t="s">
        <v>69</v>
      </c>
      <c r="F434" s="2" t="s">
        <v>27</v>
      </c>
      <c r="G434" s="2" t="s">
        <v>28</v>
      </c>
      <c r="H434" s="2">
        <v>3</v>
      </c>
      <c r="I434" s="2">
        <v>27417.71</v>
      </c>
      <c r="J434" s="2">
        <v>0.05</v>
      </c>
      <c r="K434" s="2">
        <v>78140.47</v>
      </c>
      <c r="L434" s="2">
        <v>63262.8</v>
      </c>
      <c r="M434" s="2">
        <v>14877.67</v>
      </c>
      <c r="N434" s="2" t="s">
        <v>29</v>
      </c>
      <c r="O434" s="2" t="s">
        <v>30</v>
      </c>
    </row>
    <row r="435" spans="1:15" x14ac:dyDescent="0.3">
      <c r="A435" s="2" t="s">
        <v>545</v>
      </c>
      <c r="B435" s="3">
        <v>45865</v>
      </c>
      <c r="C435" s="2" t="s">
        <v>16</v>
      </c>
      <c r="D435" s="2" t="s">
        <v>52</v>
      </c>
      <c r="E435" s="2" t="s">
        <v>65</v>
      </c>
      <c r="F435" s="2" t="s">
        <v>34</v>
      </c>
      <c r="G435" s="2" t="s">
        <v>35</v>
      </c>
      <c r="H435" s="2">
        <v>6</v>
      </c>
      <c r="I435" s="2">
        <v>17026.34</v>
      </c>
      <c r="J435" s="2">
        <v>0.08</v>
      </c>
      <c r="K435" s="2">
        <v>93985.39</v>
      </c>
      <c r="L435" s="2">
        <v>80776.67</v>
      </c>
      <c r="M435" s="2">
        <v>13208.72</v>
      </c>
      <c r="N435" s="2" t="s">
        <v>21</v>
      </c>
      <c r="O435" s="2" t="s">
        <v>40</v>
      </c>
    </row>
    <row r="436" spans="1:15" x14ac:dyDescent="0.3">
      <c r="A436" s="2" t="s">
        <v>546</v>
      </c>
      <c r="B436" s="3">
        <v>45901</v>
      </c>
      <c r="C436" s="2" t="s">
        <v>16</v>
      </c>
      <c r="D436" s="2" t="s">
        <v>32</v>
      </c>
      <c r="E436" s="2" t="s">
        <v>74</v>
      </c>
      <c r="F436" s="2" t="s">
        <v>27</v>
      </c>
      <c r="G436" s="2" t="s">
        <v>66</v>
      </c>
      <c r="H436" s="2" t="s">
        <v>547</v>
      </c>
      <c r="I436" s="2">
        <v>10801.6</v>
      </c>
      <c r="J436" s="2">
        <v>0.08</v>
      </c>
      <c r="K436" s="2">
        <v>59624.85</v>
      </c>
      <c r="L436" s="2">
        <v>43292.89</v>
      </c>
      <c r="M436" s="2">
        <v>16331.96</v>
      </c>
      <c r="N436" s="2" t="s">
        <v>21</v>
      </c>
      <c r="O436" s="2" t="s">
        <v>30</v>
      </c>
    </row>
    <row r="437" spans="1:15" x14ac:dyDescent="0.3">
      <c r="A437" s="2" t="s">
        <v>548</v>
      </c>
      <c r="B437" s="3">
        <v>45887</v>
      </c>
      <c r="C437" s="2" t="s">
        <v>54</v>
      </c>
      <c r="D437" s="2"/>
      <c r="E437" s="2" t="s">
        <v>56</v>
      </c>
      <c r="F437" s="2" t="s">
        <v>27</v>
      </c>
      <c r="G437" s="2" t="s">
        <v>89</v>
      </c>
      <c r="H437" s="2">
        <v>2</v>
      </c>
      <c r="I437" s="2">
        <v>31884.37</v>
      </c>
      <c r="J437" s="2">
        <v>0.08</v>
      </c>
      <c r="K437" s="2">
        <v>58667.24</v>
      </c>
      <c r="L437" s="2">
        <v>44564.62</v>
      </c>
      <c r="M437" s="2">
        <v>14102.62</v>
      </c>
      <c r="N437" s="2" t="s">
        <v>58</v>
      </c>
      <c r="O437" s="2" t="s">
        <v>30</v>
      </c>
    </row>
    <row r="438" spans="1:15" x14ac:dyDescent="0.3">
      <c r="A438" s="2" t="s">
        <v>549</v>
      </c>
      <c r="B438" s="3">
        <v>45835</v>
      </c>
      <c r="C438" s="2" t="s">
        <v>37</v>
      </c>
      <c r="D438" s="2" t="s">
        <v>68</v>
      </c>
      <c r="E438" s="2" t="s">
        <v>49</v>
      </c>
      <c r="F438" s="2" t="s">
        <v>34</v>
      </c>
      <c r="G438" s="2" t="s">
        <v>70</v>
      </c>
      <c r="H438" s="2">
        <v>4</v>
      </c>
      <c r="I438" s="2">
        <v>61971.839999999997</v>
      </c>
      <c r="J438" s="2">
        <v>0</v>
      </c>
      <c r="K438" s="2">
        <v>247887.37</v>
      </c>
      <c r="L438" s="2">
        <v>186552.07</v>
      </c>
      <c r="M438" s="2">
        <v>61335.3</v>
      </c>
      <c r="N438" s="2" t="s">
        <v>58</v>
      </c>
      <c r="O438" s="2" t="s">
        <v>22</v>
      </c>
    </row>
    <row r="439" spans="1:15" x14ac:dyDescent="0.3">
      <c r="A439" s="2" t="s">
        <v>550</v>
      </c>
      <c r="B439" s="3">
        <v>45783</v>
      </c>
      <c r="C439" s="2" t="s">
        <v>37</v>
      </c>
      <c r="D439" s="2" t="s">
        <v>42</v>
      </c>
      <c r="E439" s="2" t="s">
        <v>69</v>
      </c>
      <c r="F439" s="2" t="s">
        <v>34</v>
      </c>
      <c r="G439" s="2" t="s">
        <v>35</v>
      </c>
      <c r="H439" s="2">
        <v>3</v>
      </c>
      <c r="I439" s="2">
        <v>18513.77</v>
      </c>
      <c r="J439" s="2">
        <v>0.08</v>
      </c>
      <c r="K439" s="2">
        <v>51098</v>
      </c>
      <c r="L439" s="2">
        <v>33500.18</v>
      </c>
      <c r="M439" s="2">
        <v>17597.82</v>
      </c>
      <c r="N439" s="2" t="s">
        <v>21</v>
      </c>
      <c r="O439" s="2" t="s">
        <v>22</v>
      </c>
    </row>
    <row r="440" spans="1:15" x14ac:dyDescent="0.3">
      <c r="A440" s="2" t="s">
        <v>551</v>
      </c>
      <c r="B440" s="3">
        <v>45789</v>
      </c>
      <c r="C440" s="2" t="s">
        <v>37</v>
      </c>
      <c r="D440" s="2" t="s">
        <v>38</v>
      </c>
      <c r="E440" s="2" t="s">
        <v>18</v>
      </c>
      <c r="F440" s="2" t="s">
        <v>43</v>
      </c>
      <c r="G440" s="2" t="s">
        <v>84</v>
      </c>
      <c r="H440" s="2">
        <v>7</v>
      </c>
      <c r="I440" s="2">
        <v>44953.9</v>
      </c>
      <c r="J440" s="2">
        <v>0.08</v>
      </c>
      <c r="K440" s="2">
        <v>289503.12</v>
      </c>
      <c r="L440" s="2">
        <v>220251</v>
      </c>
      <c r="M440" s="2">
        <v>69252.12</v>
      </c>
      <c r="N440" s="2" t="s">
        <v>21</v>
      </c>
      <c r="O440" s="2" t="s">
        <v>22</v>
      </c>
    </row>
    <row r="441" spans="1:15" x14ac:dyDescent="0.3">
      <c r="A441" s="2" t="s">
        <v>552</v>
      </c>
      <c r="B441" s="3">
        <v>46003</v>
      </c>
      <c r="C441" s="2" t="s">
        <v>54</v>
      </c>
      <c r="D441" s="2" t="s">
        <v>55</v>
      </c>
      <c r="E441" s="2" t="s">
        <v>74</v>
      </c>
      <c r="F441" s="2" t="s">
        <v>43</v>
      </c>
      <c r="G441" s="2" t="s">
        <v>75</v>
      </c>
      <c r="H441" s="2">
        <v>5</v>
      </c>
      <c r="I441" s="2">
        <v>34244.339999999997</v>
      </c>
      <c r="J441" s="2">
        <v>0.08</v>
      </c>
      <c r="K441" s="2">
        <v>157523.94</v>
      </c>
      <c r="L441" s="2">
        <v>109879.87</v>
      </c>
      <c r="M441" s="2">
        <v>47644.07</v>
      </c>
      <c r="N441" s="2" t="s">
        <v>58</v>
      </c>
      <c r="O441" s="2" t="s">
        <v>45</v>
      </c>
    </row>
    <row r="442" spans="1:15" x14ac:dyDescent="0.3">
      <c r="A442" s="2" t="s">
        <v>553</v>
      </c>
      <c r="B442" s="3">
        <v>45690</v>
      </c>
      <c r="C442" s="2" t="s">
        <v>16</v>
      </c>
      <c r="D442" s="2" t="s">
        <v>82</v>
      </c>
      <c r="E442" s="2" t="s">
        <v>26</v>
      </c>
      <c r="F442" s="2" t="s">
        <v>19</v>
      </c>
      <c r="G442" s="2" t="s">
        <v>106</v>
      </c>
      <c r="H442" s="2">
        <v>5</v>
      </c>
      <c r="I442" s="2" t="s">
        <v>554</v>
      </c>
      <c r="J442" s="2">
        <v>0.15</v>
      </c>
      <c r="K442" s="2">
        <v>58763.69</v>
      </c>
      <c r="L442" s="2">
        <v>36581.480000000003</v>
      </c>
      <c r="M442" s="2">
        <v>22182.21</v>
      </c>
      <c r="N442" s="2" t="s">
        <v>21</v>
      </c>
      <c r="O442" s="2" t="s">
        <v>40</v>
      </c>
    </row>
    <row r="443" spans="1:15" x14ac:dyDescent="0.3">
      <c r="A443" s="2" t="s">
        <v>555</v>
      </c>
      <c r="B443" s="3">
        <v>45928</v>
      </c>
      <c r="C443" s="2" t="s">
        <v>54</v>
      </c>
      <c r="D443" s="2" t="s">
        <v>174</v>
      </c>
      <c r="E443" s="2" t="s">
        <v>18</v>
      </c>
      <c r="F443" s="2" t="s">
        <v>27</v>
      </c>
      <c r="G443" s="2" t="s">
        <v>125</v>
      </c>
      <c r="H443" s="2">
        <v>4</v>
      </c>
      <c r="I443" s="2">
        <v>8927.57</v>
      </c>
      <c r="J443" s="2">
        <v>0.03</v>
      </c>
      <c r="K443" s="2">
        <v>34638.959999999999</v>
      </c>
      <c r="L443" s="2">
        <v>22575.01</v>
      </c>
      <c r="M443" s="2">
        <v>12063.95</v>
      </c>
      <c r="N443" s="2" t="s">
        <v>29</v>
      </c>
      <c r="O443" s="2" t="s">
        <v>45</v>
      </c>
    </row>
    <row r="444" spans="1:15" x14ac:dyDescent="0.3">
      <c r="A444" s="2" t="s">
        <v>556</v>
      </c>
      <c r="B444" s="3">
        <v>45752</v>
      </c>
      <c r="C444" s="2" t="s">
        <v>37</v>
      </c>
      <c r="D444" s="2" t="s">
        <v>25</v>
      </c>
      <c r="E444" s="2" t="s">
        <v>69</v>
      </c>
      <c r="F444" s="2" t="s">
        <v>34</v>
      </c>
      <c r="G444" s="2" t="s">
        <v>39</v>
      </c>
      <c r="H444" s="2">
        <v>4</v>
      </c>
      <c r="I444" s="2">
        <v>31210.22</v>
      </c>
      <c r="J444" s="2">
        <v>0.1</v>
      </c>
      <c r="K444" s="2">
        <v>112356.78</v>
      </c>
      <c r="L444" s="2">
        <v>92187.55</v>
      </c>
      <c r="M444" s="2">
        <v>20169.23</v>
      </c>
      <c r="N444" s="2" t="s">
        <v>58</v>
      </c>
      <c r="O444" s="2" t="s">
        <v>40</v>
      </c>
    </row>
    <row r="445" spans="1:15" x14ac:dyDescent="0.3">
      <c r="A445" s="2" t="s">
        <v>557</v>
      </c>
      <c r="B445" s="3">
        <v>45742</v>
      </c>
      <c r="C445" s="2" t="s">
        <v>37</v>
      </c>
      <c r="D445" s="2" t="s">
        <v>42</v>
      </c>
      <c r="E445" s="2" t="s">
        <v>56</v>
      </c>
      <c r="F445" s="2" t="s">
        <v>558</v>
      </c>
      <c r="G445" s="2" t="s">
        <v>75</v>
      </c>
      <c r="H445" s="2">
        <v>4</v>
      </c>
      <c r="I445" s="2">
        <v>38507.78</v>
      </c>
      <c r="J445" s="2">
        <v>0.05</v>
      </c>
      <c r="K445" s="2">
        <v>146329.56</v>
      </c>
      <c r="L445" s="2">
        <v>106365.9</v>
      </c>
      <c r="M445" s="2">
        <v>39963.660000000003</v>
      </c>
      <c r="N445" s="2" t="s">
        <v>21</v>
      </c>
      <c r="O445" s="2" t="s">
        <v>40</v>
      </c>
    </row>
    <row r="446" spans="1:15" x14ac:dyDescent="0.3">
      <c r="A446" s="2" t="s">
        <v>559</v>
      </c>
      <c r="B446" s="3">
        <v>45710</v>
      </c>
      <c r="C446" s="2" t="s">
        <v>16</v>
      </c>
      <c r="D446" s="2" t="s">
        <v>32</v>
      </c>
      <c r="E446" s="2" t="s">
        <v>18</v>
      </c>
      <c r="F446" s="2" t="s">
        <v>43</v>
      </c>
      <c r="G446" s="2" t="s">
        <v>75</v>
      </c>
      <c r="H446" s="2">
        <v>5</v>
      </c>
      <c r="I446" s="2">
        <v>37840.949999999997</v>
      </c>
      <c r="J446" s="2">
        <v>0.1</v>
      </c>
      <c r="K446" s="2">
        <v>170284.28</v>
      </c>
      <c r="L446" s="2">
        <v>137769.88</v>
      </c>
      <c r="M446" s="2">
        <v>32514.400000000001</v>
      </c>
      <c r="N446" s="2" t="s">
        <v>29</v>
      </c>
      <c r="O446" s="2" t="s">
        <v>59</v>
      </c>
    </row>
    <row r="447" spans="1:15" x14ac:dyDescent="0.3">
      <c r="A447" s="2" t="s">
        <v>560</v>
      </c>
      <c r="B447" s="3">
        <v>45692</v>
      </c>
      <c r="C447" s="2" t="s">
        <v>16</v>
      </c>
      <c r="D447" s="2" t="s">
        <v>52</v>
      </c>
      <c r="E447" s="2" t="s">
        <v>18</v>
      </c>
      <c r="F447" s="2" t="s">
        <v>19</v>
      </c>
      <c r="G447" s="2" t="s">
        <v>106</v>
      </c>
      <c r="H447" s="2">
        <v>7</v>
      </c>
      <c r="I447" s="2">
        <v>13200.23</v>
      </c>
      <c r="J447" s="2">
        <v>0.08</v>
      </c>
      <c r="K447" s="2">
        <v>85009.5</v>
      </c>
      <c r="L447" s="2">
        <v>57687.34</v>
      </c>
      <c r="M447" s="2">
        <v>27322.16</v>
      </c>
      <c r="N447" s="2" t="s">
        <v>21</v>
      </c>
      <c r="O447" s="2" t="s">
        <v>45</v>
      </c>
    </row>
    <row r="448" spans="1:15" x14ac:dyDescent="0.3">
      <c r="A448" s="2" t="s">
        <v>561</v>
      </c>
      <c r="B448" s="3">
        <v>45793</v>
      </c>
      <c r="C448" s="2" t="s">
        <v>54</v>
      </c>
      <c r="D448" s="2" t="s">
        <v>174</v>
      </c>
      <c r="E448" s="2" t="s">
        <v>26</v>
      </c>
      <c r="F448" s="2" t="s">
        <v>34</v>
      </c>
      <c r="G448" s="2" t="s">
        <v>39</v>
      </c>
      <c r="H448" s="2">
        <v>4</v>
      </c>
      <c r="I448" s="2">
        <v>29877.29</v>
      </c>
      <c r="J448" s="2">
        <v>0</v>
      </c>
      <c r="K448" s="2">
        <v>119509.15</v>
      </c>
      <c r="L448" s="2">
        <v>74835.94</v>
      </c>
      <c r="M448" s="2">
        <v>44673.21</v>
      </c>
      <c r="N448" s="2" t="s">
        <v>29</v>
      </c>
      <c r="O448" s="2" t="s">
        <v>45</v>
      </c>
    </row>
    <row r="449" spans="1:15" x14ac:dyDescent="0.3">
      <c r="A449" s="2" t="s">
        <v>562</v>
      </c>
      <c r="B449" s="3">
        <v>45935</v>
      </c>
      <c r="C449" s="2" t="s">
        <v>47</v>
      </c>
      <c r="D449" s="2" t="s">
        <v>124</v>
      </c>
      <c r="E449" s="2" t="s">
        <v>49</v>
      </c>
      <c r="F449" s="2" t="s">
        <v>34</v>
      </c>
      <c r="G449" s="2" t="s">
        <v>80</v>
      </c>
      <c r="H449" s="2">
        <v>1</v>
      </c>
      <c r="I449" s="2">
        <v>4800.63</v>
      </c>
      <c r="J449" s="2">
        <v>0.08</v>
      </c>
      <c r="K449" s="2">
        <v>4416.58</v>
      </c>
      <c r="L449" s="2">
        <v>3609.94</v>
      </c>
      <c r="M449" s="2">
        <v>806.64</v>
      </c>
      <c r="N449" s="2" t="s">
        <v>29</v>
      </c>
      <c r="O449" s="2" t="s">
        <v>45</v>
      </c>
    </row>
    <row r="450" spans="1:15" x14ac:dyDescent="0.3">
      <c r="A450" s="2" t="s">
        <v>563</v>
      </c>
      <c r="B450" s="3">
        <v>45991</v>
      </c>
      <c r="C450" s="2" t="s">
        <v>16</v>
      </c>
      <c r="D450" s="2" t="s">
        <v>52</v>
      </c>
      <c r="E450" s="2" t="s">
        <v>69</v>
      </c>
      <c r="F450" s="2" t="s">
        <v>43</v>
      </c>
      <c r="G450" s="2" t="s">
        <v>84</v>
      </c>
      <c r="H450" s="2">
        <v>1</v>
      </c>
      <c r="I450" s="2">
        <v>44936.160000000003</v>
      </c>
      <c r="J450" s="2">
        <v>0.15</v>
      </c>
      <c r="K450" s="2">
        <v>38195.730000000003</v>
      </c>
      <c r="L450" s="2">
        <v>30982.71</v>
      </c>
      <c r="M450" s="2">
        <v>7213.02</v>
      </c>
      <c r="N450" s="2" t="s">
        <v>21</v>
      </c>
      <c r="O450" s="2" t="s">
        <v>30</v>
      </c>
    </row>
    <row r="451" spans="1:15" x14ac:dyDescent="0.3">
      <c r="A451" s="2" t="s">
        <v>564</v>
      </c>
      <c r="B451" s="3">
        <v>45972</v>
      </c>
      <c r="C451" s="2" t="s">
        <v>37</v>
      </c>
      <c r="D451" s="2" t="s">
        <v>25</v>
      </c>
      <c r="E451" s="2" t="s">
        <v>18</v>
      </c>
      <c r="F451" s="2" t="s">
        <v>19</v>
      </c>
      <c r="G451" s="2" t="s">
        <v>108</v>
      </c>
      <c r="H451" s="2">
        <v>2</v>
      </c>
      <c r="I451" s="2">
        <v>16027.32</v>
      </c>
      <c r="J451" s="2">
        <v>0</v>
      </c>
      <c r="K451" s="2">
        <v>32054.65</v>
      </c>
      <c r="L451" s="2">
        <v>22073.35</v>
      </c>
      <c r="M451" s="2">
        <v>9981.2999999999993</v>
      </c>
      <c r="N451" s="2" t="s">
        <v>21</v>
      </c>
      <c r="O451" s="2" t="s">
        <v>30</v>
      </c>
    </row>
    <row r="452" spans="1:15" x14ac:dyDescent="0.3">
      <c r="A452" s="2" t="s">
        <v>565</v>
      </c>
      <c r="B452" s="3">
        <v>45906</v>
      </c>
      <c r="C452" s="2" t="s">
        <v>37</v>
      </c>
      <c r="D452" s="2" t="s">
        <v>42</v>
      </c>
      <c r="E452" s="2" t="s">
        <v>69</v>
      </c>
      <c r="F452" s="2" t="s">
        <v>19</v>
      </c>
      <c r="G452" s="2" t="s">
        <v>108</v>
      </c>
      <c r="H452" s="2">
        <v>8</v>
      </c>
      <c r="I452" s="2">
        <v>15367.14</v>
      </c>
      <c r="J452" s="2">
        <v>0.05</v>
      </c>
      <c r="K452" s="2">
        <v>116790.23</v>
      </c>
      <c r="L452" s="2">
        <v>73032.72</v>
      </c>
      <c r="M452" s="2">
        <v>43757.51</v>
      </c>
      <c r="N452" s="2" t="s">
        <v>21</v>
      </c>
      <c r="O452" s="2" t="s">
        <v>22</v>
      </c>
    </row>
    <row r="453" spans="1:15" x14ac:dyDescent="0.3">
      <c r="A453" s="2" t="s">
        <v>566</v>
      </c>
      <c r="B453" s="3">
        <v>45995</v>
      </c>
      <c r="C453" s="2" t="s">
        <v>54</v>
      </c>
      <c r="D453" s="2" t="s">
        <v>48</v>
      </c>
      <c r="E453" s="2" t="s">
        <v>26</v>
      </c>
      <c r="F453" s="2" t="s">
        <v>27</v>
      </c>
      <c r="G453" s="2" t="s">
        <v>125</v>
      </c>
      <c r="H453" s="2">
        <v>5</v>
      </c>
      <c r="I453" s="2">
        <v>8050.53</v>
      </c>
      <c r="J453" s="2">
        <v>0</v>
      </c>
      <c r="K453" s="2">
        <v>40252.629999999997</v>
      </c>
      <c r="L453" s="2">
        <v>30922.35</v>
      </c>
      <c r="M453" s="2">
        <v>9330.2800000000007</v>
      </c>
      <c r="N453" s="2" t="s">
        <v>29</v>
      </c>
      <c r="O453" s="2" t="s">
        <v>45</v>
      </c>
    </row>
    <row r="454" spans="1:15" x14ac:dyDescent="0.3">
      <c r="A454" s="2" t="s">
        <v>567</v>
      </c>
      <c r="B454" s="3">
        <v>45966</v>
      </c>
      <c r="C454" s="2" t="s">
        <v>16</v>
      </c>
      <c r="D454" s="2" t="s">
        <v>32</v>
      </c>
      <c r="E454" s="2" t="s">
        <v>49</v>
      </c>
      <c r="F454" s="2" t="s">
        <v>34</v>
      </c>
      <c r="G454" s="2" t="s">
        <v>39</v>
      </c>
      <c r="H454" s="2">
        <v>7</v>
      </c>
      <c r="I454" s="2">
        <v>29279.7</v>
      </c>
      <c r="J454" s="2">
        <v>0.1</v>
      </c>
      <c r="K454" s="2">
        <v>184462.12</v>
      </c>
      <c r="L454" s="2">
        <v>158306.04</v>
      </c>
      <c r="M454" s="2">
        <v>26156.080000000002</v>
      </c>
      <c r="N454" s="2" t="s">
        <v>29</v>
      </c>
      <c r="O454" s="2" t="s">
        <v>45</v>
      </c>
    </row>
    <row r="455" spans="1:15" x14ac:dyDescent="0.3">
      <c r="A455" s="2" t="s">
        <v>568</v>
      </c>
      <c r="B455" s="3">
        <v>45946</v>
      </c>
      <c r="C455" s="2" t="s">
        <v>37</v>
      </c>
      <c r="D455" s="2" t="s">
        <v>68</v>
      </c>
      <c r="E455" s="2" t="s">
        <v>56</v>
      </c>
      <c r="F455" s="2" t="s">
        <v>43</v>
      </c>
      <c r="G455" s="2" t="s">
        <v>44</v>
      </c>
      <c r="H455" s="2">
        <v>2</v>
      </c>
      <c r="I455" s="2">
        <v>12596.1</v>
      </c>
      <c r="J455" s="2">
        <v>0.03</v>
      </c>
      <c r="K455" s="2">
        <v>24436.43</v>
      </c>
      <c r="L455" s="2">
        <v>19441.009999999998</v>
      </c>
      <c r="M455" s="2">
        <v>4995.42</v>
      </c>
      <c r="N455" s="2" t="s">
        <v>58</v>
      </c>
      <c r="O455" s="2" t="s">
        <v>22</v>
      </c>
    </row>
    <row r="456" spans="1:15" x14ac:dyDescent="0.3">
      <c r="A456" s="2" t="s">
        <v>569</v>
      </c>
      <c r="B456" s="3">
        <v>45783</v>
      </c>
      <c r="C456" s="2" t="s">
        <v>37</v>
      </c>
      <c r="D456" s="2" t="s">
        <v>25</v>
      </c>
      <c r="E456" s="2" t="s">
        <v>56</v>
      </c>
      <c r="F456" s="2" t="s">
        <v>27</v>
      </c>
      <c r="G456" s="2" t="s">
        <v>66</v>
      </c>
      <c r="H456" s="2">
        <v>2</v>
      </c>
      <c r="I456" s="2">
        <v>11268</v>
      </c>
      <c r="J456" s="2">
        <v>0.05</v>
      </c>
      <c r="K456" s="2">
        <v>21409.21</v>
      </c>
      <c r="L456" s="2">
        <v>16745.91</v>
      </c>
      <c r="M456" s="2">
        <v>4663.3</v>
      </c>
      <c r="N456" s="2" t="s">
        <v>29</v>
      </c>
      <c r="O456" s="2" t="s">
        <v>40</v>
      </c>
    </row>
    <row r="457" spans="1:15" x14ac:dyDescent="0.3">
      <c r="A457" s="2" t="s">
        <v>570</v>
      </c>
      <c r="B457" s="3">
        <v>45722</v>
      </c>
      <c r="C457" s="2" t="s">
        <v>63</v>
      </c>
      <c r="D457" s="2" t="s">
        <v>88</v>
      </c>
      <c r="E457" s="2" t="s">
        <v>65</v>
      </c>
      <c r="F457" s="2" t="s">
        <v>34</v>
      </c>
      <c r="G457" s="2" t="s">
        <v>35</v>
      </c>
      <c r="H457" s="2">
        <v>7</v>
      </c>
      <c r="I457" s="2">
        <v>19293.91</v>
      </c>
      <c r="J457" s="2">
        <v>0.1</v>
      </c>
      <c r="K457" s="2">
        <v>121551.61</v>
      </c>
      <c r="L457" s="2">
        <v>101822.58</v>
      </c>
      <c r="M457" s="2">
        <v>19729.03</v>
      </c>
      <c r="N457" s="2" t="s">
        <v>21</v>
      </c>
      <c r="O457" s="2" t="s">
        <v>22</v>
      </c>
    </row>
    <row r="458" spans="1:15" x14ac:dyDescent="0.3">
      <c r="A458" s="2" t="s">
        <v>571</v>
      </c>
      <c r="B458" s="3">
        <v>45760</v>
      </c>
      <c r="C458" s="2" t="s">
        <v>63</v>
      </c>
      <c r="D458" s="2" t="s">
        <v>64</v>
      </c>
      <c r="E458" s="2" t="s">
        <v>572</v>
      </c>
      <c r="F458" s="2" t="s">
        <v>43</v>
      </c>
      <c r="G458" s="2" t="s">
        <v>121</v>
      </c>
      <c r="H458" s="2">
        <v>3</v>
      </c>
      <c r="I458" s="2">
        <v>4879.88</v>
      </c>
      <c r="J458" s="2">
        <v>0.03</v>
      </c>
      <c r="K458" s="2">
        <v>14200.46</v>
      </c>
      <c r="L458" s="2">
        <v>11039.68</v>
      </c>
      <c r="M458" s="2">
        <v>3160.78</v>
      </c>
      <c r="N458" s="2" t="s">
        <v>29</v>
      </c>
      <c r="O458" s="2" t="s">
        <v>45</v>
      </c>
    </row>
    <row r="459" spans="1:15" x14ac:dyDescent="0.3">
      <c r="A459" s="2" t="s">
        <v>573</v>
      </c>
      <c r="B459" s="3">
        <v>46004</v>
      </c>
      <c r="C459" s="2" t="s">
        <v>37</v>
      </c>
      <c r="D459" s="2" t="s">
        <v>42</v>
      </c>
      <c r="E459" s="2" t="s">
        <v>69</v>
      </c>
      <c r="F459" s="2" t="s">
        <v>27</v>
      </c>
      <c r="G459" s="2" t="s">
        <v>66</v>
      </c>
      <c r="H459" s="2">
        <v>2</v>
      </c>
      <c r="I459" s="2">
        <v>10952.53</v>
      </c>
      <c r="J459" s="2">
        <v>0</v>
      </c>
      <c r="K459" s="2">
        <v>21905.06</v>
      </c>
      <c r="L459" s="2">
        <v>17257.71</v>
      </c>
      <c r="M459" s="2">
        <v>4647.3500000000004</v>
      </c>
      <c r="N459" s="2" t="s">
        <v>29</v>
      </c>
      <c r="O459" s="2" t="s">
        <v>45</v>
      </c>
    </row>
    <row r="460" spans="1:15" x14ac:dyDescent="0.3">
      <c r="A460" s="2" t="s">
        <v>574</v>
      </c>
      <c r="B460" s="3">
        <v>45749</v>
      </c>
      <c r="C460" s="2" t="s">
        <v>16</v>
      </c>
      <c r="D460" s="2" t="s">
        <v>17</v>
      </c>
      <c r="E460" s="2" t="s">
        <v>33</v>
      </c>
      <c r="F460" s="2" t="s">
        <v>43</v>
      </c>
      <c r="G460" s="2" t="s">
        <v>121</v>
      </c>
      <c r="H460" s="2">
        <v>5</v>
      </c>
      <c r="I460" s="2">
        <v>4952.43</v>
      </c>
      <c r="J460" s="2">
        <v>0.03</v>
      </c>
      <c r="K460" s="2">
        <v>24019.29</v>
      </c>
      <c r="L460" s="2">
        <v>20149.07</v>
      </c>
      <c r="M460" s="2">
        <v>3870.22</v>
      </c>
      <c r="N460" s="2" t="s">
        <v>29</v>
      </c>
      <c r="O460" s="2" t="s">
        <v>30</v>
      </c>
    </row>
    <row r="461" spans="1:15" x14ac:dyDescent="0.3">
      <c r="A461" s="2" t="s">
        <v>575</v>
      </c>
      <c r="B461" s="3">
        <v>45979</v>
      </c>
      <c r="C461" s="2" t="s">
        <v>37</v>
      </c>
      <c r="D461" s="2" t="s">
        <v>25</v>
      </c>
      <c r="E461" s="2" t="s">
        <v>33</v>
      </c>
      <c r="F461" s="2" t="s">
        <v>43</v>
      </c>
      <c r="G461" s="2" t="s">
        <v>44</v>
      </c>
      <c r="H461" s="2">
        <v>1</v>
      </c>
      <c r="I461" s="2">
        <v>11505.75</v>
      </c>
      <c r="J461" s="2">
        <v>0</v>
      </c>
      <c r="K461" s="2">
        <v>11505.75</v>
      </c>
      <c r="L461" s="2">
        <v>8013.59</v>
      </c>
      <c r="M461" s="2">
        <v>3492.16</v>
      </c>
      <c r="N461" s="2" t="s">
        <v>58</v>
      </c>
      <c r="O461" s="2" t="s">
        <v>45</v>
      </c>
    </row>
    <row r="462" spans="1:15" x14ac:dyDescent="0.3">
      <c r="A462" s="2" t="s">
        <v>576</v>
      </c>
      <c r="B462" s="3">
        <v>45810</v>
      </c>
      <c r="C462" s="2" t="s">
        <v>16</v>
      </c>
      <c r="D462" s="2" t="s">
        <v>82</v>
      </c>
      <c r="E462" s="2" t="s">
        <v>69</v>
      </c>
      <c r="F462" s="2" t="s">
        <v>19</v>
      </c>
      <c r="G462" s="2" t="s">
        <v>108</v>
      </c>
      <c r="H462" s="2">
        <v>4</v>
      </c>
      <c r="I462" s="2">
        <v>14777.68</v>
      </c>
      <c r="J462" s="2">
        <v>0.05</v>
      </c>
      <c r="K462" s="2">
        <v>56155.17</v>
      </c>
      <c r="L462" s="2">
        <v>46899.56</v>
      </c>
      <c r="M462" s="2">
        <v>9255.61</v>
      </c>
      <c r="N462" s="2" t="s">
        <v>21</v>
      </c>
      <c r="O462" s="2" t="s">
        <v>40</v>
      </c>
    </row>
    <row r="463" spans="1:15" x14ac:dyDescent="0.3">
      <c r="A463" s="2" t="s">
        <v>577</v>
      </c>
      <c r="B463" s="3">
        <v>45986</v>
      </c>
      <c r="C463" s="2" t="s">
        <v>37</v>
      </c>
      <c r="D463" s="2" t="s">
        <v>25</v>
      </c>
      <c r="E463" s="2" t="s">
        <v>56</v>
      </c>
      <c r="F463" s="2" t="s">
        <v>34</v>
      </c>
      <c r="G463" s="2" t="s">
        <v>80</v>
      </c>
      <c r="H463" s="2">
        <v>3</v>
      </c>
      <c r="I463" s="2">
        <v>4722.04</v>
      </c>
      <c r="J463" s="2">
        <v>0.08</v>
      </c>
      <c r="K463" s="2">
        <v>13032.84</v>
      </c>
      <c r="L463" s="2">
        <v>9005.42</v>
      </c>
      <c r="M463" s="2">
        <v>4027.42</v>
      </c>
      <c r="N463" s="2" t="s">
        <v>29</v>
      </c>
      <c r="O463" s="2" t="s">
        <v>22</v>
      </c>
    </row>
    <row r="464" spans="1:15" x14ac:dyDescent="0.3">
      <c r="A464" s="2" t="s">
        <v>578</v>
      </c>
      <c r="B464" s="3">
        <v>45727</v>
      </c>
      <c r="C464" s="2" t="s">
        <v>37</v>
      </c>
      <c r="D464" s="2" t="s">
        <v>42</v>
      </c>
      <c r="E464" s="2" t="s">
        <v>49</v>
      </c>
      <c r="F464" s="2" t="s">
        <v>19</v>
      </c>
      <c r="G464" s="2" t="s">
        <v>61</v>
      </c>
      <c r="H464" s="2">
        <v>2</v>
      </c>
      <c r="I464" s="2">
        <v>8907.83</v>
      </c>
      <c r="J464" s="2">
        <v>0.08</v>
      </c>
      <c r="K464" s="2">
        <v>16390.41</v>
      </c>
      <c r="L464" s="2">
        <v>12481.57</v>
      </c>
      <c r="M464" s="2">
        <v>3908.84</v>
      </c>
      <c r="N464" s="2" t="s">
        <v>29</v>
      </c>
      <c r="O464" s="2" t="s">
        <v>22</v>
      </c>
    </row>
    <row r="465" spans="1:15" x14ac:dyDescent="0.3">
      <c r="A465" s="2" t="s">
        <v>579</v>
      </c>
      <c r="B465" s="3">
        <v>45672</v>
      </c>
      <c r="C465" s="2" t="s">
        <v>37</v>
      </c>
      <c r="D465" s="2" t="s">
        <v>25</v>
      </c>
      <c r="E465" s="2" t="s">
        <v>33</v>
      </c>
      <c r="F465" s="2" t="s">
        <v>43</v>
      </c>
      <c r="G465" s="2" t="s">
        <v>91</v>
      </c>
      <c r="H465" s="2">
        <v>2</v>
      </c>
      <c r="I465" s="2">
        <v>46335.62</v>
      </c>
      <c r="J465" s="2">
        <v>0.05</v>
      </c>
      <c r="K465" s="2">
        <v>88037.69</v>
      </c>
      <c r="L465" s="2">
        <v>71737.320000000007</v>
      </c>
      <c r="M465" s="2">
        <v>16300.37</v>
      </c>
      <c r="N465" s="2" t="s">
        <v>21</v>
      </c>
      <c r="O465" s="2" t="s">
        <v>30</v>
      </c>
    </row>
    <row r="466" spans="1:15" x14ac:dyDescent="0.3">
      <c r="A466" s="2" t="s">
        <v>580</v>
      </c>
      <c r="B466" s="3">
        <v>45803</v>
      </c>
      <c r="C466" s="2" t="s">
        <v>16</v>
      </c>
      <c r="D466" s="2" t="s">
        <v>52</v>
      </c>
      <c r="E466" s="2" t="s">
        <v>49</v>
      </c>
      <c r="F466" s="2" t="s">
        <v>34</v>
      </c>
      <c r="G466" s="2" t="s">
        <v>57</v>
      </c>
      <c r="H466" s="2">
        <v>1</v>
      </c>
      <c r="I466" s="2">
        <v>23359.32</v>
      </c>
      <c r="J466" s="2">
        <v>0.05</v>
      </c>
      <c r="K466" s="2">
        <v>22191.360000000001</v>
      </c>
      <c r="L466" s="2">
        <v>16765.61</v>
      </c>
      <c r="M466" s="2">
        <v>5425.75</v>
      </c>
      <c r="N466" s="2" t="s">
        <v>58</v>
      </c>
      <c r="O466" s="2" t="s">
        <v>45</v>
      </c>
    </row>
    <row r="467" spans="1:15" x14ac:dyDescent="0.3">
      <c r="A467" s="2" t="s">
        <v>581</v>
      </c>
      <c r="B467" s="3">
        <v>45774</v>
      </c>
      <c r="C467" s="2" t="s">
        <v>54</v>
      </c>
      <c r="D467" s="2" t="s">
        <v>48</v>
      </c>
      <c r="E467" s="2" t="s">
        <v>65</v>
      </c>
      <c r="F467" s="2" t="s">
        <v>19</v>
      </c>
      <c r="G467" s="2" t="s">
        <v>108</v>
      </c>
      <c r="H467" s="2">
        <v>8</v>
      </c>
      <c r="I467" s="2">
        <v>15332.37</v>
      </c>
      <c r="J467" s="2">
        <v>0.03</v>
      </c>
      <c r="K467" s="2">
        <v>118979.22</v>
      </c>
      <c r="L467" s="2">
        <v>75398.100000000006</v>
      </c>
      <c r="M467" s="2">
        <v>43581.120000000003</v>
      </c>
      <c r="N467" s="2" t="s">
        <v>21</v>
      </c>
      <c r="O467" s="2" t="s">
        <v>45</v>
      </c>
    </row>
    <row r="468" spans="1:15" x14ac:dyDescent="0.3">
      <c r="A468" s="2" t="s">
        <v>582</v>
      </c>
      <c r="B468" s="3">
        <v>45787</v>
      </c>
      <c r="C468" s="2" t="s">
        <v>37</v>
      </c>
      <c r="D468" s="2" t="s">
        <v>68</v>
      </c>
      <c r="E468" s="2" t="s">
        <v>49</v>
      </c>
      <c r="F468" s="2" t="s">
        <v>43</v>
      </c>
      <c r="G468" s="2" t="s">
        <v>91</v>
      </c>
      <c r="H468" s="2">
        <v>5</v>
      </c>
      <c r="I468" s="2">
        <v>45996.03</v>
      </c>
      <c r="J468" s="2">
        <v>0.08</v>
      </c>
      <c r="K468" s="2">
        <v>211581.74</v>
      </c>
      <c r="L468" s="2">
        <v>169773.47</v>
      </c>
      <c r="M468" s="2">
        <v>41808.269999999997</v>
      </c>
      <c r="N468" s="2" t="s">
        <v>29</v>
      </c>
      <c r="O468" s="2" t="s">
        <v>40</v>
      </c>
    </row>
    <row r="469" spans="1:15" x14ac:dyDescent="0.3">
      <c r="A469" s="2" t="s">
        <v>583</v>
      </c>
      <c r="B469" s="3">
        <v>45944</v>
      </c>
      <c r="C469" s="2" t="s">
        <v>37</v>
      </c>
      <c r="D469" s="2" t="s">
        <v>42</v>
      </c>
      <c r="E469" s="2" t="s">
        <v>26</v>
      </c>
      <c r="F469" s="2" t="s">
        <v>19</v>
      </c>
      <c r="G469" s="2" t="s">
        <v>20</v>
      </c>
      <c r="H469" s="2">
        <v>6</v>
      </c>
      <c r="I469" s="2">
        <v>685.88</v>
      </c>
      <c r="J469" s="2">
        <v>0.1</v>
      </c>
      <c r="K469" s="2">
        <v>3703.76</v>
      </c>
      <c r="L469" s="2">
        <v>2430.89</v>
      </c>
      <c r="M469" s="2">
        <v>1272.8699999999999</v>
      </c>
      <c r="N469" s="2" t="s">
        <v>58</v>
      </c>
      <c r="O469" s="2" t="s">
        <v>40</v>
      </c>
    </row>
    <row r="470" spans="1:15" x14ac:dyDescent="0.3">
      <c r="A470" s="2" t="s">
        <v>584</v>
      </c>
      <c r="B470" s="3">
        <v>45756</v>
      </c>
      <c r="C470" s="2" t="s">
        <v>37</v>
      </c>
      <c r="D470" s="2" t="s">
        <v>68</v>
      </c>
      <c r="E470" s="2" t="s">
        <v>33</v>
      </c>
      <c r="F470" s="2" t="s">
        <v>27</v>
      </c>
      <c r="G470" s="2" t="s">
        <v>28</v>
      </c>
      <c r="H470" s="2">
        <v>7</v>
      </c>
      <c r="I470" s="2">
        <v>28591.45</v>
      </c>
      <c r="J470" s="2">
        <v>0.08</v>
      </c>
      <c r="K470" s="2">
        <v>184128.91</v>
      </c>
      <c r="L470" s="2">
        <v>130376.29</v>
      </c>
      <c r="M470" s="2">
        <v>53752.62</v>
      </c>
      <c r="N470" s="2" t="s">
        <v>29</v>
      </c>
      <c r="O470" s="2" t="s">
        <v>40</v>
      </c>
    </row>
    <row r="471" spans="1:15" x14ac:dyDescent="0.3">
      <c r="A471" s="2" t="s">
        <v>585</v>
      </c>
      <c r="B471" s="3">
        <v>45981</v>
      </c>
      <c r="C471" s="2" t="s">
        <v>63</v>
      </c>
      <c r="D471" s="2" t="s">
        <v>64</v>
      </c>
      <c r="E471" s="2" t="s">
        <v>74</v>
      </c>
      <c r="F471" s="2" t="s">
        <v>43</v>
      </c>
      <c r="G471" s="2" t="s">
        <v>44</v>
      </c>
      <c r="H471" s="2">
        <v>6</v>
      </c>
      <c r="I471" s="2">
        <v>11421.37</v>
      </c>
      <c r="J471" s="2">
        <v>0.1</v>
      </c>
      <c r="K471" s="2">
        <v>61675.41</v>
      </c>
      <c r="L471" s="2">
        <v>51697.599999999999</v>
      </c>
      <c r="M471" s="2">
        <v>9977.81</v>
      </c>
      <c r="N471" s="2" t="s">
        <v>58</v>
      </c>
      <c r="O471" s="2" t="s">
        <v>40</v>
      </c>
    </row>
    <row r="472" spans="1:15" x14ac:dyDescent="0.3">
      <c r="A472" s="2" t="s">
        <v>586</v>
      </c>
      <c r="B472" s="3">
        <v>45889</v>
      </c>
      <c r="C472" s="2" t="s">
        <v>54</v>
      </c>
      <c r="D472" s="2" t="s">
        <v>174</v>
      </c>
      <c r="E472" s="2" t="s">
        <v>74</v>
      </c>
      <c r="F472" s="2" t="s">
        <v>34</v>
      </c>
      <c r="G472" s="2" t="s">
        <v>35</v>
      </c>
      <c r="H472" s="2">
        <v>7</v>
      </c>
      <c r="I472" s="2">
        <v>16633.64</v>
      </c>
      <c r="J472" s="2">
        <v>0.1</v>
      </c>
      <c r="K472" s="2">
        <v>104791.94</v>
      </c>
      <c r="L472" s="2">
        <v>87687.75</v>
      </c>
      <c r="M472" s="2">
        <v>17104.189999999999</v>
      </c>
      <c r="N472" s="2" t="s">
        <v>58</v>
      </c>
      <c r="O472" s="2" t="s">
        <v>59</v>
      </c>
    </row>
    <row r="473" spans="1:15" x14ac:dyDescent="0.3">
      <c r="A473" s="2" t="s">
        <v>587</v>
      </c>
      <c r="B473" s="3">
        <v>45663</v>
      </c>
      <c r="C473" s="2" t="s">
        <v>16</v>
      </c>
      <c r="D473" s="2" t="s">
        <v>82</v>
      </c>
      <c r="E473" s="2" t="s">
        <v>69</v>
      </c>
      <c r="F473" s="2" t="s">
        <v>27</v>
      </c>
      <c r="G473" s="2" t="s">
        <v>125</v>
      </c>
      <c r="H473" s="2" t="s">
        <v>588</v>
      </c>
      <c r="I473" s="2">
        <v>9004.99</v>
      </c>
      <c r="J473" s="2">
        <v>0.1</v>
      </c>
      <c r="K473" s="2">
        <v>40522.449999999997</v>
      </c>
      <c r="L473" s="2">
        <v>27785.74</v>
      </c>
      <c r="M473" s="2">
        <v>12736.71</v>
      </c>
      <c r="N473" s="2" t="s">
        <v>29</v>
      </c>
      <c r="O473" s="2" t="s">
        <v>45</v>
      </c>
    </row>
    <row r="474" spans="1:15" x14ac:dyDescent="0.3">
      <c r="A474" s="2" t="s">
        <v>589</v>
      </c>
      <c r="B474" s="3">
        <v>45732</v>
      </c>
      <c r="C474" s="2" t="s">
        <v>16</v>
      </c>
      <c r="D474" s="2" t="s">
        <v>32</v>
      </c>
      <c r="E474" s="2" t="s">
        <v>56</v>
      </c>
      <c r="F474" s="2" t="s">
        <v>19</v>
      </c>
      <c r="G474" s="2" t="s">
        <v>106</v>
      </c>
      <c r="H474" s="2">
        <v>2</v>
      </c>
      <c r="I474" s="2">
        <v>13425.6</v>
      </c>
      <c r="J474" s="2">
        <v>0.03</v>
      </c>
      <c r="K474" s="2">
        <v>26045.66</v>
      </c>
      <c r="L474" s="2">
        <v>16546.400000000001</v>
      </c>
      <c r="M474" s="2">
        <v>9499.26</v>
      </c>
      <c r="N474" s="2" t="s">
        <v>58</v>
      </c>
      <c r="O474" s="2" t="s">
        <v>22</v>
      </c>
    </row>
    <row r="475" spans="1:15" x14ac:dyDescent="0.3">
      <c r="A475" s="2" t="s">
        <v>590</v>
      </c>
      <c r="B475" s="3">
        <v>45984</v>
      </c>
      <c r="C475" s="2" t="s">
        <v>54</v>
      </c>
      <c r="D475" s="2" t="s">
        <v>124</v>
      </c>
      <c r="E475" s="2" t="s">
        <v>591</v>
      </c>
      <c r="F475" s="2" t="s">
        <v>19</v>
      </c>
      <c r="G475" s="2" t="s">
        <v>106</v>
      </c>
      <c r="H475" s="2">
        <v>8</v>
      </c>
      <c r="I475" s="2">
        <v>14831.6</v>
      </c>
      <c r="J475" s="2">
        <v>0.03</v>
      </c>
      <c r="K475" s="2">
        <v>115093.24</v>
      </c>
      <c r="L475" s="2">
        <v>92992.08</v>
      </c>
      <c r="M475" s="2">
        <v>22101.16</v>
      </c>
      <c r="N475" s="2" t="s">
        <v>21</v>
      </c>
      <c r="O475" s="2" t="s">
        <v>30</v>
      </c>
    </row>
    <row r="476" spans="1:15" x14ac:dyDescent="0.3">
      <c r="A476" s="2" t="s">
        <v>592</v>
      </c>
      <c r="B476" s="3">
        <v>45658</v>
      </c>
      <c r="C476" s="2" t="s">
        <v>63</v>
      </c>
      <c r="D476" s="2" t="s">
        <v>88</v>
      </c>
      <c r="E476" s="2" t="s">
        <v>26</v>
      </c>
      <c r="F476" s="2" t="s">
        <v>19</v>
      </c>
      <c r="G476" s="2" t="s">
        <v>106</v>
      </c>
      <c r="H476" s="2">
        <v>3</v>
      </c>
      <c r="I476" s="2">
        <v>14309.91</v>
      </c>
      <c r="J476" s="2">
        <v>0.03</v>
      </c>
      <c r="K476" s="2">
        <v>41641.82</v>
      </c>
      <c r="L476" s="2">
        <v>34409.599999999999</v>
      </c>
      <c r="M476" s="2">
        <v>7232.22</v>
      </c>
      <c r="N476" s="2" t="s">
        <v>29</v>
      </c>
      <c r="O476" s="2" t="s">
        <v>40</v>
      </c>
    </row>
    <row r="477" spans="1:15" x14ac:dyDescent="0.3">
      <c r="A477" s="2" t="s">
        <v>593</v>
      </c>
      <c r="B477" s="3">
        <v>45866</v>
      </c>
      <c r="C477" s="2" t="s">
        <v>37</v>
      </c>
      <c r="D477" s="2" t="s">
        <v>38</v>
      </c>
      <c r="E477" s="2" t="s">
        <v>69</v>
      </c>
      <c r="F477" s="2" t="s">
        <v>19</v>
      </c>
      <c r="G477" s="2" t="s">
        <v>108</v>
      </c>
      <c r="H477" s="2">
        <v>2</v>
      </c>
      <c r="I477" s="2">
        <v>14764.3</v>
      </c>
      <c r="J477" s="2">
        <v>0.05</v>
      </c>
      <c r="K477" s="2">
        <v>28052.18</v>
      </c>
      <c r="L477" s="2">
        <v>19465.12</v>
      </c>
      <c r="M477" s="2">
        <v>8587.06</v>
      </c>
      <c r="N477" s="2" t="s">
        <v>29</v>
      </c>
      <c r="O477" s="2" t="s">
        <v>45</v>
      </c>
    </row>
    <row r="478" spans="1:15" x14ac:dyDescent="0.3">
      <c r="A478" s="2" t="s">
        <v>594</v>
      </c>
      <c r="B478" s="3">
        <v>45752</v>
      </c>
      <c r="C478" s="2" t="s">
        <v>54</v>
      </c>
      <c r="D478" s="2" t="s">
        <v>174</v>
      </c>
      <c r="E478" s="2" t="s">
        <v>49</v>
      </c>
      <c r="F478" s="2" t="s">
        <v>27</v>
      </c>
      <c r="G478" s="2" t="s">
        <v>66</v>
      </c>
      <c r="H478" s="2">
        <v>4</v>
      </c>
      <c r="I478" s="2">
        <v>10945.07</v>
      </c>
      <c r="J478" s="2">
        <v>0.08</v>
      </c>
      <c r="K478" s="2">
        <v>40277.86</v>
      </c>
      <c r="L478" s="2">
        <v>33886.81</v>
      </c>
      <c r="M478" s="2">
        <v>6391.05</v>
      </c>
      <c r="N478" s="2" t="s">
        <v>58</v>
      </c>
      <c r="O478" s="2" t="s">
        <v>40</v>
      </c>
    </row>
    <row r="479" spans="1:15" x14ac:dyDescent="0.3">
      <c r="A479" s="2" t="s">
        <v>595</v>
      </c>
      <c r="B479" s="3">
        <v>45847</v>
      </c>
      <c r="C479" s="2" t="s">
        <v>37</v>
      </c>
      <c r="D479" s="2" t="s">
        <v>25</v>
      </c>
      <c r="E479" s="2" t="s">
        <v>74</v>
      </c>
      <c r="F479" s="2" t="s">
        <v>27</v>
      </c>
      <c r="G479" s="2" t="s">
        <v>66</v>
      </c>
      <c r="H479" s="2">
        <v>7</v>
      </c>
      <c r="I479" s="2">
        <v>11637.99</v>
      </c>
      <c r="J479" s="2">
        <v>0.03</v>
      </c>
      <c r="K479" s="2">
        <v>79021.98</v>
      </c>
      <c r="L479" s="2">
        <v>62178.05</v>
      </c>
      <c r="M479" s="2">
        <v>16843.93</v>
      </c>
      <c r="N479" s="2" t="s">
        <v>58</v>
      </c>
      <c r="O479" s="2" t="s">
        <v>30</v>
      </c>
    </row>
    <row r="480" spans="1:15" x14ac:dyDescent="0.3">
      <c r="A480" s="2" t="s">
        <v>596</v>
      </c>
      <c r="B480" s="3">
        <v>45991</v>
      </c>
      <c r="C480" s="2" t="s">
        <v>37</v>
      </c>
      <c r="D480" s="2" t="s">
        <v>42</v>
      </c>
      <c r="E480" s="2" t="s">
        <v>26</v>
      </c>
      <c r="F480" s="2" t="s">
        <v>43</v>
      </c>
      <c r="G480" s="2" t="s">
        <v>91</v>
      </c>
      <c r="H480" s="2">
        <v>1</v>
      </c>
      <c r="I480" s="2">
        <v>45861.25</v>
      </c>
      <c r="J480" s="2">
        <v>0</v>
      </c>
      <c r="K480" s="2">
        <v>45861.25</v>
      </c>
      <c r="L480" s="2">
        <v>31247.72</v>
      </c>
      <c r="M480" s="2">
        <v>14613.53</v>
      </c>
      <c r="N480" s="2" t="s">
        <v>21</v>
      </c>
      <c r="O480" s="2" t="s">
        <v>59</v>
      </c>
    </row>
    <row r="481" spans="1:15" x14ac:dyDescent="0.3">
      <c r="A481" s="2" t="s">
        <v>597</v>
      </c>
      <c r="B481" s="3">
        <v>45866</v>
      </c>
      <c r="C481" s="2" t="s">
        <v>37</v>
      </c>
      <c r="D481" s="2" t="s">
        <v>38</v>
      </c>
      <c r="E481" s="2" t="s">
        <v>65</v>
      </c>
      <c r="F481" s="2" t="s">
        <v>34</v>
      </c>
      <c r="G481" s="2" t="s">
        <v>80</v>
      </c>
      <c r="H481" s="2">
        <v>1</v>
      </c>
      <c r="I481" s="2">
        <v>4239.63</v>
      </c>
      <c r="J481" s="2">
        <v>0.15</v>
      </c>
      <c r="K481" s="2">
        <v>3603.68</v>
      </c>
      <c r="L481" s="2">
        <v>2450.48</v>
      </c>
      <c r="M481" s="2">
        <v>1153.2</v>
      </c>
      <c r="N481" s="2" t="s">
        <v>29</v>
      </c>
      <c r="O481" s="2" t="s">
        <v>30</v>
      </c>
    </row>
    <row r="482" spans="1:15" x14ac:dyDescent="0.3">
      <c r="A482" s="2" t="s">
        <v>598</v>
      </c>
      <c r="B482" s="3">
        <v>45770</v>
      </c>
      <c r="C482" s="2" t="s">
        <v>63</v>
      </c>
      <c r="D482" s="2" t="s">
        <v>95</v>
      </c>
      <c r="E482" s="2" t="s">
        <v>49</v>
      </c>
      <c r="F482" s="2" t="s">
        <v>43</v>
      </c>
      <c r="G482" s="2" t="s">
        <v>121</v>
      </c>
      <c r="H482" s="2">
        <v>6</v>
      </c>
      <c r="I482" s="2">
        <v>4756.57</v>
      </c>
      <c r="J482" s="2">
        <v>0.1</v>
      </c>
      <c r="K482" s="2">
        <v>25685.48</v>
      </c>
      <c r="L482" s="2">
        <v>19924.21</v>
      </c>
      <c r="M482" s="2">
        <v>5761.27</v>
      </c>
      <c r="N482" s="2" t="s">
        <v>21</v>
      </c>
      <c r="O482" s="2" t="s">
        <v>59</v>
      </c>
    </row>
    <row r="483" spans="1:15" x14ac:dyDescent="0.3">
      <c r="A483" s="2" t="s">
        <v>599</v>
      </c>
      <c r="B483" s="3">
        <v>45964</v>
      </c>
      <c r="C483" s="2" t="s">
        <v>37</v>
      </c>
      <c r="D483" s="2" t="s">
        <v>42</v>
      </c>
      <c r="E483" s="2" t="s">
        <v>65</v>
      </c>
      <c r="F483" s="2" t="s">
        <v>19</v>
      </c>
      <c r="G483" s="2" t="s">
        <v>108</v>
      </c>
      <c r="H483" s="2">
        <v>7</v>
      </c>
      <c r="I483" s="2">
        <v>15829.57</v>
      </c>
      <c r="J483" s="2">
        <v>0.03</v>
      </c>
      <c r="K483" s="2">
        <v>107482.77</v>
      </c>
      <c r="L483" s="2">
        <v>66681.72</v>
      </c>
      <c r="M483" s="2">
        <v>40801.050000000003</v>
      </c>
      <c r="N483" s="2" t="s">
        <v>21</v>
      </c>
      <c r="O483" s="2" t="s">
        <v>30</v>
      </c>
    </row>
    <row r="484" spans="1:15" x14ac:dyDescent="0.3">
      <c r="A484" s="2" t="s">
        <v>600</v>
      </c>
      <c r="B484" s="3">
        <v>45878</v>
      </c>
      <c r="C484" s="2" t="s">
        <v>601</v>
      </c>
      <c r="D484" s="2" t="s">
        <v>17</v>
      </c>
      <c r="E484" s="2" t="s">
        <v>33</v>
      </c>
      <c r="F484" s="2" t="s">
        <v>34</v>
      </c>
      <c r="G484" s="2" t="s">
        <v>35</v>
      </c>
      <c r="H484" s="2">
        <v>6</v>
      </c>
      <c r="I484" s="2">
        <v>18990.37</v>
      </c>
      <c r="J484" s="2">
        <v>0.08</v>
      </c>
      <c r="K484" s="2">
        <v>104826.86</v>
      </c>
      <c r="L484" s="2">
        <v>69214.61</v>
      </c>
      <c r="M484" s="2">
        <v>35612.25</v>
      </c>
      <c r="N484" s="2" t="s">
        <v>21</v>
      </c>
      <c r="O484" s="2" t="s">
        <v>59</v>
      </c>
    </row>
    <row r="485" spans="1:15" x14ac:dyDescent="0.3">
      <c r="A485" s="2" t="s">
        <v>602</v>
      </c>
      <c r="B485" s="3">
        <v>45818</v>
      </c>
      <c r="C485" s="2" t="s">
        <v>63</v>
      </c>
      <c r="D485" s="2" t="s">
        <v>64</v>
      </c>
      <c r="E485" s="2" t="s">
        <v>56</v>
      </c>
      <c r="F485" s="2" t="s">
        <v>603</v>
      </c>
      <c r="G485" s="2" t="s">
        <v>102</v>
      </c>
      <c r="H485" s="2">
        <v>4</v>
      </c>
      <c r="I485" s="2">
        <v>239.69</v>
      </c>
      <c r="J485" s="2">
        <v>0</v>
      </c>
      <c r="K485" s="2">
        <v>958.75</v>
      </c>
      <c r="L485" s="2">
        <v>765.63</v>
      </c>
      <c r="M485" s="2">
        <v>193.12</v>
      </c>
      <c r="N485" s="2" t="s">
        <v>58</v>
      </c>
      <c r="O485" s="2" t="s">
        <v>30</v>
      </c>
    </row>
    <row r="486" spans="1:15" x14ac:dyDescent="0.3">
      <c r="A486" s="2" t="s">
        <v>604</v>
      </c>
      <c r="B486" s="3">
        <v>45675</v>
      </c>
      <c r="C486" s="2" t="s">
        <v>63</v>
      </c>
      <c r="D486" s="2" t="s">
        <v>88</v>
      </c>
      <c r="E486" s="2" t="s">
        <v>605</v>
      </c>
      <c r="F486" s="2" t="s">
        <v>34</v>
      </c>
      <c r="G486" s="2" t="s">
        <v>39</v>
      </c>
      <c r="H486" s="2">
        <v>7</v>
      </c>
      <c r="I486" s="2">
        <v>31201.25</v>
      </c>
      <c r="J486" s="2">
        <v>0.03</v>
      </c>
      <c r="K486" s="2">
        <v>211856.5</v>
      </c>
      <c r="L486" s="2">
        <v>163112.42000000001</v>
      </c>
      <c r="M486" s="2">
        <v>48744.08</v>
      </c>
      <c r="N486" s="2" t="s">
        <v>29</v>
      </c>
      <c r="O486" s="2" t="s">
        <v>30</v>
      </c>
    </row>
    <row r="487" spans="1:15" x14ac:dyDescent="0.3">
      <c r="A487" s="2" t="s">
        <v>606</v>
      </c>
      <c r="B487" s="3">
        <v>45853</v>
      </c>
      <c r="C487" s="2" t="s">
        <v>601</v>
      </c>
      <c r="D487" s="2" t="s">
        <v>32</v>
      </c>
      <c r="E487" s="2" t="s">
        <v>65</v>
      </c>
      <c r="F487" s="2" t="s">
        <v>43</v>
      </c>
      <c r="G487" s="2" t="s">
        <v>75</v>
      </c>
      <c r="H487" s="2">
        <v>7</v>
      </c>
      <c r="I487" s="2">
        <v>36988.35</v>
      </c>
      <c r="J487" s="2">
        <v>0</v>
      </c>
      <c r="K487" s="2">
        <v>258918.42</v>
      </c>
      <c r="L487" s="2">
        <v>193772.47</v>
      </c>
      <c r="M487" s="2">
        <v>65145.95</v>
      </c>
      <c r="N487" s="2" t="s">
        <v>58</v>
      </c>
      <c r="O487" s="2" t="s">
        <v>59</v>
      </c>
    </row>
    <row r="488" spans="1:15" x14ac:dyDescent="0.3">
      <c r="A488" s="2" t="s">
        <v>607</v>
      </c>
      <c r="B488" s="3">
        <v>45991</v>
      </c>
      <c r="C488" s="2" t="s">
        <v>54</v>
      </c>
      <c r="D488" s="2" t="s">
        <v>55</v>
      </c>
      <c r="E488" s="2" t="s">
        <v>74</v>
      </c>
      <c r="F488" s="2" t="s">
        <v>34</v>
      </c>
      <c r="G488" s="2" t="s">
        <v>70</v>
      </c>
      <c r="H488" s="2">
        <v>4</v>
      </c>
      <c r="I488" s="2">
        <v>70118.210000000006</v>
      </c>
      <c r="J488" s="2">
        <v>0.1</v>
      </c>
      <c r="K488" s="2">
        <v>252425.56</v>
      </c>
      <c r="L488" s="2">
        <v>162402.54</v>
      </c>
      <c r="M488" s="2">
        <v>90023.02</v>
      </c>
      <c r="N488" s="2" t="s">
        <v>58</v>
      </c>
      <c r="O488" s="2" t="s">
        <v>40</v>
      </c>
    </row>
    <row r="489" spans="1:15" x14ac:dyDescent="0.3">
      <c r="A489" s="2" t="s">
        <v>608</v>
      </c>
      <c r="B489" s="3">
        <v>45681</v>
      </c>
      <c r="C489" s="2" t="s">
        <v>54</v>
      </c>
      <c r="D489" s="2" t="s">
        <v>55</v>
      </c>
      <c r="E489" s="2" t="s">
        <v>69</v>
      </c>
      <c r="F489" s="2" t="s">
        <v>34</v>
      </c>
      <c r="G489" s="2" t="s">
        <v>35</v>
      </c>
      <c r="H489" s="2">
        <v>8</v>
      </c>
      <c r="I489" s="2">
        <v>16757.71</v>
      </c>
      <c r="J489" s="2"/>
      <c r="K489" s="2">
        <v>113952.42</v>
      </c>
      <c r="L489" s="2">
        <v>96669.85</v>
      </c>
      <c r="M489" s="2">
        <v>17282.57</v>
      </c>
      <c r="N489" s="2" t="s">
        <v>29</v>
      </c>
      <c r="O489" s="2" t="s">
        <v>22</v>
      </c>
    </row>
    <row r="490" spans="1:15" x14ac:dyDescent="0.3">
      <c r="A490" s="2" t="s">
        <v>609</v>
      </c>
      <c r="B490" s="3">
        <v>45699</v>
      </c>
      <c r="C490" s="2" t="s">
        <v>16</v>
      </c>
      <c r="D490" s="2" t="s">
        <v>17</v>
      </c>
      <c r="E490" s="2" t="s">
        <v>18</v>
      </c>
      <c r="F490" s="2" t="s">
        <v>34</v>
      </c>
      <c r="G490" s="2" t="s">
        <v>80</v>
      </c>
      <c r="H490" s="2">
        <v>6</v>
      </c>
      <c r="I490" s="2" t="s">
        <v>610</v>
      </c>
      <c r="J490" s="2">
        <v>0.1</v>
      </c>
      <c r="K490" s="2">
        <v>26156.51</v>
      </c>
      <c r="L490" s="2">
        <v>20846.169999999998</v>
      </c>
      <c r="M490" s="2">
        <v>5310.34</v>
      </c>
      <c r="N490" s="2" t="s">
        <v>21</v>
      </c>
      <c r="O490" s="2" t="s">
        <v>59</v>
      </c>
    </row>
    <row r="491" spans="1:15" x14ac:dyDescent="0.3">
      <c r="A491" s="2" t="s">
        <v>611</v>
      </c>
      <c r="B491" s="3">
        <v>45714</v>
      </c>
      <c r="C491" s="2" t="s">
        <v>16</v>
      </c>
      <c r="D491" s="2" t="s">
        <v>17</v>
      </c>
      <c r="E491" s="2" t="s">
        <v>74</v>
      </c>
      <c r="F491" s="2" t="s">
        <v>34</v>
      </c>
      <c r="G491" s="2" t="s">
        <v>70</v>
      </c>
      <c r="H491" s="2">
        <v>7</v>
      </c>
      <c r="I491" s="2">
        <v>67944.88</v>
      </c>
      <c r="J491" s="2">
        <v>0</v>
      </c>
      <c r="K491" s="2">
        <v>475614.15</v>
      </c>
      <c r="L491" s="2">
        <v>367353.71</v>
      </c>
      <c r="M491" s="2">
        <v>108260.44</v>
      </c>
      <c r="N491" s="2" t="s">
        <v>21</v>
      </c>
      <c r="O491" s="2" t="s">
        <v>22</v>
      </c>
    </row>
    <row r="492" spans="1:15" x14ac:dyDescent="0.3">
      <c r="A492" s="2" t="s">
        <v>612</v>
      </c>
      <c r="B492" s="3">
        <v>45718</v>
      </c>
      <c r="C492" s="2" t="s">
        <v>63</v>
      </c>
      <c r="D492" s="2" t="s">
        <v>95</v>
      </c>
      <c r="E492" s="2" t="s">
        <v>49</v>
      </c>
      <c r="F492" s="2" t="s">
        <v>27</v>
      </c>
      <c r="G492" s="2" t="s">
        <v>125</v>
      </c>
      <c r="H492" s="2">
        <v>1</v>
      </c>
      <c r="I492" s="2">
        <v>9119.41</v>
      </c>
      <c r="J492" s="2">
        <v>0.03</v>
      </c>
      <c r="K492" s="2">
        <v>8845.83</v>
      </c>
      <c r="L492" s="2">
        <v>7309.44</v>
      </c>
      <c r="M492" s="2">
        <v>1536.39</v>
      </c>
      <c r="N492" s="2" t="s">
        <v>29</v>
      </c>
      <c r="O492" s="2" t="s">
        <v>59</v>
      </c>
    </row>
    <row r="493" spans="1:15" x14ac:dyDescent="0.3">
      <c r="A493" s="2" t="s">
        <v>613</v>
      </c>
      <c r="B493" s="3">
        <v>45984</v>
      </c>
      <c r="C493" s="2" t="s">
        <v>16</v>
      </c>
      <c r="D493" s="2" t="s">
        <v>17</v>
      </c>
      <c r="E493" s="2" t="s">
        <v>49</v>
      </c>
      <c r="F493" s="2" t="s">
        <v>27</v>
      </c>
      <c r="G493" s="2" t="s">
        <v>66</v>
      </c>
      <c r="H493" s="2">
        <v>1</v>
      </c>
      <c r="I493" s="2">
        <v>11562.54</v>
      </c>
      <c r="J493" s="2">
        <v>0.1</v>
      </c>
      <c r="K493" s="2">
        <v>10406.290000000001</v>
      </c>
      <c r="L493" s="2">
        <v>6949.45</v>
      </c>
      <c r="M493" s="2">
        <v>3456.84</v>
      </c>
      <c r="N493" s="2" t="s">
        <v>29</v>
      </c>
      <c r="O493" s="2" t="s">
        <v>59</v>
      </c>
    </row>
    <row r="494" spans="1:15" x14ac:dyDescent="0.3">
      <c r="A494" s="2" t="s">
        <v>614</v>
      </c>
      <c r="B494" s="3">
        <v>45983</v>
      </c>
      <c r="C494" s="2" t="s">
        <v>16</v>
      </c>
      <c r="D494" s="2" t="s">
        <v>82</v>
      </c>
      <c r="E494" s="2" t="s">
        <v>74</v>
      </c>
      <c r="F494" s="2" t="s">
        <v>43</v>
      </c>
      <c r="G494" s="2" t="s">
        <v>44</v>
      </c>
      <c r="H494" s="2">
        <v>2</v>
      </c>
      <c r="I494" s="2">
        <v>11361.73</v>
      </c>
      <c r="J494" s="2">
        <v>0.03</v>
      </c>
      <c r="K494" s="2">
        <v>22041.75</v>
      </c>
      <c r="L494" s="2">
        <v>16328.59</v>
      </c>
      <c r="M494" s="2">
        <v>5713.16</v>
      </c>
      <c r="N494" s="2" t="s">
        <v>29</v>
      </c>
      <c r="O494" s="2" t="s">
        <v>30</v>
      </c>
    </row>
    <row r="495" spans="1:15" x14ac:dyDescent="0.3">
      <c r="A495" s="2" t="s">
        <v>615</v>
      </c>
      <c r="B495" s="3">
        <v>45992</v>
      </c>
      <c r="C495" s="2" t="s">
        <v>63</v>
      </c>
      <c r="D495" s="2" t="s">
        <v>117</v>
      </c>
      <c r="E495" s="2" t="s">
        <v>18</v>
      </c>
      <c r="F495" s="2" t="s">
        <v>43</v>
      </c>
      <c r="G495" s="2" t="s">
        <v>44</v>
      </c>
      <c r="H495" s="2">
        <v>2</v>
      </c>
      <c r="I495" s="2">
        <v>11463.38</v>
      </c>
      <c r="J495" s="2">
        <v>0.03</v>
      </c>
      <c r="K495" s="2">
        <v>22238.95</v>
      </c>
      <c r="L495" s="2">
        <v>18863</v>
      </c>
      <c r="M495" s="2">
        <v>3375.95</v>
      </c>
      <c r="N495" s="2" t="s">
        <v>58</v>
      </c>
      <c r="O495" s="2" t="s">
        <v>59</v>
      </c>
    </row>
    <row r="496" spans="1:15" x14ac:dyDescent="0.3">
      <c r="A496" s="2" t="s">
        <v>616</v>
      </c>
      <c r="B496" s="3">
        <v>45993</v>
      </c>
      <c r="C496" s="2" t="s">
        <v>63</v>
      </c>
      <c r="D496" s="2" t="s">
        <v>88</v>
      </c>
      <c r="E496" s="2" t="s">
        <v>65</v>
      </c>
      <c r="F496" s="2" t="s">
        <v>27</v>
      </c>
      <c r="G496" s="2" t="s">
        <v>66</v>
      </c>
      <c r="H496" s="2">
        <v>1</v>
      </c>
      <c r="I496" s="2">
        <v>11362.48</v>
      </c>
      <c r="J496" s="2">
        <v>0.05</v>
      </c>
      <c r="K496" s="2">
        <v>10794.36</v>
      </c>
      <c r="L496" s="2">
        <v>8840.5400000000009</v>
      </c>
      <c r="M496" s="2">
        <v>1953.82</v>
      </c>
      <c r="N496" s="2" t="s">
        <v>58</v>
      </c>
      <c r="O496" s="2" t="s">
        <v>45</v>
      </c>
    </row>
    <row r="497" spans="1:15" x14ac:dyDescent="0.3">
      <c r="A497" s="2" t="s">
        <v>617</v>
      </c>
      <c r="B497" s="3">
        <v>45689</v>
      </c>
      <c r="C497" s="2" t="s">
        <v>16</v>
      </c>
      <c r="D497" s="2" t="s">
        <v>32</v>
      </c>
      <c r="E497" s="2" t="s">
        <v>69</v>
      </c>
      <c r="F497" s="2" t="s">
        <v>34</v>
      </c>
      <c r="G497" s="2" t="s">
        <v>39</v>
      </c>
      <c r="H497" s="2">
        <v>1</v>
      </c>
      <c r="I497" s="2">
        <v>32102.71</v>
      </c>
      <c r="J497" s="2">
        <v>0.1</v>
      </c>
      <c r="K497" s="2">
        <v>28892.44</v>
      </c>
      <c r="L497" s="2">
        <v>24067.19</v>
      </c>
      <c r="M497" s="2">
        <v>4825.25</v>
      </c>
      <c r="N497" s="2" t="s">
        <v>29</v>
      </c>
      <c r="O497" s="2" t="s">
        <v>22</v>
      </c>
    </row>
    <row r="498" spans="1:15" x14ac:dyDescent="0.3">
      <c r="A498" s="2" t="s">
        <v>618</v>
      </c>
      <c r="B498" s="3">
        <v>45866</v>
      </c>
      <c r="C498" s="2" t="s">
        <v>37</v>
      </c>
      <c r="D498" s="2" t="s">
        <v>68</v>
      </c>
      <c r="E498" s="2" t="s">
        <v>65</v>
      </c>
      <c r="F498" s="2" t="s">
        <v>34</v>
      </c>
      <c r="G498" s="2" t="s">
        <v>39</v>
      </c>
      <c r="H498" s="2">
        <v>7</v>
      </c>
      <c r="I498" s="2">
        <v>31559.07</v>
      </c>
      <c r="J498" s="2">
        <v>0.08</v>
      </c>
      <c r="K498" s="2">
        <v>203240.43</v>
      </c>
      <c r="L498" s="2">
        <v>152931.25</v>
      </c>
      <c r="M498" s="2">
        <v>50309.18</v>
      </c>
      <c r="N498" s="2" t="s">
        <v>29</v>
      </c>
      <c r="O498" s="2" t="s">
        <v>22</v>
      </c>
    </row>
    <row r="499" spans="1:15" x14ac:dyDescent="0.3">
      <c r="A499" s="2" t="s">
        <v>619</v>
      </c>
      <c r="B499" s="3">
        <v>45844</v>
      </c>
      <c r="C499" s="2" t="s">
        <v>37</v>
      </c>
      <c r="D499" s="2" t="s">
        <v>25</v>
      </c>
      <c r="E499" s="2" t="s">
        <v>69</v>
      </c>
      <c r="F499" s="2" t="s">
        <v>19</v>
      </c>
      <c r="G499" s="2" t="s">
        <v>108</v>
      </c>
      <c r="H499" s="2">
        <v>8</v>
      </c>
      <c r="I499" s="2">
        <v>14670</v>
      </c>
      <c r="J499" s="2">
        <v>0.1</v>
      </c>
      <c r="K499" s="2">
        <v>105624.03</v>
      </c>
      <c r="L499" s="2">
        <v>70660.47</v>
      </c>
      <c r="M499" s="2">
        <v>34963.56</v>
      </c>
      <c r="N499" s="2" t="s">
        <v>58</v>
      </c>
      <c r="O499" s="2" t="s">
        <v>59</v>
      </c>
    </row>
    <row r="500" spans="1:15" x14ac:dyDescent="0.3">
      <c r="A500" s="2" t="s">
        <v>620</v>
      </c>
      <c r="B500" s="3">
        <v>45860</v>
      </c>
      <c r="C500" s="2" t="s">
        <v>16</v>
      </c>
      <c r="D500" s="2" t="s">
        <v>52</v>
      </c>
      <c r="E500" s="2" t="s">
        <v>18</v>
      </c>
      <c r="F500" s="2" t="s">
        <v>43</v>
      </c>
      <c r="G500" s="2" t="s">
        <v>84</v>
      </c>
      <c r="H500" s="2">
        <v>7</v>
      </c>
      <c r="I500" s="2">
        <v>41411.1</v>
      </c>
      <c r="J500" s="2">
        <v>0</v>
      </c>
      <c r="K500" s="2">
        <v>289877.71999999997</v>
      </c>
      <c r="L500" s="2">
        <v>219781.98</v>
      </c>
      <c r="M500" s="2">
        <v>70095.740000000005</v>
      </c>
      <c r="N500" s="2" t="s">
        <v>21</v>
      </c>
      <c r="O500" s="2" t="s">
        <v>45</v>
      </c>
    </row>
    <row r="501" spans="1:15" x14ac:dyDescent="0.3">
      <c r="A501" s="2" t="s">
        <v>621</v>
      </c>
      <c r="B501" s="3">
        <v>45975</v>
      </c>
      <c r="C501" s="2" t="s">
        <v>16</v>
      </c>
      <c r="D501" s="2" t="s">
        <v>17</v>
      </c>
      <c r="E501" s="2" t="s">
        <v>74</v>
      </c>
      <c r="F501" s="2" t="s">
        <v>34</v>
      </c>
      <c r="G501" s="2" t="s">
        <v>70</v>
      </c>
      <c r="H501" s="2">
        <v>1</v>
      </c>
      <c r="I501" s="2">
        <v>62208.63</v>
      </c>
      <c r="J501" s="2">
        <v>0.1</v>
      </c>
      <c r="K501" s="2">
        <v>55987.77</v>
      </c>
      <c r="L501" s="2">
        <v>40050.58</v>
      </c>
      <c r="M501" s="2">
        <v>15937.19</v>
      </c>
      <c r="N501" s="2" t="s">
        <v>58</v>
      </c>
      <c r="O501" s="2" t="s">
        <v>40</v>
      </c>
    </row>
    <row r="502" spans="1:15" x14ac:dyDescent="0.3">
      <c r="A502" s="2" t="s">
        <v>622</v>
      </c>
      <c r="B502" s="3">
        <v>45731</v>
      </c>
      <c r="C502" s="2" t="s">
        <v>54</v>
      </c>
      <c r="D502" s="2" t="s">
        <v>124</v>
      </c>
      <c r="E502" s="2" t="s">
        <v>33</v>
      </c>
      <c r="F502" s="2" t="s">
        <v>27</v>
      </c>
      <c r="G502" s="2" t="s">
        <v>28</v>
      </c>
      <c r="H502" s="2">
        <v>3</v>
      </c>
      <c r="I502" s="2">
        <v>26836.18</v>
      </c>
      <c r="J502" s="2">
        <v>0.05</v>
      </c>
      <c r="K502" s="2">
        <v>76483.12</v>
      </c>
      <c r="L502" s="2">
        <v>52602.67</v>
      </c>
      <c r="M502" s="2">
        <v>23880.45</v>
      </c>
      <c r="N502" s="2" t="s">
        <v>29</v>
      </c>
      <c r="O502" s="2" t="s">
        <v>59</v>
      </c>
    </row>
    <row r="503" spans="1:15" x14ac:dyDescent="0.3">
      <c r="A503" s="2" t="s">
        <v>623</v>
      </c>
      <c r="B503" s="3">
        <v>45704</v>
      </c>
      <c r="C503" s="2" t="s">
        <v>63</v>
      </c>
      <c r="D503" s="2" t="s">
        <v>88</v>
      </c>
      <c r="E503" s="2" t="s">
        <v>65</v>
      </c>
      <c r="F503" s="2" t="s">
        <v>43</v>
      </c>
      <c r="G503" s="2" t="s">
        <v>84</v>
      </c>
      <c r="H503" s="2">
        <v>1</v>
      </c>
      <c r="I503" s="2">
        <v>44622.39</v>
      </c>
      <c r="J503" s="2">
        <v>0</v>
      </c>
      <c r="K503" s="2">
        <v>44622.39</v>
      </c>
      <c r="L503" s="2">
        <v>27706.98</v>
      </c>
      <c r="M503" s="2">
        <v>16915.41</v>
      </c>
      <c r="N503" s="2" t="s">
        <v>58</v>
      </c>
      <c r="O503" s="2" t="s">
        <v>30</v>
      </c>
    </row>
    <row r="504" spans="1:15" x14ac:dyDescent="0.3">
      <c r="A504" s="2" t="s">
        <v>624</v>
      </c>
      <c r="B504" s="3">
        <v>45749</v>
      </c>
      <c r="C504" s="2" t="s">
        <v>16</v>
      </c>
      <c r="D504" s="2" t="s">
        <v>32</v>
      </c>
      <c r="E504" s="2" t="s">
        <v>18</v>
      </c>
      <c r="F504" s="2" t="s">
        <v>34</v>
      </c>
      <c r="G504" s="2" t="s">
        <v>57</v>
      </c>
      <c r="H504" s="2">
        <v>2</v>
      </c>
      <c r="I504" s="2">
        <v>23475.61</v>
      </c>
      <c r="J504" s="2">
        <v>0.05</v>
      </c>
      <c r="K504" s="2">
        <v>44603.66</v>
      </c>
      <c r="L504" s="2">
        <v>31316.76</v>
      </c>
      <c r="M504" s="2">
        <v>13286.9</v>
      </c>
      <c r="N504" s="2" t="s">
        <v>29</v>
      </c>
      <c r="O504" s="2" t="s">
        <v>45</v>
      </c>
    </row>
    <row r="505" spans="1:15" x14ac:dyDescent="0.3">
      <c r="A505" s="2" t="s">
        <v>625</v>
      </c>
      <c r="B505" s="3">
        <v>45706</v>
      </c>
      <c r="C505" s="2" t="s">
        <v>37</v>
      </c>
      <c r="D505" s="2" t="s">
        <v>68</v>
      </c>
      <c r="E505" s="2" t="s">
        <v>33</v>
      </c>
      <c r="F505" s="2" t="s">
        <v>43</v>
      </c>
      <c r="G505" s="2" t="s">
        <v>91</v>
      </c>
      <c r="H505" s="2">
        <v>1</v>
      </c>
      <c r="I505" s="2">
        <v>47468.99</v>
      </c>
      <c r="J505" s="2">
        <v>0.03</v>
      </c>
      <c r="K505" s="2">
        <v>46044.92</v>
      </c>
      <c r="L505" s="2">
        <v>36560.89</v>
      </c>
      <c r="M505" s="2">
        <v>9484.0300000000007</v>
      </c>
      <c r="N505" s="2" t="s">
        <v>58</v>
      </c>
      <c r="O505" s="2" t="s">
        <v>22</v>
      </c>
    </row>
    <row r="506" spans="1:15" x14ac:dyDescent="0.3">
      <c r="A506" s="2" t="s">
        <v>626</v>
      </c>
      <c r="B506" s="3">
        <v>45682</v>
      </c>
      <c r="C506" s="2" t="s">
        <v>54</v>
      </c>
      <c r="D506" s="2" t="s">
        <v>55</v>
      </c>
      <c r="E506" s="2" t="s">
        <v>65</v>
      </c>
      <c r="F506" s="2" t="s">
        <v>43</v>
      </c>
      <c r="G506" s="2" t="s">
        <v>91</v>
      </c>
      <c r="H506" s="2">
        <v>8</v>
      </c>
      <c r="I506" s="2">
        <v>44475.4</v>
      </c>
      <c r="J506" s="2">
        <v>0.08</v>
      </c>
      <c r="K506" s="2">
        <v>327338.96999999997</v>
      </c>
      <c r="L506" s="2">
        <v>237985.03</v>
      </c>
      <c r="M506" s="2">
        <v>89353.94</v>
      </c>
      <c r="N506" s="2" t="s">
        <v>21</v>
      </c>
      <c r="O506" s="2" t="s">
        <v>59</v>
      </c>
    </row>
    <row r="507" spans="1:15" x14ac:dyDescent="0.3">
      <c r="A507" s="2" t="s">
        <v>627</v>
      </c>
      <c r="B507" s="3">
        <v>45991</v>
      </c>
      <c r="C507" s="2" t="s">
        <v>63</v>
      </c>
      <c r="D507" s="2" t="s">
        <v>64</v>
      </c>
      <c r="E507" s="2" t="s">
        <v>49</v>
      </c>
      <c r="F507" s="2" t="s">
        <v>43</v>
      </c>
      <c r="G507" s="2" t="s">
        <v>91</v>
      </c>
      <c r="H507" s="2">
        <v>8</v>
      </c>
      <c r="I507" s="2">
        <v>49241.89</v>
      </c>
      <c r="J507" s="2">
        <v>0.03</v>
      </c>
      <c r="K507" s="2">
        <v>382117.03</v>
      </c>
      <c r="L507" s="2">
        <v>247261.19</v>
      </c>
      <c r="M507" s="2">
        <v>134855.84</v>
      </c>
      <c r="N507" s="2" t="s">
        <v>21</v>
      </c>
      <c r="O507" s="2" t="s">
        <v>59</v>
      </c>
    </row>
    <row r="508" spans="1:15" x14ac:dyDescent="0.3">
      <c r="A508" s="2" t="s">
        <v>628</v>
      </c>
      <c r="B508" s="3">
        <v>45706</v>
      </c>
      <c r="C508" s="2" t="s">
        <v>37</v>
      </c>
      <c r="D508" s="2" t="s">
        <v>42</v>
      </c>
      <c r="E508" s="2" t="s">
        <v>18</v>
      </c>
      <c r="F508" s="2" t="s">
        <v>34</v>
      </c>
      <c r="G508" s="2" t="s">
        <v>35</v>
      </c>
      <c r="H508" s="2">
        <v>5</v>
      </c>
      <c r="I508" s="2">
        <v>17699.84</v>
      </c>
      <c r="J508" s="2">
        <v>0.08</v>
      </c>
      <c r="K508" s="2">
        <v>81419.259999999995</v>
      </c>
      <c r="L508" s="2">
        <v>66221.91</v>
      </c>
      <c r="M508" s="2">
        <v>15197.35</v>
      </c>
      <c r="N508" s="2" t="s">
        <v>58</v>
      </c>
      <c r="O508" s="2" t="s">
        <v>40</v>
      </c>
    </row>
    <row r="509" spans="1:15" x14ac:dyDescent="0.3">
      <c r="A509" s="2" t="s">
        <v>629</v>
      </c>
      <c r="B509" s="3">
        <v>45891</v>
      </c>
      <c r="C509" s="2" t="s">
        <v>16</v>
      </c>
      <c r="D509" s="2" t="s">
        <v>52</v>
      </c>
      <c r="E509" s="2" t="s">
        <v>26</v>
      </c>
      <c r="F509" s="2" t="s">
        <v>19</v>
      </c>
      <c r="G509" s="2" t="s">
        <v>102</v>
      </c>
      <c r="H509" s="2">
        <v>2</v>
      </c>
      <c r="I509" s="2">
        <v>250.44</v>
      </c>
      <c r="J509" s="2">
        <v>0.05</v>
      </c>
      <c r="K509" s="2">
        <v>475.83</v>
      </c>
      <c r="L509" s="2">
        <v>301.16000000000003</v>
      </c>
      <c r="M509" s="2">
        <v>174.67</v>
      </c>
      <c r="N509" s="2" t="s">
        <v>58</v>
      </c>
      <c r="O509" s="2" t="s">
        <v>45</v>
      </c>
    </row>
    <row r="510" spans="1:15" x14ac:dyDescent="0.3">
      <c r="A510" s="2" t="s">
        <v>630</v>
      </c>
      <c r="B510" s="3">
        <v>45979</v>
      </c>
      <c r="C510" s="2" t="s">
        <v>63</v>
      </c>
      <c r="D510" s="2" t="s">
        <v>117</v>
      </c>
      <c r="E510" s="2" t="s">
        <v>26</v>
      </c>
      <c r="F510" s="2" t="s">
        <v>43</v>
      </c>
      <c r="G510" s="2" t="s">
        <v>91</v>
      </c>
      <c r="H510" s="2">
        <v>4</v>
      </c>
      <c r="I510" s="2">
        <v>49751.93</v>
      </c>
      <c r="J510" s="2">
        <v>0.08</v>
      </c>
      <c r="K510" s="2">
        <v>183087.12</v>
      </c>
      <c r="L510" s="2">
        <v>145645.82999999999</v>
      </c>
      <c r="M510" s="2">
        <v>37441.29</v>
      </c>
      <c r="N510" s="2" t="s">
        <v>58</v>
      </c>
      <c r="O510" s="2" t="s">
        <v>22</v>
      </c>
    </row>
    <row r="511" spans="1:15" x14ac:dyDescent="0.3">
      <c r="A511" s="2" t="s">
        <v>631</v>
      </c>
      <c r="B511" s="3">
        <v>45708</v>
      </c>
      <c r="C511" s="2" t="s">
        <v>16</v>
      </c>
      <c r="D511" s="2" t="s">
        <v>17</v>
      </c>
      <c r="E511" s="2" t="s">
        <v>74</v>
      </c>
      <c r="F511" s="2" t="s">
        <v>34</v>
      </c>
      <c r="G511" s="2" t="s">
        <v>35</v>
      </c>
      <c r="H511" s="2">
        <v>6</v>
      </c>
      <c r="I511" s="2">
        <v>16871.490000000002</v>
      </c>
      <c r="J511" s="2">
        <v>0.1</v>
      </c>
      <c r="K511" s="2">
        <v>91106.03</v>
      </c>
      <c r="L511" s="2">
        <v>69914.039999999994</v>
      </c>
      <c r="M511" s="2">
        <v>21191.99</v>
      </c>
      <c r="N511" s="2" t="s">
        <v>21</v>
      </c>
      <c r="O511" s="2" t="s">
        <v>22</v>
      </c>
    </row>
    <row r="512" spans="1:15" x14ac:dyDescent="0.3">
      <c r="A512" s="2" t="s">
        <v>632</v>
      </c>
      <c r="B512" s="3">
        <v>45680</v>
      </c>
      <c r="C512" s="2" t="s">
        <v>633</v>
      </c>
      <c r="D512" s="2" t="s">
        <v>32</v>
      </c>
      <c r="E512" s="2" t="s">
        <v>65</v>
      </c>
      <c r="F512" s="2" t="s">
        <v>634</v>
      </c>
      <c r="G512" s="2" t="s">
        <v>57</v>
      </c>
      <c r="H512" s="2">
        <v>5</v>
      </c>
      <c r="I512" s="2">
        <v>20880</v>
      </c>
      <c r="J512" s="2">
        <v>0.05</v>
      </c>
      <c r="K512" s="2">
        <v>99179.99</v>
      </c>
      <c r="L512" s="2">
        <v>65431.02</v>
      </c>
      <c r="M512" s="2">
        <v>33748.97</v>
      </c>
      <c r="N512" s="2" t="s">
        <v>58</v>
      </c>
      <c r="O512" s="2" t="s">
        <v>30</v>
      </c>
    </row>
    <row r="513" spans="1:15" x14ac:dyDescent="0.3">
      <c r="A513" s="2" t="s">
        <v>635</v>
      </c>
      <c r="B513" s="3">
        <v>45692</v>
      </c>
      <c r="C513" s="2" t="s">
        <v>63</v>
      </c>
      <c r="D513" s="2" t="s">
        <v>95</v>
      </c>
      <c r="E513" s="2" t="s">
        <v>605</v>
      </c>
      <c r="F513" s="2" t="s">
        <v>34</v>
      </c>
      <c r="G513" s="2" t="s">
        <v>80</v>
      </c>
      <c r="H513" s="2">
        <v>8</v>
      </c>
      <c r="I513" s="2">
        <v>4371.8900000000003</v>
      </c>
      <c r="J513" s="2">
        <v>0.05</v>
      </c>
      <c r="K513" s="2">
        <v>33226.35</v>
      </c>
      <c r="L513" s="2">
        <v>27441.79</v>
      </c>
      <c r="M513" s="2">
        <v>5784.56</v>
      </c>
      <c r="N513" s="2" t="s">
        <v>21</v>
      </c>
      <c r="O513" s="2" t="s">
        <v>59</v>
      </c>
    </row>
    <row r="514" spans="1:15" x14ac:dyDescent="0.3">
      <c r="A514" s="2" t="s">
        <v>636</v>
      </c>
      <c r="B514" s="3">
        <v>45914</v>
      </c>
      <c r="C514" s="2" t="s">
        <v>54</v>
      </c>
      <c r="D514" s="2" t="s">
        <v>55</v>
      </c>
      <c r="E514" s="2" t="s">
        <v>18</v>
      </c>
      <c r="F514" s="2" t="s">
        <v>34</v>
      </c>
      <c r="G514" s="2" t="s">
        <v>70</v>
      </c>
      <c r="H514" s="2">
        <v>2</v>
      </c>
      <c r="I514" s="2">
        <v>67351.28</v>
      </c>
      <c r="J514" s="2">
        <v>0</v>
      </c>
      <c r="K514" s="2">
        <v>134702.56</v>
      </c>
      <c r="L514" s="2">
        <v>93303.89</v>
      </c>
      <c r="M514" s="2">
        <v>41398.67</v>
      </c>
      <c r="N514" s="2" t="s">
        <v>29</v>
      </c>
      <c r="O514" s="2" t="s">
        <v>40</v>
      </c>
    </row>
    <row r="515" spans="1:15" x14ac:dyDescent="0.3">
      <c r="A515" s="2" t="s">
        <v>637</v>
      </c>
      <c r="B515" s="3">
        <v>45987</v>
      </c>
      <c r="C515" s="2" t="s">
        <v>37</v>
      </c>
      <c r="D515" s="2" t="s">
        <v>25</v>
      </c>
      <c r="E515" s="2" t="s">
        <v>33</v>
      </c>
      <c r="F515" s="2" t="s">
        <v>19</v>
      </c>
      <c r="G515" s="2" t="s">
        <v>108</v>
      </c>
      <c r="H515" s="2">
        <v>4</v>
      </c>
      <c r="I515" s="2">
        <v>15198.45</v>
      </c>
      <c r="J515" s="2">
        <v>0</v>
      </c>
      <c r="K515" s="2">
        <v>60793.79</v>
      </c>
      <c r="L515" s="2">
        <v>39463.660000000003</v>
      </c>
      <c r="M515" s="2">
        <v>21330.13</v>
      </c>
      <c r="N515" s="2" t="s">
        <v>29</v>
      </c>
      <c r="O515" s="2" t="s">
        <v>45</v>
      </c>
    </row>
    <row r="516" spans="1:15" x14ac:dyDescent="0.3">
      <c r="A516" s="2" t="s">
        <v>638</v>
      </c>
      <c r="B516" s="3">
        <v>45667</v>
      </c>
      <c r="C516" s="2" t="s">
        <v>63</v>
      </c>
      <c r="D516" s="2" t="s">
        <v>64</v>
      </c>
      <c r="E516" s="2" t="s">
        <v>56</v>
      </c>
      <c r="F516" s="2" t="s">
        <v>43</v>
      </c>
      <c r="G516" s="2" t="s">
        <v>84</v>
      </c>
      <c r="H516" s="2">
        <v>2</v>
      </c>
      <c r="I516" s="2">
        <v>42192.57</v>
      </c>
      <c r="J516" s="2">
        <v>0.05</v>
      </c>
      <c r="K516" s="2">
        <v>80165.89</v>
      </c>
      <c r="L516" s="2">
        <v>59694.33</v>
      </c>
      <c r="M516" s="2">
        <v>20471.560000000001</v>
      </c>
      <c r="N516" s="2" t="s">
        <v>58</v>
      </c>
      <c r="O516" s="2" t="s">
        <v>40</v>
      </c>
    </row>
    <row r="517" spans="1:15" x14ac:dyDescent="0.3">
      <c r="A517" s="2" t="s">
        <v>639</v>
      </c>
      <c r="B517" s="3">
        <v>45677</v>
      </c>
      <c r="C517" s="2" t="s">
        <v>37</v>
      </c>
      <c r="D517" s="2" t="s">
        <v>42</v>
      </c>
      <c r="E517" s="2" t="s">
        <v>65</v>
      </c>
      <c r="F517" s="2" t="s">
        <v>19</v>
      </c>
      <c r="G517" s="2" t="s">
        <v>61</v>
      </c>
      <c r="H517" s="2">
        <v>5</v>
      </c>
      <c r="I517" s="2">
        <v>9439.3700000000008</v>
      </c>
      <c r="J517" s="2">
        <v>0</v>
      </c>
      <c r="K517" s="2">
        <v>47196.84</v>
      </c>
      <c r="L517" s="2">
        <v>30051.77</v>
      </c>
      <c r="M517" s="2">
        <v>17145.07</v>
      </c>
      <c r="N517" s="2" t="s">
        <v>58</v>
      </c>
      <c r="O517" s="2" t="s">
        <v>30</v>
      </c>
    </row>
    <row r="518" spans="1:15" x14ac:dyDescent="0.3">
      <c r="A518" s="2" t="s">
        <v>640</v>
      </c>
      <c r="B518" s="3">
        <v>45802</v>
      </c>
      <c r="C518" s="2" t="s">
        <v>16</v>
      </c>
      <c r="D518" s="2" t="s">
        <v>52</v>
      </c>
      <c r="E518" s="2" t="s">
        <v>74</v>
      </c>
      <c r="F518" s="2" t="s">
        <v>34</v>
      </c>
      <c r="G518" s="2" t="s">
        <v>35</v>
      </c>
      <c r="H518" s="2">
        <v>6</v>
      </c>
      <c r="I518" s="2">
        <v>17528.61</v>
      </c>
      <c r="J518" s="2">
        <v>0.1</v>
      </c>
      <c r="K518" s="2">
        <v>94654.5</v>
      </c>
      <c r="L518" s="2">
        <v>58958.46</v>
      </c>
      <c r="M518" s="2">
        <v>35696.04</v>
      </c>
      <c r="N518" s="2" t="s">
        <v>29</v>
      </c>
      <c r="O518" s="2" t="s">
        <v>22</v>
      </c>
    </row>
    <row r="519" spans="1:15" x14ac:dyDescent="0.3">
      <c r="A519" s="2" t="s">
        <v>641</v>
      </c>
      <c r="B519" s="3">
        <v>45877</v>
      </c>
      <c r="C519" s="2" t="s">
        <v>37</v>
      </c>
      <c r="D519" s="2" t="s">
        <v>42</v>
      </c>
      <c r="E519" s="2" t="s">
        <v>65</v>
      </c>
      <c r="F519" s="2" t="s">
        <v>43</v>
      </c>
      <c r="G519" s="2" t="s">
        <v>121</v>
      </c>
      <c r="H519" s="2">
        <v>1</v>
      </c>
      <c r="I519" s="2">
        <v>4789.29</v>
      </c>
      <c r="J519" s="2">
        <v>0.05</v>
      </c>
      <c r="K519" s="2">
        <v>4549.82</v>
      </c>
      <c r="L519" s="2">
        <v>3289.5</v>
      </c>
      <c r="M519" s="2">
        <v>1260.32</v>
      </c>
      <c r="N519" s="2" t="s">
        <v>21</v>
      </c>
      <c r="O519" s="2" t="s">
        <v>40</v>
      </c>
    </row>
    <row r="520" spans="1:15" x14ac:dyDescent="0.3">
      <c r="A520" s="2" t="s">
        <v>642</v>
      </c>
      <c r="B520" s="3">
        <v>45883</v>
      </c>
      <c r="C520" s="2" t="s">
        <v>37</v>
      </c>
      <c r="D520" s="2" t="s">
        <v>38</v>
      </c>
      <c r="E520" s="2" t="s">
        <v>33</v>
      </c>
      <c r="F520" s="2" t="s">
        <v>43</v>
      </c>
      <c r="G520" s="2" t="s">
        <v>91</v>
      </c>
      <c r="H520" s="2">
        <v>2</v>
      </c>
      <c r="I520" s="2">
        <v>44635.75</v>
      </c>
      <c r="J520" s="2">
        <v>0.05</v>
      </c>
      <c r="K520" s="2">
        <v>84807.92</v>
      </c>
      <c r="L520" s="2">
        <v>55007.31</v>
      </c>
      <c r="M520" s="2">
        <v>29800.61</v>
      </c>
      <c r="N520" s="2" t="s">
        <v>21</v>
      </c>
      <c r="O520" s="2" t="s">
        <v>45</v>
      </c>
    </row>
    <row r="521" spans="1:15" x14ac:dyDescent="0.3">
      <c r="A521" s="2" t="s">
        <v>643</v>
      </c>
      <c r="B521" s="3">
        <v>45903</v>
      </c>
      <c r="C521" s="2" t="s">
        <v>63</v>
      </c>
      <c r="D521" s="2" t="s">
        <v>64</v>
      </c>
      <c r="E521" s="2" t="s">
        <v>26</v>
      </c>
      <c r="F521" s="2" t="s">
        <v>27</v>
      </c>
      <c r="G521" s="2" t="s">
        <v>28</v>
      </c>
      <c r="H521" s="2">
        <v>2</v>
      </c>
      <c r="I521" s="2">
        <v>26210.52</v>
      </c>
      <c r="J521" s="2">
        <v>0.05</v>
      </c>
      <c r="K521" s="2">
        <v>49799.99</v>
      </c>
      <c r="L521" s="2">
        <v>38246.94</v>
      </c>
      <c r="M521" s="2">
        <v>11553.05</v>
      </c>
      <c r="N521" s="2" t="s">
        <v>29</v>
      </c>
      <c r="O521" s="2" t="s">
        <v>45</v>
      </c>
    </row>
    <row r="522" spans="1:15" x14ac:dyDescent="0.3">
      <c r="A522" s="2" t="s">
        <v>644</v>
      </c>
      <c r="B522" s="3">
        <v>45670</v>
      </c>
      <c r="C522" s="2" t="s">
        <v>54</v>
      </c>
      <c r="D522" s="2" t="s">
        <v>124</v>
      </c>
      <c r="E522" s="2" t="s">
        <v>33</v>
      </c>
      <c r="F522" s="2" t="s">
        <v>43</v>
      </c>
      <c r="G522" s="2" t="s">
        <v>84</v>
      </c>
      <c r="H522" s="2">
        <v>3</v>
      </c>
      <c r="I522" s="2">
        <v>44476.7</v>
      </c>
      <c r="J522" s="2">
        <v>0.05</v>
      </c>
      <c r="K522" s="2">
        <v>126758.6</v>
      </c>
      <c r="L522" s="2">
        <v>94307.21</v>
      </c>
      <c r="M522" s="2">
        <v>32451.39</v>
      </c>
      <c r="N522" s="2" t="s">
        <v>58</v>
      </c>
      <c r="O522" s="2" t="s">
        <v>40</v>
      </c>
    </row>
    <row r="523" spans="1:15" x14ac:dyDescent="0.3">
      <c r="A523" s="2" t="s">
        <v>645</v>
      </c>
      <c r="B523" s="3">
        <v>45691</v>
      </c>
      <c r="C523" s="2" t="s">
        <v>54</v>
      </c>
      <c r="D523" s="2" t="s">
        <v>48</v>
      </c>
      <c r="E523" s="2" t="s">
        <v>65</v>
      </c>
      <c r="F523" s="2" t="s">
        <v>34</v>
      </c>
      <c r="G523" s="2" t="s">
        <v>39</v>
      </c>
      <c r="H523" s="2">
        <v>7</v>
      </c>
      <c r="I523" s="2">
        <v>28873</v>
      </c>
      <c r="J523" s="2">
        <v>0.03</v>
      </c>
      <c r="K523" s="2">
        <v>196047.68</v>
      </c>
      <c r="L523" s="2">
        <v>126049.59</v>
      </c>
      <c r="M523" s="2">
        <v>69998.09</v>
      </c>
      <c r="N523" s="2" t="s">
        <v>21</v>
      </c>
      <c r="O523" s="2" t="s">
        <v>59</v>
      </c>
    </row>
    <row r="524" spans="1:15" x14ac:dyDescent="0.3">
      <c r="A524" s="2" t="s">
        <v>646</v>
      </c>
      <c r="B524" s="3">
        <v>45907</v>
      </c>
      <c r="C524" s="2" t="s">
        <v>54</v>
      </c>
      <c r="D524" s="2" t="s">
        <v>124</v>
      </c>
      <c r="E524" s="2" t="s">
        <v>33</v>
      </c>
      <c r="F524" s="2" t="s">
        <v>43</v>
      </c>
      <c r="G524" s="2" t="s">
        <v>121</v>
      </c>
      <c r="H524" s="2">
        <v>3</v>
      </c>
      <c r="I524" s="2">
        <v>4874.62</v>
      </c>
      <c r="J524" s="2">
        <v>0.1</v>
      </c>
      <c r="K524" s="2">
        <v>13161.48</v>
      </c>
      <c r="L524" s="2">
        <v>9926.5499999999993</v>
      </c>
      <c r="M524" s="2">
        <v>3234.93</v>
      </c>
      <c r="N524" s="2" t="s">
        <v>58</v>
      </c>
      <c r="O524" s="2" t="s">
        <v>59</v>
      </c>
    </row>
    <row r="525" spans="1:15" x14ac:dyDescent="0.3">
      <c r="A525" s="2" t="s">
        <v>647</v>
      </c>
      <c r="B525" s="3">
        <v>45861</v>
      </c>
      <c r="C525" s="2" t="s">
        <v>37</v>
      </c>
      <c r="D525" s="2" t="s">
        <v>42</v>
      </c>
      <c r="E525" s="2" t="s">
        <v>33</v>
      </c>
      <c r="F525" s="2" t="s">
        <v>43</v>
      </c>
      <c r="G525" s="2" t="s">
        <v>91</v>
      </c>
      <c r="H525" s="2">
        <v>2</v>
      </c>
      <c r="I525" s="2">
        <v>44241.03</v>
      </c>
      <c r="J525" s="2">
        <v>0.05</v>
      </c>
      <c r="K525" s="2">
        <v>84057.96</v>
      </c>
      <c r="L525" s="2">
        <v>69282.960000000006</v>
      </c>
      <c r="M525" s="2">
        <v>14775</v>
      </c>
      <c r="N525" s="2" t="s">
        <v>21</v>
      </c>
      <c r="O525" s="2" t="s">
        <v>40</v>
      </c>
    </row>
    <row r="526" spans="1:15" x14ac:dyDescent="0.3">
      <c r="A526" s="2" t="s">
        <v>648</v>
      </c>
      <c r="B526" s="3">
        <v>45800</v>
      </c>
      <c r="C526" s="2" t="s">
        <v>54</v>
      </c>
      <c r="D526" s="2" t="s">
        <v>174</v>
      </c>
      <c r="E526" s="2" t="s">
        <v>65</v>
      </c>
      <c r="F526" s="2" t="s">
        <v>43</v>
      </c>
      <c r="G526" s="2" t="s">
        <v>44</v>
      </c>
      <c r="H526" s="2">
        <v>2</v>
      </c>
      <c r="I526" s="2">
        <v>12420.93</v>
      </c>
      <c r="J526" s="2">
        <v>0.03</v>
      </c>
      <c r="K526" s="2">
        <v>24096.6</v>
      </c>
      <c r="L526" s="2">
        <v>16768.62</v>
      </c>
      <c r="M526" s="2">
        <v>7327.98</v>
      </c>
      <c r="N526" s="2" t="s">
        <v>21</v>
      </c>
      <c r="O526" s="2" t="s">
        <v>40</v>
      </c>
    </row>
    <row r="527" spans="1:15" x14ac:dyDescent="0.3">
      <c r="A527" s="2" t="s">
        <v>649</v>
      </c>
      <c r="B527" s="3">
        <v>45808</v>
      </c>
      <c r="C527" s="2" t="s">
        <v>63</v>
      </c>
      <c r="D527" s="2" t="s">
        <v>64</v>
      </c>
      <c r="E527" s="2" t="s">
        <v>18</v>
      </c>
      <c r="F527" s="2" t="s">
        <v>34</v>
      </c>
      <c r="G527" s="2" t="s">
        <v>80</v>
      </c>
      <c r="H527" s="2">
        <v>6</v>
      </c>
      <c r="I527" s="2">
        <v>4481.3900000000003</v>
      </c>
      <c r="J527" s="2">
        <v>0.03</v>
      </c>
      <c r="K527" s="2">
        <v>26081.71</v>
      </c>
      <c r="L527" s="2">
        <v>20030.47</v>
      </c>
      <c r="M527" s="2">
        <v>6051.24</v>
      </c>
      <c r="N527" s="2" t="s">
        <v>21</v>
      </c>
      <c r="O527" s="2" t="s">
        <v>45</v>
      </c>
    </row>
    <row r="528" spans="1:15" x14ac:dyDescent="0.3">
      <c r="A528" s="2" t="s">
        <v>650</v>
      </c>
      <c r="B528" s="3">
        <v>45816</v>
      </c>
      <c r="C528" s="2" t="s">
        <v>271</v>
      </c>
      <c r="D528" s="2" t="s">
        <v>38</v>
      </c>
      <c r="E528" s="2" t="s">
        <v>18</v>
      </c>
      <c r="F528" s="2" t="s">
        <v>34</v>
      </c>
      <c r="G528" s="2" t="s">
        <v>57</v>
      </c>
      <c r="H528" s="2">
        <v>8</v>
      </c>
      <c r="I528" s="2">
        <v>21443.37</v>
      </c>
      <c r="J528" s="2">
        <v>0.15</v>
      </c>
      <c r="K528" s="2">
        <v>145814.9</v>
      </c>
      <c r="L528" s="2">
        <v>119752.84</v>
      </c>
      <c r="M528" s="2">
        <v>26062.06</v>
      </c>
      <c r="N528" s="2" t="s">
        <v>21</v>
      </c>
      <c r="O528" s="2" t="s">
        <v>30</v>
      </c>
    </row>
    <row r="529" spans="1:15" x14ac:dyDescent="0.3">
      <c r="A529" s="2" t="s">
        <v>651</v>
      </c>
      <c r="B529" s="3">
        <v>45941</v>
      </c>
      <c r="C529" s="2" t="s">
        <v>37</v>
      </c>
      <c r="D529" s="2" t="s">
        <v>25</v>
      </c>
      <c r="E529" s="2" t="s">
        <v>65</v>
      </c>
      <c r="F529" s="2" t="s">
        <v>34</v>
      </c>
      <c r="G529" s="2" t="s">
        <v>70</v>
      </c>
      <c r="H529" s="2">
        <v>4</v>
      </c>
      <c r="I529" s="2">
        <v>65055.8</v>
      </c>
      <c r="J529" s="2">
        <v>0.05</v>
      </c>
      <c r="K529" s="2">
        <v>247212.03</v>
      </c>
      <c r="L529" s="2">
        <v>190920.26</v>
      </c>
      <c r="M529" s="2">
        <v>56291.77</v>
      </c>
      <c r="N529" s="2" t="s">
        <v>58</v>
      </c>
      <c r="O529" s="2" t="s">
        <v>45</v>
      </c>
    </row>
    <row r="530" spans="1:15" x14ac:dyDescent="0.3">
      <c r="A530" s="2" t="s">
        <v>652</v>
      </c>
      <c r="B530" s="3">
        <v>45838</v>
      </c>
      <c r="C530" s="2" t="s">
        <v>54</v>
      </c>
      <c r="D530" s="2" t="s">
        <v>48</v>
      </c>
      <c r="E530" s="2" t="s">
        <v>65</v>
      </c>
      <c r="F530" s="2" t="s">
        <v>43</v>
      </c>
      <c r="G530" s="2" t="s">
        <v>121</v>
      </c>
      <c r="H530" s="2">
        <v>8</v>
      </c>
      <c r="I530" s="2">
        <v>5250.45</v>
      </c>
      <c r="J530" s="2">
        <v>0</v>
      </c>
      <c r="K530" s="2">
        <v>42003.6</v>
      </c>
      <c r="L530" s="2">
        <v>30363.34</v>
      </c>
      <c r="M530" s="2">
        <v>11640.26</v>
      </c>
      <c r="N530" s="2" t="s">
        <v>21</v>
      </c>
      <c r="O530" s="2" t="s">
        <v>30</v>
      </c>
    </row>
    <row r="531" spans="1:15" x14ac:dyDescent="0.3">
      <c r="A531" s="2" t="s">
        <v>653</v>
      </c>
      <c r="B531" s="3">
        <v>45964</v>
      </c>
      <c r="C531" s="2" t="s">
        <v>63</v>
      </c>
      <c r="D531" s="2" t="s">
        <v>88</v>
      </c>
      <c r="E531" s="2" t="s">
        <v>69</v>
      </c>
      <c r="F531" s="2" t="s">
        <v>34</v>
      </c>
      <c r="G531" s="2" t="s">
        <v>70</v>
      </c>
      <c r="H531" s="2">
        <v>7</v>
      </c>
      <c r="I531" s="2">
        <v>67480.88</v>
      </c>
      <c r="J531" s="2">
        <v>0</v>
      </c>
      <c r="K531" s="2">
        <v>472366.15</v>
      </c>
      <c r="L531" s="2">
        <v>336765.68</v>
      </c>
      <c r="M531" s="2">
        <v>135600.47</v>
      </c>
      <c r="N531" s="2" t="s">
        <v>21</v>
      </c>
      <c r="O531" s="2" t="s">
        <v>40</v>
      </c>
    </row>
    <row r="532" spans="1:15" x14ac:dyDescent="0.3">
      <c r="A532" s="2" t="s">
        <v>654</v>
      </c>
      <c r="B532" s="3">
        <v>45803</v>
      </c>
      <c r="C532" s="2" t="s">
        <v>54</v>
      </c>
      <c r="D532" s="2" t="s">
        <v>55</v>
      </c>
      <c r="E532" s="2" t="s">
        <v>26</v>
      </c>
      <c r="F532" s="2" t="s">
        <v>34</v>
      </c>
      <c r="G532" s="2" t="s">
        <v>35</v>
      </c>
      <c r="H532" s="2">
        <v>2</v>
      </c>
      <c r="I532" s="2">
        <v>18869.3</v>
      </c>
      <c r="J532" s="2">
        <v>0.05</v>
      </c>
      <c r="K532" s="2">
        <v>35851.67</v>
      </c>
      <c r="L532" s="2">
        <v>29709.85</v>
      </c>
      <c r="M532" s="2">
        <v>6141.82</v>
      </c>
      <c r="N532" s="2" t="s">
        <v>58</v>
      </c>
      <c r="O532" s="2" t="s">
        <v>30</v>
      </c>
    </row>
    <row r="533" spans="1:15" x14ac:dyDescent="0.3">
      <c r="A533" s="2" t="s">
        <v>655</v>
      </c>
      <c r="B533" s="3">
        <v>45733</v>
      </c>
      <c r="C533" s="2" t="s">
        <v>16</v>
      </c>
      <c r="D533" s="2" t="s">
        <v>17</v>
      </c>
      <c r="E533" s="2" t="s">
        <v>74</v>
      </c>
      <c r="F533" s="2" t="s">
        <v>43</v>
      </c>
      <c r="G533" s="2" t="s">
        <v>84</v>
      </c>
      <c r="H533" s="2">
        <v>7</v>
      </c>
      <c r="I533" s="2">
        <v>41627.53</v>
      </c>
      <c r="J533" s="2">
        <v>0.08</v>
      </c>
      <c r="K533" s="2">
        <v>268081.32</v>
      </c>
      <c r="L533" s="2">
        <v>180901.14</v>
      </c>
      <c r="M533" s="2">
        <v>87180.18</v>
      </c>
      <c r="N533" s="2" t="s">
        <v>21</v>
      </c>
      <c r="O533" s="2" t="s">
        <v>59</v>
      </c>
    </row>
    <row r="534" spans="1:15" x14ac:dyDescent="0.3">
      <c r="A534" s="2" t="s">
        <v>656</v>
      </c>
      <c r="B534" s="3">
        <v>45747</v>
      </c>
      <c r="C534" s="2" t="s">
        <v>16</v>
      </c>
      <c r="D534" s="2" t="s">
        <v>32</v>
      </c>
      <c r="E534" s="2" t="s">
        <v>26</v>
      </c>
      <c r="F534" s="2" t="s">
        <v>43</v>
      </c>
      <c r="G534" s="2" t="s">
        <v>44</v>
      </c>
      <c r="H534" s="2">
        <v>3</v>
      </c>
      <c r="I534" s="2">
        <v>12701.9</v>
      </c>
      <c r="J534" s="2">
        <v>0.05</v>
      </c>
      <c r="K534" s="2">
        <v>36200.410000000003</v>
      </c>
      <c r="L534" s="2">
        <v>28300.36</v>
      </c>
      <c r="M534" s="2">
        <v>7900.05</v>
      </c>
      <c r="N534" s="2" t="s">
        <v>29</v>
      </c>
      <c r="O534" s="2" t="s">
        <v>40</v>
      </c>
    </row>
    <row r="535" spans="1:15" x14ac:dyDescent="0.3">
      <c r="A535" s="2" t="s">
        <v>657</v>
      </c>
      <c r="B535" s="3">
        <v>45825</v>
      </c>
      <c r="C535" s="2" t="s">
        <v>63</v>
      </c>
      <c r="D535" s="2" t="s">
        <v>95</v>
      </c>
      <c r="E535" s="2" t="s">
        <v>49</v>
      </c>
      <c r="F535" s="2" t="s">
        <v>43</v>
      </c>
      <c r="G535" s="2" t="s">
        <v>75</v>
      </c>
      <c r="H535" s="2">
        <v>1</v>
      </c>
      <c r="I535" s="2">
        <v>37104.31</v>
      </c>
      <c r="J535" s="2">
        <v>0.08</v>
      </c>
      <c r="K535" s="2">
        <v>34135.96</v>
      </c>
      <c r="L535" s="2">
        <v>21478.9</v>
      </c>
      <c r="M535" s="2">
        <v>12657.06</v>
      </c>
      <c r="N535" s="2" t="s">
        <v>21</v>
      </c>
      <c r="O535" s="2" t="s">
        <v>22</v>
      </c>
    </row>
    <row r="536" spans="1:15" x14ac:dyDescent="0.3">
      <c r="A536" s="2" t="s">
        <v>658</v>
      </c>
      <c r="B536" s="3">
        <v>45852</v>
      </c>
      <c r="C536" s="2" t="s">
        <v>16</v>
      </c>
      <c r="D536" s="2" t="s">
        <v>82</v>
      </c>
      <c r="E536" s="2" t="s">
        <v>56</v>
      </c>
      <c r="F536" s="2" t="s">
        <v>19</v>
      </c>
      <c r="G536" s="2" t="s">
        <v>108</v>
      </c>
      <c r="H536" s="2">
        <v>7</v>
      </c>
      <c r="I536" s="2">
        <v>15521.67</v>
      </c>
      <c r="J536" s="2">
        <v>0.05</v>
      </c>
      <c r="K536" s="2">
        <v>103219.11</v>
      </c>
      <c r="L536" s="2">
        <v>87254.26</v>
      </c>
      <c r="M536" s="2">
        <v>15964.85</v>
      </c>
      <c r="N536" s="2" t="s">
        <v>29</v>
      </c>
      <c r="O536" s="2" t="s">
        <v>59</v>
      </c>
    </row>
    <row r="537" spans="1:15" x14ac:dyDescent="0.3">
      <c r="A537" s="2" t="s">
        <v>659</v>
      </c>
      <c r="B537" s="3">
        <v>45903</v>
      </c>
      <c r="C537" s="2" t="s">
        <v>54</v>
      </c>
      <c r="D537" s="2" t="s">
        <v>174</v>
      </c>
      <c r="E537" s="2" t="s">
        <v>49</v>
      </c>
      <c r="F537" s="2" t="s">
        <v>34</v>
      </c>
      <c r="G537" s="2" t="s">
        <v>80</v>
      </c>
      <c r="H537" s="2">
        <v>8</v>
      </c>
      <c r="I537" s="2">
        <v>4663.3500000000004</v>
      </c>
      <c r="J537" s="2">
        <v>0.1</v>
      </c>
      <c r="K537" s="2">
        <v>33576.129999999997</v>
      </c>
      <c r="L537" s="2">
        <v>22595.759999999998</v>
      </c>
      <c r="M537" s="2">
        <v>10980.37</v>
      </c>
      <c r="N537" s="2" t="s">
        <v>29</v>
      </c>
      <c r="O537" s="2" t="s">
        <v>40</v>
      </c>
    </row>
    <row r="538" spans="1:15" x14ac:dyDescent="0.3">
      <c r="A538" s="2" t="s">
        <v>660</v>
      </c>
      <c r="B538" s="3">
        <v>46013</v>
      </c>
      <c r="C538" s="2" t="s">
        <v>16</v>
      </c>
      <c r="D538" s="2" t="s">
        <v>17</v>
      </c>
      <c r="E538" s="2" t="s">
        <v>18</v>
      </c>
      <c r="F538" s="2" t="s">
        <v>43</v>
      </c>
      <c r="G538" s="2" t="s">
        <v>121</v>
      </c>
      <c r="H538" s="2">
        <v>5</v>
      </c>
      <c r="I538" s="2">
        <v>5120.67</v>
      </c>
      <c r="J538" s="2"/>
      <c r="K538" s="2">
        <v>23555.07</v>
      </c>
      <c r="L538" s="2">
        <v>15597.26</v>
      </c>
      <c r="M538" s="2">
        <v>7957.81</v>
      </c>
      <c r="N538" s="2" t="s">
        <v>58</v>
      </c>
      <c r="O538" s="2" t="s">
        <v>22</v>
      </c>
    </row>
    <row r="539" spans="1:15" x14ac:dyDescent="0.3">
      <c r="A539" s="2" t="s">
        <v>661</v>
      </c>
      <c r="B539" s="3">
        <v>45699</v>
      </c>
      <c r="C539" s="2" t="s">
        <v>16</v>
      </c>
      <c r="D539" s="2" t="s">
        <v>32</v>
      </c>
      <c r="E539" s="2" t="s">
        <v>56</v>
      </c>
      <c r="F539" s="2" t="s">
        <v>34</v>
      </c>
      <c r="G539" s="2" t="s">
        <v>35</v>
      </c>
      <c r="H539" s="2">
        <v>3</v>
      </c>
      <c r="I539" s="2">
        <v>19266.98</v>
      </c>
      <c r="J539" s="2">
        <v>0.05</v>
      </c>
      <c r="K539" s="2">
        <v>54910.9</v>
      </c>
      <c r="L539" s="2">
        <v>47066.87</v>
      </c>
      <c r="M539" s="2">
        <v>7844.03</v>
      </c>
      <c r="N539" s="2" t="s">
        <v>21</v>
      </c>
      <c r="O539" s="2" t="s">
        <v>45</v>
      </c>
    </row>
    <row r="540" spans="1:15" x14ac:dyDescent="0.3">
      <c r="A540" s="2" t="s">
        <v>662</v>
      </c>
      <c r="B540" s="3">
        <v>45742</v>
      </c>
      <c r="C540" s="2" t="s">
        <v>16</v>
      </c>
      <c r="D540" s="2" t="s">
        <v>52</v>
      </c>
      <c r="E540" s="2" t="s">
        <v>74</v>
      </c>
      <c r="F540" s="2" t="s">
        <v>43</v>
      </c>
      <c r="G540" s="2" t="s">
        <v>44</v>
      </c>
      <c r="H540" s="2">
        <v>5</v>
      </c>
      <c r="I540" s="2">
        <v>11225.65</v>
      </c>
      <c r="J540" s="2">
        <v>0.08</v>
      </c>
      <c r="K540" s="2">
        <v>51638.01</v>
      </c>
      <c r="L540" s="2">
        <v>35508.26</v>
      </c>
      <c r="M540" s="2">
        <v>16129.75</v>
      </c>
      <c r="N540" s="2" t="s">
        <v>58</v>
      </c>
      <c r="O540" s="2" t="s">
        <v>30</v>
      </c>
    </row>
    <row r="541" spans="1:15" x14ac:dyDescent="0.3">
      <c r="A541" s="2" t="s">
        <v>663</v>
      </c>
      <c r="B541" s="3">
        <v>45963</v>
      </c>
      <c r="C541" s="2" t="s">
        <v>37</v>
      </c>
      <c r="D541" s="2" t="s">
        <v>68</v>
      </c>
      <c r="E541" s="2" t="s">
        <v>33</v>
      </c>
      <c r="F541" s="2" t="s">
        <v>34</v>
      </c>
      <c r="G541" s="2" t="s">
        <v>35</v>
      </c>
      <c r="H541" s="2">
        <v>5</v>
      </c>
      <c r="I541" s="2">
        <v>19255.18</v>
      </c>
      <c r="J541" s="2">
        <v>0.05</v>
      </c>
      <c r="K541" s="2">
        <v>91462.1</v>
      </c>
      <c r="L541" s="2">
        <v>63077.86</v>
      </c>
      <c r="M541" s="2">
        <v>28384.240000000002</v>
      </c>
      <c r="N541" s="2" t="s">
        <v>21</v>
      </c>
      <c r="O541" s="2" t="s">
        <v>30</v>
      </c>
    </row>
    <row r="542" spans="1:15" x14ac:dyDescent="0.3">
      <c r="A542" s="2" t="s">
        <v>664</v>
      </c>
      <c r="B542" s="3">
        <v>45876</v>
      </c>
      <c r="C542" s="2" t="s">
        <v>63</v>
      </c>
      <c r="D542" s="2" t="s">
        <v>64</v>
      </c>
      <c r="E542" s="2" t="s">
        <v>56</v>
      </c>
      <c r="F542" s="2" t="s">
        <v>27</v>
      </c>
      <c r="G542" s="2" t="s">
        <v>50</v>
      </c>
      <c r="H542" s="2">
        <v>2</v>
      </c>
      <c r="I542" s="2">
        <v>30046.35</v>
      </c>
      <c r="J542" s="2">
        <v>0.1</v>
      </c>
      <c r="K542" s="2">
        <v>54083.43</v>
      </c>
      <c r="L542" s="2">
        <v>43723.51</v>
      </c>
      <c r="M542" s="2">
        <v>10359.92</v>
      </c>
      <c r="N542" s="2" t="s">
        <v>29</v>
      </c>
      <c r="O542" s="2" t="s">
        <v>40</v>
      </c>
    </row>
    <row r="543" spans="1:15" x14ac:dyDescent="0.3">
      <c r="A543" s="2" t="s">
        <v>665</v>
      </c>
      <c r="B543" s="3">
        <v>46010</v>
      </c>
      <c r="C543" s="2" t="s">
        <v>16</v>
      </c>
      <c r="D543" s="2" t="s">
        <v>52</v>
      </c>
      <c r="E543" s="2" t="s">
        <v>56</v>
      </c>
      <c r="F543" s="2" t="s">
        <v>27</v>
      </c>
      <c r="G543" s="2" t="s">
        <v>125</v>
      </c>
      <c r="H543" s="2">
        <v>2</v>
      </c>
      <c r="I543" s="2">
        <v>8261.09</v>
      </c>
      <c r="J543" s="2">
        <v>0.15</v>
      </c>
      <c r="K543" s="2">
        <v>14043.85</v>
      </c>
      <c r="L543" s="2">
        <v>11483.3</v>
      </c>
      <c r="M543" s="2">
        <v>2560.5500000000002</v>
      </c>
      <c r="N543" s="2" t="s">
        <v>58</v>
      </c>
      <c r="O543" s="2" t="s">
        <v>22</v>
      </c>
    </row>
    <row r="544" spans="1:15" x14ac:dyDescent="0.3">
      <c r="A544" s="2" t="s">
        <v>666</v>
      </c>
      <c r="B544" s="3">
        <v>45829</v>
      </c>
      <c r="C544" s="2" t="s">
        <v>54</v>
      </c>
      <c r="D544" s="2" t="s">
        <v>174</v>
      </c>
      <c r="E544" s="2" t="s">
        <v>56</v>
      </c>
      <c r="F544" s="2" t="s">
        <v>43</v>
      </c>
      <c r="G544" s="2" t="s">
        <v>84</v>
      </c>
      <c r="H544" s="2">
        <v>7</v>
      </c>
      <c r="I544" s="2">
        <v>41044.11</v>
      </c>
      <c r="J544" s="2">
        <v>0</v>
      </c>
      <c r="K544" s="2">
        <v>287308.78000000003</v>
      </c>
      <c r="L544" s="2">
        <v>183257.12</v>
      </c>
      <c r="M544" s="2">
        <v>104051.66</v>
      </c>
      <c r="N544" s="2" t="s">
        <v>21</v>
      </c>
      <c r="O544" s="2" t="s">
        <v>45</v>
      </c>
    </row>
    <row r="545" spans="1:15" x14ac:dyDescent="0.3">
      <c r="A545" s="2" t="s">
        <v>667</v>
      </c>
      <c r="B545" s="3">
        <v>45932</v>
      </c>
      <c r="C545" s="2" t="s">
        <v>16</v>
      </c>
      <c r="D545" s="2" t="s">
        <v>82</v>
      </c>
      <c r="E545" s="2" t="s">
        <v>18</v>
      </c>
      <c r="F545" s="2" t="s">
        <v>43</v>
      </c>
      <c r="G545" s="2" t="s">
        <v>121</v>
      </c>
      <c r="H545" s="2">
        <v>5</v>
      </c>
      <c r="I545" s="2">
        <v>4877.75</v>
      </c>
      <c r="J545" s="2">
        <v>0.1</v>
      </c>
      <c r="K545" s="2">
        <v>21949.89</v>
      </c>
      <c r="L545" s="2">
        <v>16902.55</v>
      </c>
      <c r="M545" s="2">
        <v>5047.34</v>
      </c>
      <c r="N545" s="2" t="s">
        <v>58</v>
      </c>
      <c r="O545" s="2" t="s">
        <v>59</v>
      </c>
    </row>
    <row r="546" spans="1:15" x14ac:dyDescent="0.3">
      <c r="A546" s="2" t="s">
        <v>668</v>
      </c>
      <c r="B546" s="3">
        <v>45903</v>
      </c>
      <c r="C546" s="2" t="s">
        <v>54</v>
      </c>
      <c r="D546" s="2" t="s">
        <v>55</v>
      </c>
      <c r="E546" s="2" t="s">
        <v>56</v>
      </c>
      <c r="F546" s="2" t="s">
        <v>34</v>
      </c>
      <c r="G546" s="2" t="s">
        <v>39</v>
      </c>
      <c r="H546" s="2">
        <v>7</v>
      </c>
      <c r="I546" s="2">
        <v>30904.02</v>
      </c>
      <c r="J546" s="2">
        <v>0.08</v>
      </c>
      <c r="K546" s="2">
        <v>199021.92</v>
      </c>
      <c r="L546" s="2">
        <v>133574.38</v>
      </c>
      <c r="M546" s="2">
        <v>65447.54</v>
      </c>
      <c r="N546" s="2" t="s">
        <v>29</v>
      </c>
      <c r="O546" s="2" t="s">
        <v>30</v>
      </c>
    </row>
    <row r="547" spans="1:15" x14ac:dyDescent="0.3">
      <c r="A547" s="2" t="s">
        <v>669</v>
      </c>
      <c r="B547" s="3">
        <v>45853</v>
      </c>
      <c r="C547" s="2" t="s">
        <v>54</v>
      </c>
      <c r="D547" s="2" t="s">
        <v>55</v>
      </c>
      <c r="E547" s="2" t="s">
        <v>65</v>
      </c>
      <c r="F547" s="2" t="s">
        <v>34</v>
      </c>
      <c r="G547" s="2" t="s">
        <v>70</v>
      </c>
      <c r="H547" s="2">
        <v>5</v>
      </c>
      <c r="I547" s="2">
        <v>60400.51</v>
      </c>
      <c r="J547" s="2">
        <v>0.1</v>
      </c>
      <c r="K547" s="2">
        <v>271802.28000000003</v>
      </c>
      <c r="L547" s="2">
        <v>172369.4</v>
      </c>
      <c r="M547" s="2">
        <v>99432.88</v>
      </c>
      <c r="N547" s="2" t="s">
        <v>29</v>
      </c>
      <c r="O547" s="2" t="s">
        <v>45</v>
      </c>
    </row>
    <row r="548" spans="1:15" x14ac:dyDescent="0.3">
      <c r="A548" s="2" t="s">
        <v>670</v>
      </c>
      <c r="B548" s="3">
        <v>45992</v>
      </c>
      <c r="C548" s="2" t="s">
        <v>16</v>
      </c>
      <c r="D548" s="2" t="s">
        <v>17</v>
      </c>
      <c r="E548" s="2" t="s">
        <v>69</v>
      </c>
      <c r="F548" s="2" t="s">
        <v>43</v>
      </c>
      <c r="G548" s="2" t="s">
        <v>84</v>
      </c>
      <c r="H548" s="2">
        <v>6</v>
      </c>
      <c r="I548" s="2">
        <v>43828.86</v>
      </c>
      <c r="J548" s="2">
        <v>0.03</v>
      </c>
      <c r="K548" s="2">
        <v>255083.97</v>
      </c>
      <c r="L548" s="2">
        <v>181692.18</v>
      </c>
      <c r="M548" s="2">
        <v>73391.789999999994</v>
      </c>
      <c r="N548" s="2" t="s">
        <v>21</v>
      </c>
      <c r="O548" s="2" t="s">
        <v>30</v>
      </c>
    </row>
    <row r="549" spans="1:15" x14ac:dyDescent="0.3">
      <c r="A549" s="2" t="s">
        <v>671</v>
      </c>
      <c r="B549" s="3">
        <v>45766</v>
      </c>
      <c r="C549" s="2" t="s">
        <v>54</v>
      </c>
      <c r="D549" s="2" t="s">
        <v>55</v>
      </c>
      <c r="E549" s="2" t="s">
        <v>49</v>
      </c>
      <c r="F549" s="2" t="s">
        <v>19</v>
      </c>
      <c r="G549" s="2" t="s">
        <v>106</v>
      </c>
      <c r="H549" s="2">
        <v>3</v>
      </c>
      <c r="I549" s="2">
        <v>13637.08</v>
      </c>
      <c r="J549" s="2">
        <v>0.08</v>
      </c>
      <c r="K549" s="2">
        <v>37638.339999999997</v>
      </c>
      <c r="L549" s="2">
        <v>25029.54</v>
      </c>
      <c r="M549" s="2">
        <v>12608.8</v>
      </c>
      <c r="N549" s="2" t="s">
        <v>29</v>
      </c>
      <c r="O549" s="2" t="s">
        <v>22</v>
      </c>
    </row>
    <row r="550" spans="1:15" x14ac:dyDescent="0.3">
      <c r="A550" s="2" t="s">
        <v>672</v>
      </c>
      <c r="B550" s="3">
        <v>45824</v>
      </c>
      <c r="C550" s="2" t="s">
        <v>37</v>
      </c>
      <c r="D550" s="2" t="s">
        <v>25</v>
      </c>
      <c r="E550" s="2" t="s">
        <v>18</v>
      </c>
      <c r="F550" s="2" t="s">
        <v>43</v>
      </c>
      <c r="G550" s="2" t="s">
        <v>75</v>
      </c>
      <c r="H550" s="2">
        <v>8</v>
      </c>
      <c r="I550" s="2">
        <v>38689.74</v>
      </c>
      <c r="J550" s="2">
        <v>0.05</v>
      </c>
      <c r="K550" s="2">
        <v>294042.01</v>
      </c>
      <c r="L550" s="2">
        <v>243238.48</v>
      </c>
      <c r="M550" s="2">
        <v>50803.53</v>
      </c>
      <c r="N550" s="2" t="s">
        <v>58</v>
      </c>
      <c r="O550" s="2" t="s">
        <v>59</v>
      </c>
    </row>
    <row r="551" spans="1:15" x14ac:dyDescent="0.3">
      <c r="A551" s="2" t="s">
        <v>673</v>
      </c>
      <c r="B551" s="3">
        <v>45858</v>
      </c>
      <c r="C551" s="2" t="s">
        <v>54</v>
      </c>
      <c r="D551" s="2" t="s">
        <v>48</v>
      </c>
      <c r="E551" s="2" t="s">
        <v>18</v>
      </c>
      <c r="F551" s="2" t="s">
        <v>19</v>
      </c>
      <c r="G551" s="2" t="s">
        <v>102</v>
      </c>
      <c r="H551" s="2">
        <v>2</v>
      </c>
      <c r="I551" s="2">
        <v>235.26</v>
      </c>
      <c r="J551" s="2">
        <v>0.03</v>
      </c>
      <c r="K551" s="2">
        <v>456.4</v>
      </c>
      <c r="L551" s="2">
        <v>346.63</v>
      </c>
      <c r="M551" s="2">
        <v>109.77</v>
      </c>
      <c r="N551" s="2" t="s">
        <v>21</v>
      </c>
      <c r="O551" s="2" t="s">
        <v>22</v>
      </c>
    </row>
    <row r="552" spans="1:15" x14ac:dyDescent="0.3">
      <c r="A552" s="2" t="s">
        <v>674</v>
      </c>
      <c r="B552" s="3">
        <v>45892</v>
      </c>
      <c r="C552" s="2" t="s">
        <v>54</v>
      </c>
      <c r="D552" s="2" t="s">
        <v>124</v>
      </c>
      <c r="E552" s="2" t="s">
        <v>74</v>
      </c>
      <c r="F552" s="2" t="s">
        <v>34</v>
      </c>
      <c r="G552" s="2" t="s">
        <v>35</v>
      </c>
      <c r="H552" s="2">
        <v>7</v>
      </c>
      <c r="I552" s="2">
        <v>19343.87</v>
      </c>
      <c r="J552" s="2">
        <v>0.05</v>
      </c>
      <c r="K552" s="2">
        <v>128636.75</v>
      </c>
      <c r="L552" s="2">
        <v>89664.87</v>
      </c>
      <c r="M552" s="2">
        <v>38971.879999999997</v>
      </c>
      <c r="N552" s="2" t="s">
        <v>21</v>
      </c>
      <c r="O552" s="2" t="s">
        <v>40</v>
      </c>
    </row>
    <row r="553" spans="1:15" x14ac:dyDescent="0.3">
      <c r="A553" s="2" t="s">
        <v>675</v>
      </c>
      <c r="B553" s="3">
        <v>45765</v>
      </c>
      <c r="C553" s="2" t="s">
        <v>37</v>
      </c>
      <c r="D553" s="2" t="s">
        <v>38</v>
      </c>
      <c r="E553" s="2" t="s">
        <v>49</v>
      </c>
      <c r="F553" s="2" t="s">
        <v>27</v>
      </c>
      <c r="G553" s="2" t="s">
        <v>89</v>
      </c>
      <c r="H553" s="2">
        <v>1</v>
      </c>
      <c r="I553" s="2">
        <v>33266.160000000003</v>
      </c>
      <c r="J553" s="2">
        <v>0</v>
      </c>
      <c r="K553" s="2">
        <v>33266.160000000003</v>
      </c>
      <c r="L553" s="2">
        <v>28197.89</v>
      </c>
      <c r="M553" s="2">
        <v>5068.2700000000004</v>
      </c>
      <c r="N553" s="2" t="s">
        <v>21</v>
      </c>
      <c r="O553" s="2" t="s">
        <v>40</v>
      </c>
    </row>
    <row r="554" spans="1:15" x14ac:dyDescent="0.3">
      <c r="A554" s="2" t="s">
        <v>676</v>
      </c>
      <c r="B554" s="3">
        <v>45909</v>
      </c>
      <c r="C554" s="2" t="s">
        <v>54</v>
      </c>
      <c r="D554" s="2" t="s">
        <v>48</v>
      </c>
      <c r="E554" s="2" t="s">
        <v>33</v>
      </c>
      <c r="F554" s="2" t="s">
        <v>43</v>
      </c>
      <c r="G554" s="2" t="s">
        <v>91</v>
      </c>
      <c r="H554" s="2">
        <v>2</v>
      </c>
      <c r="I554" s="2">
        <v>50199.03</v>
      </c>
      <c r="J554" s="2">
        <v>0.05</v>
      </c>
      <c r="K554" s="2">
        <v>95378.15</v>
      </c>
      <c r="L554" s="2">
        <v>59196.44</v>
      </c>
      <c r="M554" s="2">
        <v>36181.71</v>
      </c>
      <c r="N554" s="2" t="s">
        <v>21</v>
      </c>
      <c r="O554" s="2" t="s">
        <v>59</v>
      </c>
    </row>
    <row r="555" spans="1:15" x14ac:dyDescent="0.3">
      <c r="A555" s="2" t="s">
        <v>677</v>
      </c>
      <c r="B555" s="3">
        <v>45660</v>
      </c>
      <c r="C555" s="2" t="s">
        <v>37</v>
      </c>
      <c r="D555" s="2" t="s">
        <v>25</v>
      </c>
      <c r="E555" s="2" t="s">
        <v>65</v>
      </c>
      <c r="F555" s="2" t="s">
        <v>19</v>
      </c>
      <c r="G555" s="2" t="s">
        <v>61</v>
      </c>
      <c r="H555" s="2">
        <v>4</v>
      </c>
      <c r="I555" s="2">
        <v>9269.5499999999993</v>
      </c>
      <c r="J555" s="2">
        <v>0.1</v>
      </c>
      <c r="K555" s="2">
        <v>33370.39</v>
      </c>
      <c r="L555" s="2">
        <v>24032.49</v>
      </c>
      <c r="M555" s="2">
        <v>9337.9</v>
      </c>
      <c r="N555" s="2" t="s">
        <v>21</v>
      </c>
      <c r="O555" s="2" t="s">
        <v>59</v>
      </c>
    </row>
    <row r="556" spans="1:15" x14ac:dyDescent="0.3">
      <c r="A556" s="2" t="s">
        <v>678</v>
      </c>
      <c r="B556" s="3">
        <v>45745</v>
      </c>
      <c r="C556" s="2" t="s">
        <v>37</v>
      </c>
      <c r="D556" s="2" t="s">
        <v>68</v>
      </c>
      <c r="E556" s="2" t="s">
        <v>49</v>
      </c>
      <c r="F556" s="2" t="s">
        <v>43</v>
      </c>
      <c r="G556" s="2" t="s">
        <v>84</v>
      </c>
      <c r="H556" s="2">
        <v>7</v>
      </c>
      <c r="I556" s="2">
        <v>40346.78</v>
      </c>
      <c r="J556" s="2">
        <v>0.1</v>
      </c>
      <c r="K556" s="2">
        <v>254184.7</v>
      </c>
      <c r="L556" s="2">
        <v>163058.43</v>
      </c>
      <c r="M556" s="2">
        <v>91126.27</v>
      </c>
      <c r="N556" s="2" t="s">
        <v>21</v>
      </c>
      <c r="O556" s="2" t="s">
        <v>22</v>
      </c>
    </row>
    <row r="557" spans="1:15" x14ac:dyDescent="0.3">
      <c r="A557" s="2" t="s">
        <v>679</v>
      </c>
      <c r="B557" s="3">
        <v>45916</v>
      </c>
      <c r="C557" s="2" t="s">
        <v>16</v>
      </c>
      <c r="D557" s="2" t="s">
        <v>52</v>
      </c>
      <c r="E557" s="2" t="s">
        <v>56</v>
      </c>
      <c r="F557" s="2" t="s">
        <v>34</v>
      </c>
      <c r="G557" s="2" t="s">
        <v>57</v>
      </c>
      <c r="H557" s="2">
        <v>5</v>
      </c>
      <c r="I557" s="2">
        <v>21616.03</v>
      </c>
      <c r="J557" s="2">
        <v>0.15</v>
      </c>
      <c r="K557" s="2">
        <v>91868.12</v>
      </c>
      <c r="L557" s="2">
        <v>78007.05</v>
      </c>
      <c r="M557" s="2">
        <v>13861.07</v>
      </c>
      <c r="N557" s="2" t="s">
        <v>29</v>
      </c>
      <c r="O557" s="2" t="s">
        <v>45</v>
      </c>
    </row>
    <row r="558" spans="1:15" x14ac:dyDescent="0.3">
      <c r="A558" s="2" t="s">
        <v>680</v>
      </c>
      <c r="B558" s="3">
        <v>45812</v>
      </c>
      <c r="C558" s="2" t="s">
        <v>37</v>
      </c>
      <c r="D558" s="2" t="s">
        <v>25</v>
      </c>
      <c r="E558" s="2" t="s">
        <v>69</v>
      </c>
      <c r="F558" s="2" t="s">
        <v>34</v>
      </c>
      <c r="G558" s="2" t="s">
        <v>35</v>
      </c>
      <c r="H558" s="2">
        <v>1</v>
      </c>
      <c r="I558" s="2">
        <v>18799.86</v>
      </c>
      <c r="J558" s="2">
        <v>0.1</v>
      </c>
      <c r="K558" s="2">
        <v>16919.87</v>
      </c>
      <c r="L558" s="2">
        <v>13921.12</v>
      </c>
      <c r="M558" s="2">
        <v>2998.75</v>
      </c>
      <c r="N558" s="2" t="s">
        <v>29</v>
      </c>
      <c r="O558" s="2" t="s">
        <v>40</v>
      </c>
    </row>
    <row r="559" spans="1:15" x14ac:dyDescent="0.3">
      <c r="A559" s="2" t="s">
        <v>681</v>
      </c>
      <c r="B559" s="3">
        <v>45679</v>
      </c>
      <c r="C559" s="2" t="s">
        <v>16</v>
      </c>
      <c r="D559" s="2" t="s">
        <v>32</v>
      </c>
      <c r="E559" s="2" t="s">
        <v>56</v>
      </c>
      <c r="F559" s="2" t="s">
        <v>19</v>
      </c>
      <c r="G559" s="2" t="s">
        <v>108</v>
      </c>
      <c r="H559" s="2">
        <v>5</v>
      </c>
      <c r="I559" s="2">
        <v>14782.04</v>
      </c>
      <c r="J559" s="2">
        <v>0.03</v>
      </c>
      <c r="K559" s="2">
        <v>71692.89</v>
      </c>
      <c r="L559" s="2">
        <v>56380.05</v>
      </c>
      <c r="M559" s="2">
        <v>15312.84</v>
      </c>
      <c r="N559" s="2" t="s">
        <v>21</v>
      </c>
      <c r="O559" s="2" t="s">
        <v>22</v>
      </c>
    </row>
    <row r="560" spans="1:15" x14ac:dyDescent="0.3">
      <c r="A560" s="2" t="s">
        <v>682</v>
      </c>
      <c r="B560" s="3">
        <v>45925</v>
      </c>
      <c r="C560" s="2" t="s">
        <v>16</v>
      </c>
      <c r="D560" s="2" t="s">
        <v>52</v>
      </c>
      <c r="E560" s="2" t="s">
        <v>49</v>
      </c>
      <c r="F560" s="2" t="s">
        <v>19</v>
      </c>
      <c r="G560" s="2" t="s">
        <v>102</v>
      </c>
      <c r="H560" s="2">
        <v>7</v>
      </c>
      <c r="I560" s="2">
        <v>269.49</v>
      </c>
      <c r="J560" s="2">
        <v>0.03</v>
      </c>
      <c r="K560" s="2">
        <v>1829.87</v>
      </c>
      <c r="L560" s="2">
        <v>1425.39</v>
      </c>
      <c r="M560" s="2">
        <v>404.48</v>
      </c>
      <c r="N560" s="2" t="s">
        <v>29</v>
      </c>
      <c r="O560" s="2" t="s">
        <v>59</v>
      </c>
    </row>
    <row r="561" spans="1:15" x14ac:dyDescent="0.3">
      <c r="A561" s="2" t="s">
        <v>683</v>
      </c>
      <c r="B561" s="3">
        <v>45984</v>
      </c>
      <c r="C561" s="2" t="s">
        <v>37</v>
      </c>
      <c r="D561" s="2" t="s">
        <v>42</v>
      </c>
      <c r="E561" s="2" t="s">
        <v>74</v>
      </c>
      <c r="F561" s="2" t="s">
        <v>43</v>
      </c>
      <c r="G561" s="2" t="s">
        <v>121</v>
      </c>
      <c r="H561" s="2">
        <v>3</v>
      </c>
      <c r="I561" s="2">
        <v>4979.55</v>
      </c>
      <c r="J561" s="2">
        <v>0.05</v>
      </c>
      <c r="K561" s="2">
        <v>14191.71</v>
      </c>
      <c r="L561" s="2">
        <v>10772.01</v>
      </c>
      <c r="M561" s="2">
        <v>3419.7</v>
      </c>
      <c r="N561" s="2" t="s">
        <v>21</v>
      </c>
      <c r="O561" s="2" t="s">
        <v>59</v>
      </c>
    </row>
    <row r="562" spans="1:15" x14ac:dyDescent="0.3">
      <c r="A562" s="2" t="s">
        <v>684</v>
      </c>
      <c r="B562" s="3">
        <v>45677</v>
      </c>
      <c r="C562" s="2"/>
      <c r="D562" s="2" t="s">
        <v>117</v>
      </c>
      <c r="E562" s="2" t="s">
        <v>69</v>
      </c>
      <c r="F562" s="2" t="s">
        <v>34</v>
      </c>
      <c r="G562" s="2" t="s">
        <v>57</v>
      </c>
      <c r="H562" s="2">
        <v>5</v>
      </c>
      <c r="I562" s="2">
        <v>21971.85</v>
      </c>
      <c r="J562" s="2">
        <v>0.03</v>
      </c>
      <c r="K562" s="2">
        <v>106563.45</v>
      </c>
      <c r="L562" s="2">
        <v>70717.98</v>
      </c>
      <c r="M562" s="2">
        <v>35845.47</v>
      </c>
      <c r="N562" s="2" t="s">
        <v>21</v>
      </c>
      <c r="O562" s="2" t="s">
        <v>59</v>
      </c>
    </row>
    <row r="563" spans="1:15" x14ac:dyDescent="0.3">
      <c r="A563" s="2" t="s">
        <v>685</v>
      </c>
      <c r="B563" s="3">
        <v>45823</v>
      </c>
      <c r="C563" s="2" t="s">
        <v>16</v>
      </c>
      <c r="D563" s="2" t="s">
        <v>82</v>
      </c>
      <c r="E563" s="2" t="s">
        <v>18</v>
      </c>
      <c r="F563" s="2" t="s">
        <v>34</v>
      </c>
      <c r="G563" s="2" t="s">
        <v>80</v>
      </c>
      <c r="H563" s="2">
        <v>3</v>
      </c>
      <c r="I563" s="2">
        <v>4257.76</v>
      </c>
      <c r="J563" s="2">
        <v>0.03</v>
      </c>
      <c r="K563" s="2">
        <v>12390.08</v>
      </c>
      <c r="L563" s="2">
        <v>9528.7800000000007</v>
      </c>
      <c r="M563" s="2">
        <v>2861.3</v>
      </c>
      <c r="N563" s="2" t="s">
        <v>58</v>
      </c>
      <c r="O563" s="2" t="s">
        <v>40</v>
      </c>
    </row>
    <row r="564" spans="1:15" x14ac:dyDescent="0.3">
      <c r="A564" s="2" t="s">
        <v>686</v>
      </c>
      <c r="B564" s="3">
        <v>45931</v>
      </c>
      <c r="C564" s="2" t="s">
        <v>37</v>
      </c>
      <c r="D564" s="2" t="s">
        <v>42</v>
      </c>
      <c r="E564" s="2" t="s">
        <v>56</v>
      </c>
      <c r="F564" s="2" t="s">
        <v>27</v>
      </c>
      <c r="G564" s="2" t="s">
        <v>125</v>
      </c>
      <c r="H564" s="2">
        <v>1</v>
      </c>
      <c r="I564" s="2">
        <v>8699.11</v>
      </c>
      <c r="J564" s="2">
        <v>0.05</v>
      </c>
      <c r="K564" s="2">
        <v>8264.16</v>
      </c>
      <c r="L564" s="2">
        <v>6172.42</v>
      </c>
      <c r="M564" s="2">
        <v>2091.7399999999998</v>
      </c>
      <c r="N564" s="2" t="s">
        <v>29</v>
      </c>
      <c r="O564" s="2" t="s">
        <v>45</v>
      </c>
    </row>
    <row r="565" spans="1:15" x14ac:dyDescent="0.3">
      <c r="A565" s="2" t="s">
        <v>687</v>
      </c>
      <c r="B565" s="3">
        <v>45967</v>
      </c>
      <c r="C565" s="2" t="s">
        <v>54</v>
      </c>
      <c r="D565" s="2" t="s">
        <v>174</v>
      </c>
      <c r="E565" s="2" t="s">
        <v>18</v>
      </c>
      <c r="F565" s="2" t="s">
        <v>34</v>
      </c>
      <c r="G565" s="2" t="s">
        <v>39</v>
      </c>
      <c r="H565" s="2">
        <v>3</v>
      </c>
      <c r="I565" s="2">
        <v>30919.89</v>
      </c>
      <c r="J565" s="2">
        <v>0.1</v>
      </c>
      <c r="K565" s="2">
        <v>83483.7</v>
      </c>
      <c r="L565" s="2">
        <v>55032.88</v>
      </c>
      <c r="M565" s="2">
        <v>28450.82</v>
      </c>
      <c r="N565" s="2" t="s">
        <v>29</v>
      </c>
      <c r="O565" s="2" t="s">
        <v>59</v>
      </c>
    </row>
    <row r="566" spans="1:15" x14ac:dyDescent="0.3">
      <c r="A566" s="2" t="s">
        <v>688</v>
      </c>
      <c r="B566" s="3">
        <v>45937</v>
      </c>
      <c r="C566" s="2" t="s">
        <v>54</v>
      </c>
      <c r="D566" s="2" t="s">
        <v>48</v>
      </c>
      <c r="E566" s="2" t="s">
        <v>65</v>
      </c>
      <c r="F566" s="2" t="s">
        <v>43</v>
      </c>
      <c r="G566" s="2" t="s">
        <v>44</v>
      </c>
      <c r="H566" s="2">
        <v>5</v>
      </c>
      <c r="I566" s="2">
        <v>12287.15</v>
      </c>
      <c r="J566" s="2">
        <v>0.1</v>
      </c>
      <c r="K566" s="2">
        <v>55292.160000000003</v>
      </c>
      <c r="L566" s="2">
        <v>45271.26</v>
      </c>
      <c r="M566" s="2">
        <v>10020.9</v>
      </c>
      <c r="N566" s="2" t="s">
        <v>29</v>
      </c>
      <c r="O566" s="2" t="s">
        <v>59</v>
      </c>
    </row>
    <row r="567" spans="1:15" x14ac:dyDescent="0.3">
      <c r="A567" s="2" t="s">
        <v>689</v>
      </c>
      <c r="B567" s="3">
        <v>45881</v>
      </c>
      <c r="C567" s="2" t="s">
        <v>63</v>
      </c>
      <c r="D567" s="2" t="s">
        <v>117</v>
      </c>
      <c r="E567" s="2" t="s">
        <v>26</v>
      </c>
      <c r="F567" s="2" t="s">
        <v>43</v>
      </c>
      <c r="G567" s="2" t="s">
        <v>121</v>
      </c>
      <c r="H567" s="2">
        <v>3</v>
      </c>
      <c r="I567" s="2">
        <v>4908.05</v>
      </c>
      <c r="J567" s="2">
        <v>0.1</v>
      </c>
      <c r="K567" s="2">
        <v>13251.73</v>
      </c>
      <c r="L567" s="2">
        <v>10157.32</v>
      </c>
      <c r="M567" s="2">
        <v>3094.41</v>
      </c>
      <c r="N567" s="2" t="s">
        <v>58</v>
      </c>
      <c r="O567" s="2" t="s">
        <v>22</v>
      </c>
    </row>
    <row r="568" spans="1:15" x14ac:dyDescent="0.3">
      <c r="A568" s="2" t="s">
        <v>690</v>
      </c>
      <c r="B568" s="3">
        <v>45668</v>
      </c>
      <c r="C568" s="2" t="s">
        <v>63</v>
      </c>
      <c r="D568" s="2" t="s">
        <v>95</v>
      </c>
      <c r="E568" s="2" t="s">
        <v>74</v>
      </c>
      <c r="F568" s="2" t="s">
        <v>19</v>
      </c>
      <c r="G568" s="2" t="s">
        <v>106</v>
      </c>
      <c r="H568" s="2">
        <v>7</v>
      </c>
      <c r="I568" s="2">
        <v>15114.79</v>
      </c>
      <c r="J568" s="2">
        <v>0.03</v>
      </c>
      <c r="K568" s="2">
        <v>102629.4</v>
      </c>
      <c r="L568" s="2">
        <v>70505.509999999995</v>
      </c>
      <c r="M568" s="2">
        <v>32123.89</v>
      </c>
      <c r="N568" s="2" t="s">
        <v>21</v>
      </c>
      <c r="O568" s="2" t="s">
        <v>59</v>
      </c>
    </row>
    <row r="569" spans="1:15" x14ac:dyDescent="0.3">
      <c r="A569" s="2" t="s">
        <v>691</v>
      </c>
      <c r="B569" s="2"/>
      <c r="C569" s="2" t="s">
        <v>37</v>
      </c>
      <c r="D569" s="2" t="s">
        <v>68</v>
      </c>
      <c r="E569" s="2" t="s">
        <v>65</v>
      </c>
      <c r="F569" s="2" t="s">
        <v>43</v>
      </c>
      <c r="G569" s="2" t="s">
        <v>75</v>
      </c>
      <c r="H569" s="2">
        <v>3</v>
      </c>
      <c r="I569" s="2">
        <v>33648.639999999999</v>
      </c>
      <c r="J569" s="2">
        <v>0.08</v>
      </c>
      <c r="K569" s="2">
        <v>92870.24</v>
      </c>
      <c r="L569" s="2">
        <v>77178.69</v>
      </c>
      <c r="M569" s="2">
        <v>15691.55</v>
      </c>
      <c r="N569" s="2" t="s">
        <v>29</v>
      </c>
      <c r="O569" s="2" t="s">
        <v>40</v>
      </c>
    </row>
    <row r="570" spans="1:15" x14ac:dyDescent="0.3">
      <c r="A570" s="2" t="s">
        <v>692</v>
      </c>
      <c r="B570" s="3">
        <v>45726</v>
      </c>
      <c r="C570" s="2" t="s">
        <v>54</v>
      </c>
      <c r="D570" s="2" t="s">
        <v>124</v>
      </c>
      <c r="E570" s="2" t="s">
        <v>69</v>
      </c>
      <c r="F570" s="2" t="s">
        <v>43</v>
      </c>
      <c r="G570" s="2" t="s">
        <v>44</v>
      </c>
      <c r="H570" s="2">
        <v>7</v>
      </c>
      <c r="I570" s="2">
        <v>11735.6</v>
      </c>
      <c r="J570" s="2">
        <v>0.1</v>
      </c>
      <c r="K570" s="2">
        <v>73934.3</v>
      </c>
      <c r="L570" s="2">
        <v>58286.83</v>
      </c>
      <c r="M570" s="2">
        <v>15647.47</v>
      </c>
      <c r="N570" s="2" t="s">
        <v>58</v>
      </c>
      <c r="O570" s="2" t="s">
        <v>59</v>
      </c>
    </row>
    <row r="571" spans="1:15" x14ac:dyDescent="0.3">
      <c r="A571" s="2" t="s">
        <v>693</v>
      </c>
      <c r="B571" s="3">
        <v>45834</v>
      </c>
      <c r="C571" s="2" t="s">
        <v>16</v>
      </c>
      <c r="D571" s="2" t="s">
        <v>17</v>
      </c>
      <c r="E571" s="2" t="s">
        <v>18</v>
      </c>
      <c r="F571" s="2" t="s">
        <v>19</v>
      </c>
      <c r="G571" s="2" t="s">
        <v>102</v>
      </c>
      <c r="H571" s="2">
        <v>4</v>
      </c>
      <c r="I571" s="2">
        <v>251.01</v>
      </c>
      <c r="J571" s="2">
        <v>0</v>
      </c>
      <c r="K571" s="2">
        <v>1004.05</v>
      </c>
      <c r="L571" s="2">
        <v>856.87</v>
      </c>
      <c r="M571" s="2">
        <v>147.18</v>
      </c>
      <c r="N571" s="2" t="s">
        <v>58</v>
      </c>
      <c r="O571" s="2" t="s">
        <v>45</v>
      </c>
    </row>
    <row r="572" spans="1:15" x14ac:dyDescent="0.3">
      <c r="A572" s="2" t="s">
        <v>694</v>
      </c>
      <c r="B572" s="3">
        <v>45914</v>
      </c>
      <c r="C572" s="2" t="s">
        <v>16</v>
      </c>
      <c r="D572" s="2" t="s">
        <v>17</v>
      </c>
      <c r="E572" s="2" t="s">
        <v>65</v>
      </c>
      <c r="F572" s="2" t="s">
        <v>19</v>
      </c>
      <c r="G572" s="2" t="s">
        <v>102</v>
      </c>
      <c r="H572" s="2">
        <v>2</v>
      </c>
      <c r="I572" s="2">
        <v>242.63</v>
      </c>
      <c r="J572" s="2">
        <v>0</v>
      </c>
      <c r="K572" s="2">
        <v>485.25</v>
      </c>
      <c r="L572" s="2">
        <v>377.2</v>
      </c>
      <c r="M572" s="2">
        <v>108.05</v>
      </c>
      <c r="N572" s="2" t="s">
        <v>21</v>
      </c>
      <c r="O572" s="2" t="s">
        <v>22</v>
      </c>
    </row>
    <row r="573" spans="1:15" x14ac:dyDescent="0.3">
      <c r="A573" s="2" t="s">
        <v>695</v>
      </c>
      <c r="B573" s="3">
        <v>45975</v>
      </c>
      <c r="C573" s="2" t="s">
        <v>54</v>
      </c>
      <c r="D573" s="2" t="s">
        <v>174</v>
      </c>
      <c r="E573" s="2" t="s">
        <v>65</v>
      </c>
      <c r="F573" s="2" t="s">
        <v>43</v>
      </c>
      <c r="G573" s="2" t="s">
        <v>44</v>
      </c>
      <c r="H573" s="2">
        <v>5</v>
      </c>
      <c r="I573" s="2">
        <v>12709.16</v>
      </c>
      <c r="J573" s="2">
        <v>0.08</v>
      </c>
      <c r="K573" s="2">
        <v>58462.12</v>
      </c>
      <c r="L573" s="2">
        <v>43276.56</v>
      </c>
      <c r="M573" s="2">
        <v>15185.56</v>
      </c>
      <c r="N573" s="2" t="s">
        <v>29</v>
      </c>
      <c r="O573" s="2" t="s">
        <v>30</v>
      </c>
    </row>
    <row r="574" spans="1:15" x14ac:dyDescent="0.3">
      <c r="A574" s="2" t="s">
        <v>696</v>
      </c>
      <c r="B574" s="3">
        <v>45933</v>
      </c>
      <c r="C574" s="2" t="s">
        <v>54</v>
      </c>
      <c r="D574" s="2" t="s">
        <v>55</v>
      </c>
      <c r="E574" s="2" t="s">
        <v>498</v>
      </c>
      <c r="F574" s="2" t="s">
        <v>43</v>
      </c>
      <c r="G574" s="2" t="s">
        <v>121</v>
      </c>
      <c r="H574" s="2">
        <v>8</v>
      </c>
      <c r="I574" s="2">
        <v>5328.9</v>
      </c>
      <c r="J574" s="2">
        <v>0.1</v>
      </c>
      <c r="K574" s="2">
        <v>38368.050000000003</v>
      </c>
      <c r="L574" s="2">
        <v>30786.84</v>
      </c>
      <c r="M574" s="2">
        <v>7581.21</v>
      </c>
      <c r="N574" s="2" t="s">
        <v>29</v>
      </c>
      <c r="O574" s="2" t="s">
        <v>59</v>
      </c>
    </row>
    <row r="575" spans="1:15" x14ac:dyDescent="0.3">
      <c r="A575" s="2" t="s">
        <v>697</v>
      </c>
      <c r="B575" s="3">
        <v>45694</v>
      </c>
      <c r="C575" s="2" t="s">
        <v>16</v>
      </c>
      <c r="D575" s="2" t="s">
        <v>82</v>
      </c>
      <c r="E575" s="2" t="s">
        <v>56</v>
      </c>
      <c r="F575" s="2" t="s">
        <v>34</v>
      </c>
      <c r="G575" s="2" t="s">
        <v>39</v>
      </c>
      <c r="H575" s="2">
        <v>2</v>
      </c>
      <c r="I575" s="2">
        <v>30395.69</v>
      </c>
      <c r="J575" s="2">
        <v>0.03</v>
      </c>
      <c r="K575" s="2">
        <v>58967.64</v>
      </c>
      <c r="L575" s="2">
        <v>39223.839999999997</v>
      </c>
      <c r="M575" s="2">
        <v>19743.8</v>
      </c>
      <c r="N575" s="2" t="s">
        <v>21</v>
      </c>
      <c r="O575" s="2" t="s">
        <v>30</v>
      </c>
    </row>
    <row r="576" spans="1:15" x14ac:dyDescent="0.3">
      <c r="A576" s="2" t="s">
        <v>698</v>
      </c>
      <c r="B576" s="3">
        <v>45747</v>
      </c>
      <c r="C576" s="2" t="s">
        <v>54</v>
      </c>
      <c r="D576" s="2" t="s">
        <v>55</v>
      </c>
      <c r="E576" s="2" t="s">
        <v>74</v>
      </c>
      <c r="F576" s="2" t="s">
        <v>34</v>
      </c>
      <c r="G576" s="2" t="s">
        <v>80</v>
      </c>
      <c r="H576" s="2">
        <v>1</v>
      </c>
      <c r="I576" s="2">
        <v>4529.78</v>
      </c>
      <c r="J576" s="2">
        <v>0.03</v>
      </c>
      <c r="K576" s="2">
        <v>4393.8900000000003</v>
      </c>
      <c r="L576" s="2">
        <v>3773.24</v>
      </c>
      <c r="M576" s="2">
        <v>620.65</v>
      </c>
      <c r="N576" s="2" t="s">
        <v>29</v>
      </c>
      <c r="O576" s="2" t="s">
        <v>30</v>
      </c>
    </row>
    <row r="577" spans="1:15" x14ac:dyDescent="0.3">
      <c r="A577" s="2" t="s">
        <v>699</v>
      </c>
      <c r="B577" s="3">
        <v>45959</v>
      </c>
      <c r="C577" s="2" t="s">
        <v>63</v>
      </c>
      <c r="D577" s="2" t="s">
        <v>88</v>
      </c>
      <c r="E577" s="2" t="s">
        <v>26</v>
      </c>
      <c r="F577" s="2" t="s">
        <v>19</v>
      </c>
      <c r="G577" s="2" t="s">
        <v>20</v>
      </c>
      <c r="H577" s="2">
        <v>2</v>
      </c>
      <c r="I577" s="2">
        <v>667.06</v>
      </c>
      <c r="J577" s="2">
        <v>0.05</v>
      </c>
      <c r="K577" s="2">
        <v>1267.4100000000001</v>
      </c>
      <c r="L577" s="2">
        <v>824.15</v>
      </c>
      <c r="M577" s="2">
        <v>443.26</v>
      </c>
      <c r="N577" s="2" t="s">
        <v>21</v>
      </c>
      <c r="O577" s="2" t="s">
        <v>30</v>
      </c>
    </row>
    <row r="578" spans="1:15" x14ac:dyDescent="0.3">
      <c r="A578" s="2" t="s">
        <v>700</v>
      </c>
      <c r="B578" s="3">
        <v>45983</v>
      </c>
      <c r="C578" s="2" t="s">
        <v>54</v>
      </c>
      <c r="D578" s="2" t="s">
        <v>124</v>
      </c>
      <c r="E578" s="2" t="s">
        <v>18</v>
      </c>
      <c r="F578" s="2" t="s">
        <v>19</v>
      </c>
      <c r="G578" s="2" t="s">
        <v>102</v>
      </c>
      <c r="H578" s="2">
        <v>1</v>
      </c>
      <c r="I578" s="2">
        <v>234.23</v>
      </c>
      <c r="J578" s="2">
        <v>0.1</v>
      </c>
      <c r="K578" s="2">
        <v>210.8</v>
      </c>
      <c r="L578" s="2">
        <v>159.97999999999999</v>
      </c>
      <c r="M578" s="2">
        <v>50.82</v>
      </c>
      <c r="N578" s="2" t="s">
        <v>58</v>
      </c>
      <c r="O578" s="2" t="s">
        <v>59</v>
      </c>
    </row>
    <row r="579" spans="1:15" x14ac:dyDescent="0.3">
      <c r="A579" s="2" t="s">
        <v>701</v>
      </c>
      <c r="B579" s="3">
        <v>45866</v>
      </c>
      <c r="C579" s="2" t="s">
        <v>63</v>
      </c>
      <c r="D579" s="2" t="s">
        <v>64</v>
      </c>
      <c r="E579" s="2" t="s">
        <v>33</v>
      </c>
      <c r="F579" s="2" t="s">
        <v>34</v>
      </c>
      <c r="G579" s="2" t="s">
        <v>80</v>
      </c>
      <c r="H579" s="2">
        <v>4</v>
      </c>
      <c r="I579" s="2">
        <v>4752.6099999999997</v>
      </c>
      <c r="J579" s="2">
        <v>0.03</v>
      </c>
      <c r="K579" s="2">
        <v>18440.14</v>
      </c>
      <c r="L579" s="2">
        <v>14267.27</v>
      </c>
      <c r="M579" s="2">
        <v>4172.87</v>
      </c>
      <c r="N579" s="2" t="s">
        <v>29</v>
      </c>
      <c r="O579" s="2" t="s">
        <v>45</v>
      </c>
    </row>
    <row r="580" spans="1:15" x14ac:dyDescent="0.3">
      <c r="A580" s="2" t="s">
        <v>702</v>
      </c>
      <c r="B580" s="3">
        <v>45681</v>
      </c>
      <c r="C580" s="2" t="s">
        <v>37</v>
      </c>
      <c r="D580" s="2" t="s">
        <v>25</v>
      </c>
      <c r="E580" s="2" t="s">
        <v>56</v>
      </c>
      <c r="F580" s="2" t="s">
        <v>34</v>
      </c>
      <c r="G580" s="2" t="s">
        <v>57</v>
      </c>
      <c r="H580" s="2">
        <v>8</v>
      </c>
      <c r="I580" s="2">
        <v>21068.55</v>
      </c>
      <c r="J580" s="2">
        <v>0.05</v>
      </c>
      <c r="K580" s="2">
        <v>160120.97</v>
      </c>
      <c r="L580" s="2">
        <v>134431.22</v>
      </c>
      <c r="M580" s="2">
        <v>25689.75</v>
      </c>
      <c r="N580" s="2" t="s">
        <v>21</v>
      </c>
      <c r="O580" s="2" t="s">
        <v>22</v>
      </c>
    </row>
    <row r="581" spans="1:15" x14ac:dyDescent="0.3">
      <c r="A581" s="2" t="s">
        <v>703</v>
      </c>
      <c r="B581" s="3">
        <v>45924</v>
      </c>
      <c r="C581" s="2" t="s">
        <v>54</v>
      </c>
      <c r="D581" s="2" t="s">
        <v>55</v>
      </c>
      <c r="E581" s="2" t="s">
        <v>26</v>
      </c>
      <c r="F581" s="2" t="s">
        <v>34</v>
      </c>
      <c r="G581" s="2" t="s">
        <v>57</v>
      </c>
      <c r="H581" s="2">
        <v>1</v>
      </c>
      <c r="I581" s="2">
        <v>21131.9</v>
      </c>
      <c r="J581" s="2"/>
      <c r="K581" s="2">
        <v>19018.71</v>
      </c>
      <c r="L581" s="2">
        <v>14411.29</v>
      </c>
      <c r="M581" s="2">
        <v>4607.42</v>
      </c>
      <c r="N581" s="2" t="s">
        <v>58</v>
      </c>
      <c r="O581" s="2" t="s">
        <v>59</v>
      </c>
    </row>
    <row r="582" spans="1:15" x14ac:dyDescent="0.3">
      <c r="A582" s="2" t="s">
        <v>704</v>
      </c>
      <c r="B582" s="3">
        <v>45872</v>
      </c>
      <c r="C582" s="2" t="s">
        <v>16</v>
      </c>
      <c r="D582" s="2" t="s">
        <v>32</v>
      </c>
      <c r="E582" s="2" t="s">
        <v>65</v>
      </c>
      <c r="F582" s="2" t="s">
        <v>43</v>
      </c>
      <c r="G582" s="2" t="s">
        <v>75</v>
      </c>
      <c r="H582" s="2">
        <v>3</v>
      </c>
      <c r="I582" s="2">
        <v>34803.35</v>
      </c>
      <c r="J582" s="2">
        <v>0.03</v>
      </c>
      <c r="K582" s="2">
        <v>101277.75999999999</v>
      </c>
      <c r="L582" s="2">
        <v>71410.09</v>
      </c>
      <c r="M582" s="2">
        <v>29867.67</v>
      </c>
      <c r="N582" s="2" t="s">
        <v>58</v>
      </c>
      <c r="O582" s="2" t="s">
        <v>22</v>
      </c>
    </row>
    <row r="583" spans="1:15" x14ac:dyDescent="0.3">
      <c r="A583" s="2" t="s">
        <v>705</v>
      </c>
      <c r="B583" s="3">
        <v>45774</v>
      </c>
      <c r="C583" s="2" t="s">
        <v>37</v>
      </c>
      <c r="D583" s="2" t="s">
        <v>68</v>
      </c>
      <c r="E583" s="2" t="s">
        <v>33</v>
      </c>
      <c r="F583" s="2" t="s">
        <v>34</v>
      </c>
      <c r="G583" s="2" t="s">
        <v>39</v>
      </c>
      <c r="H583" s="2">
        <v>1</v>
      </c>
      <c r="I583" s="2">
        <v>30545.68</v>
      </c>
      <c r="J583" s="2">
        <v>0.03</v>
      </c>
      <c r="K583" s="2">
        <v>29629.31</v>
      </c>
      <c r="L583" s="2">
        <v>22250.44</v>
      </c>
      <c r="M583" s="2">
        <v>7378.87</v>
      </c>
      <c r="N583" s="2" t="s">
        <v>58</v>
      </c>
      <c r="O583" s="2" t="s">
        <v>40</v>
      </c>
    </row>
    <row r="584" spans="1:15" x14ac:dyDescent="0.3">
      <c r="A584" s="2" t="s">
        <v>706</v>
      </c>
      <c r="B584" s="3">
        <v>45982</v>
      </c>
      <c r="C584" s="2" t="s">
        <v>16</v>
      </c>
      <c r="D584" s="2" t="s">
        <v>82</v>
      </c>
      <c r="E584" s="2" t="s">
        <v>707</v>
      </c>
      <c r="F584" s="2" t="s">
        <v>34</v>
      </c>
      <c r="G584" s="2" t="s">
        <v>35</v>
      </c>
      <c r="H584" s="2">
        <v>1</v>
      </c>
      <c r="I584" s="2">
        <v>18214.8</v>
      </c>
      <c r="J584" s="2">
        <v>0.05</v>
      </c>
      <c r="K584" s="2">
        <v>17304.060000000001</v>
      </c>
      <c r="L584" s="2">
        <v>12860.07</v>
      </c>
      <c r="M584" s="2">
        <v>4443.99</v>
      </c>
      <c r="N584" s="2" t="s">
        <v>21</v>
      </c>
      <c r="O584" s="2" t="s">
        <v>22</v>
      </c>
    </row>
    <row r="585" spans="1:15" x14ac:dyDescent="0.3">
      <c r="A585" s="2" t="s">
        <v>708</v>
      </c>
      <c r="B585" s="3">
        <v>45679</v>
      </c>
      <c r="C585" s="2" t="s">
        <v>63</v>
      </c>
      <c r="D585" s="2" t="s">
        <v>95</v>
      </c>
      <c r="E585" s="2" t="s">
        <v>709</v>
      </c>
      <c r="F585" s="2" t="s">
        <v>43</v>
      </c>
      <c r="G585" s="2" t="s">
        <v>91</v>
      </c>
      <c r="H585" s="2">
        <v>4</v>
      </c>
      <c r="I585" s="2">
        <v>45979</v>
      </c>
      <c r="J585" s="2">
        <v>0.03</v>
      </c>
      <c r="K585" s="2">
        <v>178398.54</v>
      </c>
      <c r="L585" s="2">
        <v>115942.57</v>
      </c>
      <c r="M585" s="2">
        <v>62455.97</v>
      </c>
      <c r="N585" s="2" t="s">
        <v>21</v>
      </c>
      <c r="O585" s="2" t="s">
        <v>40</v>
      </c>
    </row>
    <row r="586" spans="1:15" x14ac:dyDescent="0.3">
      <c r="A586" s="2" t="s">
        <v>710</v>
      </c>
      <c r="B586" s="3">
        <v>45706</v>
      </c>
      <c r="C586" s="2" t="s">
        <v>63</v>
      </c>
      <c r="D586" s="2" t="s">
        <v>64</v>
      </c>
      <c r="E586" s="2" t="s">
        <v>711</v>
      </c>
      <c r="F586" s="2" t="s">
        <v>34</v>
      </c>
      <c r="G586" s="2" t="s">
        <v>39</v>
      </c>
      <c r="H586" s="2">
        <v>5</v>
      </c>
      <c r="I586" s="2">
        <v>29668.720000000001</v>
      </c>
      <c r="J586" s="2">
        <v>0.05</v>
      </c>
      <c r="K586" s="2">
        <v>140926.43</v>
      </c>
      <c r="L586" s="2">
        <v>92129.53</v>
      </c>
      <c r="M586" s="2">
        <v>48796.9</v>
      </c>
      <c r="N586" s="2" t="s">
        <v>21</v>
      </c>
      <c r="O586" s="2" t="s">
        <v>40</v>
      </c>
    </row>
    <row r="587" spans="1:15" x14ac:dyDescent="0.3">
      <c r="A587" s="2" t="s">
        <v>712</v>
      </c>
      <c r="B587" s="3">
        <v>45954</v>
      </c>
      <c r="C587" s="2" t="s">
        <v>37</v>
      </c>
      <c r="D587" s="2" t="s">
        <v>25</v>
      </c>
      <c r="E587" s="2"/>
      <c r="F587" s="2" t="s">
        <v>19</v>
      </c>
      <c r="G587" s="2" t="s">
        <v>61</v>
      </c>
      <c r="H587" s="2" t="s">
        <v>264</v>
      </c>
      <c r="I587" s="2">
        <v>8469.7999999999993</v>
      </c>
      <c r="J587" s="2">
        <v>0.1</v>
      </c>
      <c r="K587" s="2">
        <v>53359.75</v>
      </c>
      <c r="L587" s="2">
        <v>36605.11</v>
      </c>
      <c r="M587" s="2">
        <v>16754.64</v>
      </c>
      <c r="N587" s="2" t="s">
        <v>58</v>
      </c>
      <c r="O587" s="2" t="s">
        <v>45</v>
      </c>
    </row>
    <row r="588" spans="1:15" x14ac:dyDescent="0.3">
      <c r="A588" s="2" t="s">
        <v>713</v>
      </c>
      <c r="B588" s="3">
        <v>45828</v>
      </c>
      <c r="C588" s="2" t="s">
        <v>54</v>
      </c>
      <c r="D588" s="2" t="s">
        <v>55</v>
      </c>
      <c r="E588" s="2" t="s">
        <v>49</v>
      </c>
      <c r="F588" s="2" t="s">
        <v>43</v>
      </c>
      <c r="G588" s="2" t="s">
        <v>91</v>
      </c>
      <c r="H588" s="2">
        <v>3</v>
      </c>
      <c r="I588" s="2">
        <v>48563.96</v>
      </c>
      <c r="J588" s="2">
        <v>0</v>
      </c>
      <c r="K588" s="2">
        <v>145691.87</v>
      </c>
      <c r="L588" s="2">
        <v>106038.32</v>
      </c>
      <c r="M588" s="2">
        <v>39653.550000000003</v>
      </c>
      <c r="N588" s="2" t="s">
        <v>21</v>
      </c>
      <c r="O588" s="2" t="s">
        <v>45</v>
      </c>
    </row>
    <row r="589" spans="1:15" x14ac:dyDescent="0.3">
      <c r="A589" s="2" t="s">
        <v>714</v>
      </c>
      <c r="B589" s="3">
        <v>45800</v>
      </c>
      <c r="C589" s="2" t="s">
        <v>37</v>
      </c>
      <c r="D589" s="2" t="s">
        <v>68</v>
      </c>
      <c r="E589" s="2" t="s">
        <v>56</v>
      </c>
      <c r="F589" s="2" t="s">
        <v>43</v>
      </c>
      <c r="G589" s="2" t="s">
        <v>75</v>
      </c>
      <c r="H589" s="2">
        <v>1</v>
      </c>
      <c r="I589" s="2">
        <v>34683.440000000002</v>
      </c>
      <c r="J589" s="2">
        <v>0</v>
      </c>
      <c r="K589" s="2">
        <v>34683.440000000002</v>
      </c>
      <c r="L589" s="2">
        <v>22856.9</v>
      </c>
      <c r="M589" s="2">
        <v>11826.54</v>
      </c>
      <c r="N589" s="2" t="s">
        <v>21</v>
      </c>
      <c r="O589" s="2" t="s">
        <v>59</v>
      </c>
    </row>
    <row r="590" spans="1:15" x14ac:dyDescent="0.3">
      <c r="A590" s="2" t="s">
        <v>715</v>
      </c>
      <c r="B590" s="3">
        <v>45771</v>
      </c>
      <c r="C590" s="2" t="s">
        <v>37</v>
      </c>
      <c r="D590" s="2" t="s">
        <v>68</v>
      </c>
      <c r="E590" s="2" t="s">
        <v>49</v>
      </c>
      <c r="F590" s="2" t="s">
        <v>19</v>
      </c>
      <c r="G590" s="2" t="s">
        <v>108</v>
      </c>
      <c r="H590" s="2">
        <v>1</v>
      </c>
      <c r="I590" s="2">
        <v>15775.21</v>
      </c>
      <c r="J590" s="2">
        <v>0.03</v>
      </c>
      <c r="K590" s="2">
        <v>15301.95</v>
      </c>
      <c r="L590" s="2">
        <v>11882.69</v>
      </c>
      <c r="M590" s="2">
        <v>3419.26</v>
      </c>
      <c r="N590" s="2" t="s">
        <v>29</v>
      </c>
      <c r="O590" s="2" t="s">
        <v>45</v>
      </c>
    </row>
    <row r="591" spans="1:15" x14ac:dyDescent="0.3">
      <c r="A591" s="2" t="s">
        <v>716</v>
      </c>
      <c r="B591" s="3">
        <v>45749</v>
      </c>
      <c r="C591" s="2"/>
      <c r="D591" s="2" t="s">
        <v>117</v>
      </c>
      <c r="E591" s="2" t="s">
        <v>18</v>
      </c>
      <c r="F591" s="2" t="s">
        <v>34</v>
      </c>
      <c r="G591" s="2" t="s">
        <v>70</v>
      </c>
      <c r="H591" s="2">
        <v>1</v>
      </c>
      <c r="I591" s="2">
        <v>61998.89</v>
      </c>
      <c r="J591" s="2">
        <v>0.03</v>
      </c>
      <c r="K591" s="2">
        <v>60138.92</v>
      </c>
      <c r="L591" s="2">
        <v>46853.41</v>
      </c>
      <c r="M591" s="2">
        <v>13285.51</v>
      </c>
      <c r="N591" s="2" t="s">
        <v>21</v>
      </c>
      <c r="O591" s="2" t="s">
        <v>40</v>
      </c>
    </row>
    <row r="592" spans="1:15" x14ac:dyDescent="0.3">
      <c r="A592" s="2" t="s">
        <v>717</v>
      </c>
      <c r="B592" s="3">
        <v>45771</v>
      </c>
      <c r="C592" s="2" t="s">
        <v>54</v>
      </c>
      <c r="D592" s="2" t="s">
        <v>124</v>
      </c>
      <c r="E592" s="2" t="s">
        <v>74</v>
      </c>
      <c r="F592" s="2" t="s">
        <v>27</v>
      </c>
      <c r="G592" s="2" t="s">
        <v>125</v>
      </c>
      <c r="H592" s="2">
        <v>1</v>
      </c>
      <c r="I592" s="2">
        <v>7904</v>
      </c>
      <c r="J592" s="2">
        <v>0.08</v>
      </c>
      <c r="K592" s="2">
        <v>7271.68</v>
      </c>
      <c r="L592" s="2">
        <v>5418.97</v>
      </c>
      <c r="M592" s="2">
        <v>1852.71</v>
      </c>
      <c r="N592" s="2" t="s">
        <v>21</v>
      </c>
      <c r="O592" s="2" t="s">
        <v>22</v>
      </c>
    </row>
    <row r="593" spans="1:15" x14ac:dyDescent="0.3">
      <c r="A593" s="2" t="s">
        <v>718</v>
      </c>
      <c r="B593" s="3">
        <v>45888</v>
      </c>
      <c r="C593" s="2" t="s">
        <v>37</v>
      </c>
      <c r="D593" s="2" t="s">
        <v>68</v>
      </c>
      <c r="E593" s="2" t="s">
        <v>74</v>
      </c>
      <c r="F593" s="2" t="s">
        <v>34</v>
      </c>
      <c r="G593" s="2" t="s">
        <v>39</v>
      </c>
      <c r="H593" s="2">
        <v>6</v>
      </c>
      <c r="I593" s="2">
        <v>29610.86</v>
      </c>
      <c r="J593" s="2">
        <v>0.05</v>
      </c>
      <c r="K593" s="2">
        <v>168781.9</v>
      </c>
      <c r="L593" s="2">
        <v>133363.26</v>
      </c>
      <c r="M593" s="2">
        <v>35418.639999999999</v>
      </c>
      <c r="N593" s="2" t="s">
        <v>58</v>
      </c>
      <c r="O593" s="2" t="s">
        <v>30</v>
      </c>
    </row>
    <row r="594" spans="1:15" x14ac:dyDescent="0.3">
      <c r="A594" s="2" t="s">
        <v>719</v>
      </c>
      <c r="B594" s="3">
        <v>45715</v>
      </c>
      <c r="C594" s="2" t="s">
        <v>37</v>
      </c>
      <c r="D594" s="2" t="s">
        <v>25</v>
      </c>
      <c r="E594" s="2" t="s">
        <v>56</v>
      </c>
      <c r="F594" s="2" t="s">
        <v>19</v>
      </c>
      <c r="G594" s="2" t="s">
        <v>102</v>
      </c>
      <c r="H594" s="2">
        <v>7</v>
      </c>
      <c r="I594" s="2">
        <v>267.14999999999998</v>
      </c>
      <c r="J594" s="2">
        <v>0.05</v>
      </c>
      <c r="K594" s="2">
        <v>1776.55</v>
      </c>
      <c r="L594" s="2">
        <v>1460.87</v>
      </c>
      <c r="M594" s="2">
        <v>315.68</v>
      </c>
      <c r="N594" s="2" t="s">
        <v>21</v>
      </c>
      <c r="O594" s="2" t="s">
        <v>59</v>
      </c>
    </row>
    <row r="595" spans="1:15" x14ac:dyDescent="0.3">
      <c r="A595" s="2" t="s">
        <v>720</v>
      </c>
      <c r="B595" s="3">
        <v>45660</v>
      </c>
      <c r="C595" s="2" t="s">
        <v>63</v>
      </c>
      <c r="D595" s="2" t="s">
        <v>64</v>
      </c>
      <c r="E595" s="2" t="s">
        <v>18</v>
      </c>
      <c r="F595" s="2" t="s">
        <v>43</v>
      </c>
      <c r="G595" s="2" t="s">
        <v>121</v>
      </c>
      <c r="H595" s="2">
        <v>6</v>
      </c>
      <c r="I595" s="2">
        <v>4656.5600000000004</v>
      </c>
      <c r="J595" s="2">
        <v>0.05</v>
      </c>
      <c r="K595" s="2">
        <v>26542.38</v>
      </c>
      <c r="L595" s="2">
        <v>19863.04</v>
      </c>
      <c r="M595" s="2">
        <v>6679.34</v>
      </c>
      <c r="N595" s="2" t="s">
        <v>29</v>
      </c>
      <c r="O595" s="2" t="s">
        <v>45</v>
      </c>
    </row>
    <row r="596" spans="1:15" x14ac:dyDescent="0.3">
      <c r="A596" s="2" t="s">
        <v>721</v>
      </c>
      <c r="B596" s="3">
        <v>45803</v>
      </c>
      <c r="C596" s="2" t="s">
        <v>16</v>
      </c>
      <c r="D596" s="2" t="s">
        <v>82</v>
      </c>
      <c r="E596" s="2" t="s">
        <v>33</v>
      </c>
      <c r="F596" s="2" t="s">
        <v>27</v>
      </c>
      <c r="G596" s="2" t="s">
        <v>50</v>
      </c>
      <c r="H596" s="2">
        <v>1</v>
      </c>
      <c r="I596" s="2">
        <v>31031.77</v>
      </c>
      <c r="J596" s="2">
        <v>0.03</v>
      </c>
      <c r="K596" s="2">
        <v>30100.82</v>
      </c>
      <c r="L596" s="2">
        <v>25238.09</v>
      </c>
      <c r="M596" s="2">
        <v>4862.7299999999996</v>
      </c>
      <c r="N596" s="2" t="s">
        <v>21</v>
      </c>
      <c r="O596" s="2" t="s">
        <v>40</v>
      </c>
    </row>
    <row r="597" spans="1:15" x14ac:dyDescent="0.3">
      <c r="A597" s="2" t="s">
        <v>722</v>
      </c>
      <c r="B597" s="3">
        <v>45970</v>
      </c>
      <c r="C597" s="2" t="s">
        <v>37</v>
      </c>
      <c r="D597" s="2" t="s">
        <v>25</v>
      </c>
      <c r="E597" s="2" t="s">
        <v>65</v>
      </c>
      <c r="F597" s="2" t="s">
        <v>34</v>
      </c>
      <c r="G597" s="2" t="s">
        <v>39</v>
      </c>
      <c r="H597" s="2">
        <v>3</v>
      </c>
      <c r="I597" s="2">
        <v>31132.97</v>
      </c>
      <c r="J597" s="2">
        <v>0.03</v>
      </c>
      <c r="K597" s="2">
        <v>90596.94</v>
      </c>
      <c r="L597" s="2">
        <v>67173.17</v>
      </c>
      <c r="M597" s="2">
        <v>23423.77</v>
      </c>
      <c r="N597" s="2" t="s">
        <v>58</v>
      </c>
      <c r="O597" s="2" t="s">
        <v>22</v>
      </c>
    </row>
    <row r="598" spans="1:15" x14ac:dyDescent="0.3">
      <c r="A598" s="2" t="s">
        <v>723</v>
      </c>
      <c r="B598" s="3">
        <v>45740</v>
      </c>
      <c r="C598" s="2" t="s">
        <v>54</v>
      </c>
      <c r="D598" s="2" t="s">
        <v>124</v>
      </c>
      <c r="E598" s="2" t="s">
        <v>69</v>
      </c>
      <c r="F598" s="2" t="s">
        <v>43</v>
      </c>
      <c r="G598" s="2" t="s">
        <v>44</v>
      </c>
      <c r="H598" s="2">
        <v>7</v>
      </c>
      <c r="I598" s="2">
        <v>12855.35</v>
      </c>
      <c r="J598" s="2">
        <v>0.08</v>
      </c>
      <c r="K598" s="2">
        <v>82788.45</v>
      </c>
      <c r="L598" s="2">
        <v>59977.77</v>
      </c>
      <c r="M598" s="2">
        <v>22810.68</v>
      </c>
      <c r="N598" s="2" t="s">
        <v>29</v>
      </c>
      <c r="O598" s="2" t="s">
        <v>59</v>
      </c>
    </row>
    <row r="599" spans="1:15" x14ac:dyDescent="0.3">
      <c r="A599" s="2" t="s">
        <v>724</v>
      </c>
      <c r="B599" s="3">
        <v>46009</v>
      </c>
      <c r="C599" s="2" t="s">
        <v>63</v>
      </c>
      <c r="D599" s="2" t="s">
        <v>88</v>
      </c>
      <c r="E599" s="2" t="s">
        <v>56</v>
      </c>
      <c r="F599" s="2" t="s">
        <v>34</v>
      </c>
      <c r="G599" s="2" t="s">
        <v>80</v>
      </c>
      <c r="H599" s="2">
        <v>3</v>
      </c>
      <c r="I599" s="2">
        <v>4333.82</v>
      </c>
      <c r="J599" s="2">
        <v>0.15</v>
      </c>
      <c r="K599" s="2">
        <v>11051.23</v>
      </c>
      <c r="L599" s="2">
        <v>7867.33</v>
      </c>
      <c r="M599" s="2">
        <v>3183.9</v>
      </c>
      <c r="N599" s="2" t="s">
        <v>21</v>
      </c>
      <c r="O599" s="2" t="s">
        <v>45</v>
      </c>
    </row>
    <row r="600" spans="1:15" x14ac:dyDescent="0.3">
      <c r="A600" s="2" t="s">
        <v>725</v>
      </c>
      <c r="B600" s="3">
        <v>46010</v>
      </c>
      <c r="C600" s="2" t="s">
        <v>16</v>
      </c>
      <c r="D600" s="2" t="s">
        <v>17</v>
      </c>
      <c r="E600" s="2" t="s">
        <v>65</v>
      </c>
      <c r="F600" s="2" t="s">
        <v>43</v>
      </c>
      <c r="G600" s="2" t="s">
        <v>121</v>
      </c>
      <c r="H600" s="2">
        <v>6</v>
      </c>
      <c r="I600" s="2">
        <v>5191.1400000000003</v>
      </c>
      <c r="J600" s="2">
        <v>0</v>
      </c>
      <c r="K600" s="2">
        <v>31146.87</v>
      </c>
      <c r="L600" s="2">
        <v>23356.95</v>
      </c>
      <c r="M600" s="2">
        <v>7789.92</v>
      </c>
      <c r="N600" s="2" t="s">
        <v>29</v>
      </c>
      <c r="O600" s="2" t="s">
        <v>59</v>
      </c>
    </row>
    <row r="601" spans="1:15" x14ac:dyDescent="0.3">
      <c r="A601" s="2" t="s">
        <v>726</v>
      </c>
      <c r="B601" s="3">
        <v>45791</v>
      </c>
      <c r="C601" s="2" t="s">
        <v>37</v>
      </c>
      <c r="D601" s="2" t="s">
        <v>25</v>
      </c>
      <c r="E601" s="2" t="s">
        <v>26</v>
      </c>
      <c r="F601" s="2" t="s">
        <v>19</v>
      </c>
      <c r="G601" s="2" t="s">
        <v>108</v>
      </c>
      <c r="H601" s="2">
        <v>2</v>
      </c>
      <c r="I601" s="2">
        <v>14859.61</v>
      </c>
      <c r="J601" s="2">
        <v>0</v>
      </c>
      <c r="K601" s="2">
        <v>29719.22</v>
      </c>
      <c r="L601" s="2">
        <v>20501.5</v>
      </c>
      <c r="M601" s="2">
        <v>9217.7199999999993</v>
      </c>
      <c r="N601" s="2" t="s">
        <v>58</v>
      </c>
      <c r="O601" s="2" t="s">
        <v>59</v>
      </c>
    </row>
    <row r="602" spans="1:15" x14ac:dyDescent="0.3">
      <c r="A602" s="2" t="s">
        <v>727</v>
      </c>
      <c r="B602" s="3">
        <v>45807</v>
      </c>
      <c r="C602" s="2" t="s">
        <v>63</v>
      </c>
      <c r="D602" s="2" t="s">
        <v>64</v>
      </c>
      <c r="E602" s="2" t="s">
        <v>56</v>
      </c>
      <c r="F602" s="2" t="s">
        <v>43</v>
      </c>
      <c r="G602" s="2" t="s">
        <v>75</v>
      </c>
      <c r="H602" s="2">
        <v>1</v>
      </c>
      <c r="I602" s="2">
        <v>35792.269999999997</v>
      </c>
      <c r="J602" s="2">
        <v>0.03</v>
      </c>
      <c r="K602" s="2">
        <v>34718.5</v>
      </c>
      <c r="L602" s="2">
        <v>29148.34</v>
      </c>
      <c r="M602" s="2">
        <v>5570.16</v>
      </c>
      <c r="N602" s="2" t="s">
        <v>29</v>
      </c>
      <c r="O602" s="2" t="s">
        <v>59</v>
      </c>
    </row>
    <row r="603" spans="1:15" x14ac:dyDescent="0.3">
      <c r="A603" s="2" t="s">
        <v>728</v>
      </c>
      <c r="B603" s="3">
        <v>45908</v>
      </c>
      <c r="C603" s="2" t="s">
        <v>16</v>
      </c>
      <c r="D603" s="2" t="s">
        <v>32</v>
      </c>
      <c r="E603" s="2" t="s">
        <v>74</v>
      </c>
      <c r="F603" s="2" t="s">
        <v>43</v>
      </c>
      <c r="G603" s="2" t="s">
        <v>75</v>
      </c>
      <c r="H603" s="2">
        <v>1</v>
      </c>
      <c r="I603" s="2">
        <v>36708.22</v>
      </c>
      <c r="J603" s="2">
        <v>0.05</v>
      </c>
      <c r="K603" s="2">
        <v>34872.800000000003</v>
      </c>
      <c r="L603" s="2">
        <v>28132.46</v>
      </c>
      <c r="M603" s="2">
        <v>6740.34</v>
      </c>
      <c r="N603" s="2" t="s">
        <v>21</v>
      </c>
      <c r="O603" s="2" t="s">
        <v>40</v>
      </c>
    </row>
    <row r="604" spans="1:15" x14ac:dyDescent="0.3">
      <c r="A604" s="2" t="s">
        <v>729</v>
      </c>
      <c r="B604" s="3">
        <v>45983</v>
      </c>
      <c r="C604" s="2" t="s">
        <v>16</v>
      </c>
      <c r="D604" s="2" t="s">
        <v>17</v>
      </c>
      <c r="E604" s="2" t="s">
        <v>33</v>
      </c>
      <c r="F604" s="2" t="s">
        <v>19</v>
      </c>
      <c r="G604" s="2" t="s">
        <v>61</v>
      </c>
      <c r="H604" s="2">
        <v>3</v>
      </c>
      <c r="I604" s="2">
        <v>9024.8700000000008</v>
      </c>
      <c r="J604" s="2">
        <v>0</v>
      </c>
      <c r="K604" s="2">
        <v>27074.62</v>
      </c>
      <c r="L604" s="2">
        <v>23183.95</v>
      </c>
      <c r="M604" s="2">
        <v>3890.67</v>
      </c>
      <c r="N604" s="2" t="s">
        <v>21</v>
      </c>
      <c r="O604" s="2" t="s">
        <v>30</v>
      </c>
    </row>
    <row r="605" spans="1:15" x14ac:dyDescent="0.3">
      <c r="A605" s="2" t="s">
        <v>730</v>
      </c>
      <c r="B605" s="3">
        <v>45786</v>
      </c>
      <c r="C605" s="2" t="s">
        <v>63</v>
      </c>
      <c r="D605" s="2" t="s">
        <v>117</v>
      </c>
      <c r="E605" s="2" t="s">
        <v>18</v>
      </c>
      <c r="F605" s="2" t="s">
        <v>34</v>
      </c>
      <c r="G605" s="2" t="s">
        <v>35</v>
      </c>
      <c r="H605" s="2">
        <v>5</v>
      </c>
      <c r="I605" s="2">
        <v>19337.73</v>
      </c>
      <c r="J605" s="2">
        <v>0.03</v>
      </c>
      <c r="K605" s="2">
        <v>93787.97</v>
      </c>
      <c r="L605" s="2">
        <v>68944.479999999996</v>
      </c>
      <c r="M605" s="2">
        <v>24843.49</v>
      </c>
      <c r="N605" s="2" t="s">
        <v>29</v>
      </c>
      <c r="O605" s="2" t="s">
        <v>45</v>
      </c>
    </row>
    <row r="606" spans="1:15" x14ac:dyDescent="0.3">
      <c r="A606" s="2" t="s">
        <v>731</v>
      </c>
      <c r="B606" s="3">
        <v>45971</v>
      </c>
      <c r="C606" s="2" t="s">
        <v>54</v>
      </c>
      <c r="D606" s="2" t="s">
        <v>124</v>
      </c>
      <c r="E606" s="2" t="s">
        <v>56</v>
      </c>
      <c r="F606" s="2" t="s">
        <v>34</v>
      </c>
      <c r="G606" s="2" t="s">
        <v>80</v>
      </c>
      <c r="H606" s="2">
        <v>8</v>
      </c>
      <c r="I606" s="2">
        <v>4851.37</v>
      </c>
      <c r="J606" s="2">
        <v>0.05</v>
      </c>
      <c r="K606" s="2">
        <v>36870.410000000003</v>
      </c>
      <c r="L606" s="2">
        <v>29342.47</v>
      </c>
      <c r="M606" s="2">
        <v>7527.94</v>
      </c>
      <c r="N606" s="2" t="s">
        <v>21</v>
      </c>
      <c r="O606" s="2" t="s">
        <v>22</v>
      </c>
    </row>
    <row r="607" spans="1:15" x14ac:dyDescent="0.3">
      <c r="A607" s="2" t="s">
        <v>732</v>
      </c>
      <c r="B607" s="3">
        <v>45900</v>
      </c>
      <c r="C607" s="2" t="s">
        <v>63</v>
      </c>
      <c r="D607" s="2" t="s">
        <v>64</v>
      </c>
      <c r="E607" s="2" t="s">
        <v>49</v>
      </c>
      <c r="F607" s="2" t="s">
        <v>34</v>
      </c>
      <c r="G607" s="2" t="s">
        <v>70</v>
      </c>
      <c r="H607" s="2">
        <v>3</v>
      </c>
      <c r="I607" s="2">
        <v>63607.58</v>
      </c>
      <c r="J607" s="2">
        <v>0</v>
      </c>
      <c r="K607" s="2">
        <v>190822.73</v>
      </c>
      <c r="L607" s="2">
        <v>150478.47</v>
      </c>
      <c r="M607" s="2">
        <v>40344.26</v>
      </c>
      <c r="N607" s="2" t="s">
        <v>21</v>
      </c>
      <c r="O607" s="2" t="s">
        <v>59</v>
      </c>
    </row>
    <row r="608" spans="1:15" x14ac:dyDescent="0.3">
      <c r="A608" s="2" t="s">
        <v>733</v>
      </c>
      <c r="B608" s="3">
        <v>45980</v>
      </c>
      <c r="C608" s="2" t="s">
        <v>63</v>
      </c>
      <c r="D608" s="2" t="s">
        <v>64</v>
      </c>
      <c r="E608" s="2" t="s">
        <v>26</v>
      </c>
      <c r="F608" s="2" t="s">
        <v>34</v>
      </c>
      <c r="G608" s="2" t="s">
        <v>57</v>
      </c>
      <c r="H608" s="2">
        <v>2</v>
      </c>
      <c r="I608" s="2">
        <v>23021.09</v>
      </c>
      <c r="J608" s="2">
        <v>0.08</v>
      </c>
      <c r="K608" s="2">
        <v>42358.81</v>
      </c>
      <c r="L608" s="2">
        <v>26718.52</v>
      </c>
      <c r="M608" s="2">
        <v>15640.29</v>
      </c>
      <c r="N608" s="2" t="s">
        <v>29</v>
      </c>
      <c r="O608" s="2" t="s">
        <v>59</v>
      </c>
    </row>
    <row r="609" spans="1:15" x14ac:dyDescent="0.3">
      <c r="A609" s="2" t="s">
        <v>734</v>
      </c>
      <c r="B609" s="3">
        <v>46013</v>
      </c>
      <c r="C609" s="2" t="s">
        <v>16</v>
      </c>
      <c r="D609" s="2" t="s">
        <v>32</v>
      </c>
      <c r="E609" s="2" t="s">
        <v>65</v>
      </c>
      <c r="F609" s="2" t="s">
        <v>19</v>
      </c>
      <c r="G609" s="2" t="s">
        <v>20</v>
      </c>
      <c r="H609" s="2">
        <v>3</v>
      </c>
      <c r="I609" s="2">
        <v>750.08</v>
      </c>
      <c r="J609" s="2">
        <v>0.05</v>
      </c>
      <c r="K609" s="2">
        <v>2137.73</v>
      </c>
      <c r="L609" s="2">
        <v>1721.39</v>
      </c>
      <c r="M609" s="2">
        <v>416.34</v>
      </c>
      <c r="N609" s="2" t="s">
        <v>21</v>
      </c>
      <c r="O609" s="2" t="s">
        <v>30</v>
      </c>
    </row>
    <row r="610" spans="1:15" x14ac:dyDescent="0.3">
      <c r="A610" s="2" t="s">
        <v>735</v>
      </c>
      <c r="B610" s="3">
        <v>45815</v>
      </c>
      <c r="C610" s="2" t="s">
        <v>54</v>
      </c>
      <c r="D610" s="2" t="s">
        <v>55</v>
      </c>
      <c r="E610" s="2" t="s">
        <v>33</v>
      </c>
      <c r="F610" s="2" t="s">
        <v>27</v>
      </c>
      <c r="G610" s="2" t="s">
        <v>50</v>
      </c>
      <c r="H610" s="2">
        <v>7</v>
      </c>
      <c r="I610" s="2">
        <v>31398.29</v>
      </c>
      <c r="J610" s="2">
        <v>0.03</v>
      </c>
      <c r="K610" s="2">
        <v>213194.4</v>
      </c>
      <c r="L610" s="2">
        <v>173375.79</v>
      </c>
      <c r="M610" s="2">
        <v>39818.61</v>
      </c>
      <c r="N610" s="2" t="s">
        <v>21</v>
      </c>
      <c r="O610" s="2" t="s">
        <v>45</v>
      </c>
    </row>
    <row r="611" spans="1:15" x14ac:dyDescent="0.3">
      <c r="A611" s="2" t="s">
        <v>736</v>
      </c>
      <c r="B611" s="3">
        <v>45688</v>
      </c>
      <c r="C611" s="2" t="s">
        <v>47</v>
      </c>
      <c r="D611" s="2" t="s">
        <v>174</v>
      </c>
      <c r="E611" s="2" t="s">
        <v>69</v>
      </c>
      <c r="F611" s="2" t="s">
        <v>34</v>
      </c>
      <c r="G611" s="2" t="s">
        <v>70</v>
      </c>
      <c r="H611" s="2">
        <v>7</v>
      </c>
      <c r="I611" s="2">
        <v>66509.56</v>
      </c>
      <c r="J611" s="2">
        <v>0</v>
      </c>
      <c r="K611" s="2">
        <v>465566.93</v>
      </c>
      <c r="L611" s="2">
        <v>395959.1</v>
      </c>
      <c r="M611" s="2">
        <v>69607.83</v>
      </c>
      <c r="N611" s="2" t="s">
        <v>29</v>
      </c>
      <c r="O611" s="2" t="s">
        <v>30</v>
      </c>
    </row>
    <row r="612" spans="1:15" x14ac:dyDescent="0.3">
      <c r="A612" s="2" t="s">
        <v>737</v>
      </c>
      <c r="B612" s="3">
        <v>45677</v>
      </c>
      <c r="C612" s="2"/>
      <c r="D612" s="2" t="s">
        <v>68</v>
      </c>
      <c r="E612" s="2" t="s">
        <v>69</v>
      </c>
      <c r="F612" s="2" t="s">
        <v>27</v>
      </c>
      <c r="G612" s="2" t="s">
        <v>125</v>
      </c>
      <c r="H612" s="2">
        <v>5</v>
      </c>
      <c r="I612" s="2">
        <v>8284.68</v>
      </c>
      <c r="J612" s="2">
        <v>0.15</v>
      </c>
      <c r="K612" s="2">
        <v>35209.879999999997</v>
      </c>
      <c r="L612" s="2">
        <v>29462.42</v>
      </c>
      <c r="M612" s="2">
        <v>5747.46</v>
      </c>
      <c r="N612" s="2" t="s">
        <v>29</v>
      </c>
      <c r="O612" s="2" t="s">
        <v>40</v>
      </c>
    </row>
    <row r="613" spans="1:15" x14ac:dyDescent="0.3">
      <c r="A613" s="2" t="s">
        <v>738</v>
      </c>
      <c r="B613" s="3">
        <v>45705</v>
      </c>
      <c r="C613" s="2" t="s">
        <v>63</v>
      </c>
      <c r="D613" s="2" t="s">
        <v>117</v>
      </c>
      <c r="E613" s="2" t="s">
        <v>56</v>
      </c>
      <c r="F613" s="2" t="s">
        <v>19</v>
      </c>
      <c r="G613" s="2" t="s">
        <v>108</v>
      </c>
      <c r="H613" s="2">
        <v>1</v>
      </c>
      <c r="I613" s="2">
        <v>15766.16</v>
      </c>
      <c r="J613" s="2">
        <v>0.05</v>
      </c>
      <c r="K613" s="2">
        <v>14977.85</v>
      </c>
      <c r="L613" s="2">
        <v>12377.48</v>
      </c>
      <c r="M613" s="2">
        <v>2600.37</v>
      </c>
      <c r="N613" s="2" t="s">
        <v>21</v>
      </c>
      <c r="O613" s="2" t="s">
        <v>22</v>
      </c>
    </row>
    <row r="614" spans="1:15" x14ac:dyDescent="0.3">
      <c r="A614" s="2" t="s">
        <v>739</v>
      </c>
      <c r="B614" s="3">
        <v>45726</v>
      </c>
      <c r="C614" s="2" t="s">
        <v>63</v>
      </c>
      <c r="D614" s="2" t="s">
        <v>117</v>
      </c>
      <c r="E614" s="2" t="s">
        <v>65</v>
      </c>
      <c r="F614" s="2" t="s">
        <v>740</v>
      </c>
      <c r="G614" s="2" t="s">
        <v>121</v>
      </c>
      <c r="H614" s="2">
        <v>1</v>
      </c>
      <c r="I614" s="2">
        <v>5242.95</v>
      </c>
      <c r="J614" s="2">
        <v>0.1</v>
      </c>
      <c r="K614" s="2">
        <v>4718.66</v>
      </c>
      <c r="L614" s="2">
        <v>4034.21</v>
      </c>
      <c r="M614" s="2">
        <v>684.45</v>
      </c>
      <c r="N614" s="2" t="s">
        <v>29</v>
      </c>
      <c r="O614" s="2" t="s">
        <v>30</v>
      </c>
    </row>
    <row r="615" spans="1:15" x14ac:dyDescent="0.3">
      <c r="A615" s="2" t="s">
        <v>741</v>
      </c>
      <c r="B615" s="3">
        <v>45913</v>
      </c>
      <c r="C615" s="2" t="s">
        <v>37</v>
      </c>
      <c r="D615" s="2" t="s">
        <v>25</v>
      </c>
      <c r="E615" s="2" t="s">
        <v>49</v>
      </c>
      <c r="F615" s="2" t="s">
        <v>43</v>
      </c>
      <c r="G615" s="2" t="s">
        <v>75</v>
      </c>
      <c r="H615" s="2">
        <v>4</v>
      </c>
      <c r="I615" s="2">
        <v>35527.589999999997</v>
      </c>
      <c r="J615" s="2">
        <v>0.1</v>
      </c>
      <c r="K615" s="2">
        <v>127899.32</v>
      </c>
      <c r="L615" s="2">
        <v>105577.93</v>
      </c>
      <c r="M615" s="2">
        <v>22321.39</v>
      </c>
      <c r="N615" s="2" t="s">
        <v>21</v>
      </c>
      <c r="O615" s="2" t="s">
        <v>40</v>
      </c>
    </row>
    <row r="616" spans="1:15" x14ac:dyDescent="0.3">
      <c r="A616" s="2" t="s">
        <v>742</v>
      </c>
      <c r="B616" s="3">
        <v>45976</v>
      </c>
      <c r="C616" s="2" t="s">
        <v>37</v>
      </c>
      <c r="D616" s="2" t="s">
        <v>25</v>
      </c>
      <c r="E616" s="2" t="s">
        <v>18</v>
      </c>
      <c r="F616" s="2" t="s">
        <v>34</v>
      </c>
      <c r="G616" s="2" t="s">
        <v>80</v>
      </c>
      <c r="H616" s="2">
        <v>4</v>
      </c>
      <c r="I616" s="2">
        <v>4396.37</v>
      </c>
      <c r="J616" s="2">
        <v>0.1</v>
      </c>
      <c r="K616" s="2">
        <v>15826.93</v>
      </c>
      <c r="L616" s="2">
        <v>10700.36</v>
      </c>
      <c r="M616" s="2">
        <v>5126.57</v>
      </c>
      <c r="N616" s="2" t="s">
        <v>21</v>
      </c>
      <c r="O616" s="2" t="s">
        <v>30</v>
      </c>
    </row>
    <row r="617" spans="1:15" x14ac:dyDescent="0.3">
      <c r="A617" s="2" t="s">
        <v>743</v>
      </c>
      <c r="B617" s="3">
        <v>45686</v>
      </c>
      <c r="C617" s="2" t="s">
        <v>63</v>
      </c>
      <c r="D617" s="2" t="s">
        <v>117</v>
      </c>
      <c r="E617" s="2" t="s">
        <v>56</v>
      </c>
      <c r="F617" s="2" t="s">
        <v>43</v>
      </c>
      <c r="G617" s="2" t="s">
        <v>91</v>
      </c>
      <c r="H617" s="2">
        <v>2</v>
      </c>
      <c r="I617" s="2" t="s">
        <v>744</v>
      </c>
      <c r="J617" s="2">
        <v>0.03</v>
      </c>
      <c r="K617" s="2">
        <v>86333.55</v>
      </c>
      <c r="L617" s="2">
        <v>62877.45</v>
      </c>
      <c r="M617" s="2">
        <v>23456.1</v>
      </c>
      <c r="N617" s="2" t="s">
        <v>58</v>
      </c>
      <c r="O617" s="2" t="s">
        <v>30</v>
      </c>
    </row>
    <row r="618" spans="1:15" x14ac:dyDescent="0.3">
      <c r="A618" s="2" t="s">
        <v>745</v>
      </c>
      <c r="B618" s="3">
        <v>45838</v>
      </c>
      <c r="C618" s="2" t="s">
        <v>37</v>
      </c>
      <c r="D618" s="2" t="s">
        <v>68</v>
      </c>
      <c r="E618" s="2" t="s">
        <v>56</v>
      </c>
      <c r="F618" s="2" t="s">
        <v>43</v>
      </c>
      <c r="G618" s="2" t="s">
        <v>44</v>
      </c>
      <c r="H618" s="2">
        <v>1</v>
      </c>
      <c r="I618" s="2">
        <v>11728.76</v>
      </c>
      <c r="J618" s="2">
        <v>0.05</v>
      </c>
      <c r="K618" s="2">
        <v>11142.32</v>
      </c>
      <c r="L618" s="2">
        <v>8471</v>
      </c>
      <c r="M618" s="2">
        <v>2671.32</v>
      </c>
      <c r="N618" s="2" t="s">
        <v>29</v>
      </c>
      <c r="O618" s="2" t="s">
        <v>45</v>
      </c>
    </row>
    <row r="619" spans="1:15" x14ac:dyDescent="0.3">
      <c r="A619" s="2" t="s">
        <v>746</v>
      </c>
      <c r="B619" s="3">
        <v>45846</v>
      </c>
      <c r="C619" s="2" t="s">
        <v>54</v>
      </c>
      <c r="D619" s="2" t="s">
        <v>48</v>
      </c>
      <c r="E619" s="2" t="s">
        <v>74</v>
      </c>
      <c r="F619" s="2" t="s">
        <v>34</v>
      </c>
      <c r="G619" s="2" t="s">
        <v>39</v>
      </c>
      <c r="H619" s="2">
        <v>1</v>
      </c>
      <c r="I619" s="2">
        <v>29199.84</v>
      </c>
      <c r="J619" s="2">
        <v>0.05</v>
      </c>
      <c r="K619" s="2">
        <v>27739.85</v>
      </c>
      <c r="L619" s="2">
        <v>21011.98</v>
      </c>
      <c r="M619" s="2">
        <v>6727.87</v>
      </c>
      <c r="N619" s="2" t="s">
        <v>58</v>
      </c>
      <c r="O619" s="2" t="s">
        <v>45</v>
      </c>
    </row>
    <row r="620" spans="1:15" x14ac:dyDescent="0.3">
      <c r="A620" s="2" t="s">
        <v>747</v>
      </c>
      <c r="B620" s="3">
        <v>45737</v>
      </c>
      <c r="C620" s="2" t="s">
        <v>16</v>
      </c>
      <c r="D620" s="2" t="s">
        <v>17</v>
      </c>
      <c r="E620" s="2" t="s">
        <v>49</v>
      </c>
      <c r="F620" s="2" t="s">
        <v>27</v>
      </c>
      <c r="G620" s="2" t="s">
        <v>125</v>
      </c>
      <c r="H620" s="2">
        <v>3</v>
      </c>
      <c r="I620" s="2">
        <v>8234.94</v>
      </c>
      <c r="J620" s="2">
        <v>0.03</v>
      </c>
      <c r="K620" s="2">
        <v>23963.66</v>
      </c>
      <c r="L620" s="2">
        <v>17506.93</v>
      </c>
      <c r="M620" s="2">
        <v>6456.73</v>
      </c>
      <c r="N620" s="2" t="s">
        <v>29</v>
      </c>
      <c r="O620" s="2" t="s">
        <v>22</v>
      </c>
    </row>
    <row r="621" spans="1:15" x14ac:dyDescent="0.3">
      <c r="A621" s="2" t="s">
        <v>748</v>
      </c>
      <c r="B621" s="3">
        <v>45954</v>
      </c>
      <c r="C621" s="2" t="s">
        <v>16</v>
      </c>
      <c r="D621" s="2" t="s">
        <v>82</v>
      </c>
      <c r="E621" s="2" t="s">
        <v>74</v>
      </c>
      <c r="F621" s="2" t="s">
        <v>43</v>
      </c>
      <c r="G621" s="2" t="s">
        <v>84</v>
      </c>
      <c r="H621" s="2">
        <v>5</v>
      </c>
      <c r="I621" s="2">
        <v>45128.28</v>
      </c>
      <c r="J621" s="2">
        <v>0.05</v>
      </c>
      <c r="K621" s="2">
        <v>214359.33</v>
      </c>
      <c r="L621" s="2">
        <v>146187.57999999999</v>
      </c>
      <c r="M621" s="2">
        <v>68171.75</v>
      </c>
      <c r="N621" s="2" t="s">
        <v>29</v>
      </c>
      <c r="O621" s="2" t="s">
        <v>22</v>
      </c>
    </row>
    <row r="622" spans="1:15" x14ac:dyDescent="0.3">
      <c r="A622" s="2" t="s">
        <v>749</v>
      </c>
      <c r="B622" s="3">
        <v>45914</v>
      </c>
      <c r="C622" s="2" t="s">
        <v>63</v>
      </c>
      <c r="D622" s="2" t="s">
        <v>117</v>
      </c>
      <c r="E622" s="2" t="s">
        <v>56</v>
      </c>
      <c r="F622" s="2" t="s">
        <v>19</v>
      </c>
      <c r="G622" s="2" t="s">
        <v>20</v>
      </c>
      <c r="H622" s="2">
        <v>6</v>
      </c>
      <c r="I622" s="2">
        <v>690.92</v>
      </c>
      <c r="J622" s="2">
        <v>0.08</v>
      </c>
      <c r="K622" s="2">
        <v>3813.88</v>
      </c>
      <c r="L622" s="2">
        <v>2674.66</v>
      </c>
      <c r="M622" s="2">
        <v>1139.22</v>
      </c>
      <c r="N622" s="2" t="s">
        <v>58</v>
      </c>
      <c r="O622" s="2" t="s">
        <v>45</v>
      </c>
    </row>
    <row r="623" spans="1:15" x14ac:dyDescent="0.3">
      <c r="A623" s="2" t="s">
        <v>750</v>
      </c>
      <c r="B623" s="3">
        <v>45972</v>
      </c>
      <c r="C623" s="2" t="s">
        <v>63</v>
      </c>
      <c r="D623" s="2" t="s">
        <v>64</v>
      </c>
      <c r="E623" s="2" t="s">
        <v>65</v>
      </c>
      <c r="F623" s="2" t="s">
        <v>27</v>
      </c>
      <c r="G623" s="2" t="s">
        <v>28</v>
      </c>
      <c r="H623" s="2">
        <v>6</v>
      </c>
      <c r="I623" s="2">
        <v>26582.37</v>
      </c>
      <c r="J623" s="2">
        <v>0.1</v>
      </c>
      <c r="K623" s="2">
        <v>143544.78</v>
      </c>
      <c r="L623" s="2">
        <v>103773.15</v>
      </c>
      <c r="M623" s="2">
        <v>39771.629999999997</v>
      </c>
      <c r="N623" s="2" t="s">
        <v>58</v>
      </c>
      <c r="O623" s="2" t="s">
        <v>59</v>
      </c>
    </row>
    <row r="624" spans="1:15" x14ac:dyDescent="0.3">
      <c r="A624" s="2" t="s">
        <v>751</v>
      </c>
      <c r="B624" s="3">
        <v>45844</v>
      </c>
      <c r="C624" s="2" t="s">
        <v>37</v>
      </c>
      <c r="D624" s="2" t="s">
        <v>25</v>
      </c>
      <c r="E624" s="2" t="s">
        <v>26</v>
      </c>
      <c r="F624" s="2" t="s">
        <v>34</v>
      </c>
      <c r="G624" s="2" t="s">
        <v>39</v>
      </c>
      <c r="H624" s="2">
        <v>8</v>
      </c>
      <c r="I624" s="2">
        <v>28193.72</v>
      </c>
      <c r="J624" s="2">
        <v>0.08</v>
      </c>
      <c r="K624" s="2">
        <v>207505.75</v>
      </c>
      <c r="L624" s="2">
        <v>165245.59</v>
      </c>
      <c r="M624" s="2">
        <v>42260.160000000003</v>
      </c>
      <c r="N624" s="2" t="s">
        <v>58</v>
      </c>
      <c r="O624" s="2" t="s">
        <v>59</v>
      </c>
    </row>
    <row r="625" spans="1:15" x14ac:dyDescent="0.3">
      <c r="A625" s="2" t="s">
        <v>752</v>
      </c>
      <c r="B625" s="3">
        <v>45710</v>
      </c>
      <c r="C625" s="2" t="s">
        <v>37</v>
      </c>
      <c r="D625" s="2" t="s">
        <v>68</v>
      </c>
      <c r="E625" s="2" t="s">
        <v>33</v>
      </c>
      <c r="F625" s="2" t="s">
        <v>43</v>
      </c>
      <c r="G625" s="2" t="s">
        <v>44</v>
      </c>
      <c r="H625" s="2">
        <v>8</v>
      </c>
      <c r="I625" s="2">
        <v>11113.05</v>
      </c>
      <c r="J625" s="2">
        <v>0.08</v>
      </c>
      <c r="K625" s="2">
        <v>81792.08</v>
      </c>
      <c r="L625" s="2">
        <v>61077.120000000003</v>
      </c>
      <c r="M625" s="2">
        <v>20714.96</v>
      </c>
      <c r="N625" s="2" t="s">
        <v>21</v>
      </c>
      <c r="O625" s="2" t="s">
        <v>22</v>
      </c>
    </row>
    <row r="626" spans="1:15" x14ac:dyDescent="0.3">
      <c r="A626" s="2" t="s">
        <v>753</v>
      </c>
      <c r="B626" s="3">
        <v>45758</v>
      </c>
      <c r="C626" s="2" t="s">
        <v>54</v>
      </c>
      <c r="D626" s="2" t="s">
        <v>174</v>
      </c>
      <c r="E626" s="2" t="s">
        <v>56</v>
      </c>
      <c r="F626" s="2" t="s">
        <v>19</v>
      </c>
      <c r="G626" s="2" t="s">
        <v>102</v>
      </c>
      <c r="H626" s="2">
        <v>6</v>
      </c>
      <c r="I626" s="2">
        <v>242</v>
      </c>
      <c r="J626" s="2">
        <v>0.03</v>
      </c>
      <c r="K626" s="2">
        <v>1408.46</v>
      </c>
      <c r="L626" s="2">
        <v>969.47</v>
      </c>
      <c r="M626" s="2">
        <v>438.99</v>
      </c>
      <c r="N626" s="2" t="s">
        <v>21</v>
      </c>
      <c r="O626" s="2" t="s">
        <v>45</v>
      </c>
    </row>
    <row r="627" spans="1:15" x14ac:dyDescent="0.3">
      <c r="A627" s="2" t="s">
        <v>754</v>
      </c>
      <c r="B627" s="3">
        <v>45988</v>
      </c>
      <c r="C627" s="2" t="s">
        <v>16</v>
      </c>
      <c r="D627" s="2" t="s">
        <v>52</v>
      </c>
      <c r="E627" s="2" t="s">
        <v>49</v>
      </c>
      <c r="F627" s="2" t="s">
        <v>34</v>
      </c>
      <c r="G627" s="2" t="s">
        <v>35</v>
      </c>
      <c r="H627" s="2">
        <v>4</v>
      </c>
      <c r="I627" s="2">
        <v>18574.23</v>
      </c>
      <c r="J627" s="2">
        <v>0</v>
      </c>
      <c r="K627" s="2">
        <v>74296.91</v>
      </c>
      <c r="L627" s="2">
        <v>61211.1</v>
      </c>
      <c r="M627" s="2">
        <v>13085.81</v>
      </c>
      <c r="N627" s="2" t="s">
        <v>29</v>
      </c>
      <c r="O627" s="2" t="s">
        <v>59</v>
      </c>
    </row>
    <row r="628" spans="1:15" x14ac:dyDescent="0.3">
      <c r="A628" s="2" t="s">
        <v>755</v>
      </c>
      <c r="B628" s="3">
        <v>45848</v>
      </c>
      <c r="C628" s="2" t="s">
        <v>37</v>
      </c>
      <c r="D628" s="2" t="s">
        <v>68</v>
      </c>
      <c r="E628" s="2" t="s">
        <v>69</v>
      </c>
      <c r="F628" s="2" t="s">
        <v>19</v>
      </c>
      <c r="G628" s="2" t="s">
        <v>61</v>
      </c>
      <c r="H628" s="2">
        <v>6</v>
      </c>
      <c r="I628" s="2">
        <v>8981.82</v>
      </c>
      <c r="J628" s="2">
        <v>0.08</v>
      </c>
      <c r="K628" s="2">
        <v>49579.64</v>
      </c>
      <c r="L628" s="2">
        <v>41998.16</v>
      </c>
      <c r="M628" s="2">
        <v>7581.48</v>
      </c>
      <c r="N628" s="2" t="s">
        <v>29</v>
      </c>
      <c r="O628" s="2" t="s">
        <v>22</v>
      </c>
    </row>
    <row r="629" spans="1:15" x14ac:dyDescent="0.3">
      <c r="A629" s="2" t="s">
        <v>756</v>
      </c>
      <c r="B629" s="3">
        <v>45806</v>
      </c>
      <c r="C629" s="2" t="s">
        <v>37</v>
      </c>
      <c r="D629" s="2" t="s">
        <v>25</v>
      </c>
      <c r="E629" s="2" t="s">
        <v>26</v>
      </c>
      <c r="F629" s="2" t="s">
        <v>34</v>
      </c>
      <c r="G629" s="2" t="s">
        <v>70</v>
      </c>
      <c r="H629" s="2">
        <v>5</v>
      </c>
      <c r="I629" s="2">
        <v>67554.53</v>
      </c>
      <c r="J629" s="2">
        <v>0.15</v>
      </c>
      <c r="K629" s="2">
        <v>287106.77</v>
      </c>
      <c r="L629" s="2">
        <v>223873.26</v>
      </c>
      <c r="M629" s="2">
        <v>63233.51</v>
      </c>
      <c r="N629" s="2" t="s">
        <v>21</v>
      </c>
      <c r="O629" s="2" t="s">
        <v>40</v>
      </c>
    </row>
    <row r="630" spans="1:15" x14ac:dyDescent="0.3">
      <c r="A630" s="2" t="s">
        <v>757</v>
      </c>
      <c r="B630" s="3">
        <v>45806</v>
      </c>
      <c r="C630" s="2" t="s">
        <v>37</v>
      </c>
      <c r="D630" s="2" t="s">
        <v>38</v>
      </c>
      <c r="E630" s="2" t="s">
        <v>65</v>
      </c>
      <c r="F630" s="2" t="s">
        <v>758</v>
      </c>
      <c r="G630" s="2" t="s">
        <v>50</v>
      </c>
      <c r="H630" s="2">
        <v>6</v>
      </c>
      <c r="I630" s="2">
        <v>29760.31</v>
      </c>
      <c r="J630" s="2">
        <v>0.03</v>
      </c>
      <c r="K630" s="2">
        <v>173204.99</v>
      </c>
      <c r="L630" s="2">
        <v>130936.8</v>
      </c>
      <c r="M630" s="2">
        <v>42268.19</v>
      </c>
      <c r="N630" s="2" t="s">
        <v>21</v>
      </c>
      <c r="O630" s="2" t="s">
        <v>30</v>
      </c>
    </row>
    <row r="631" spans="1:15" x14ac:dyDescent="0.3">
      <c r="A631" s="2" t="s">
        <v>759</v>
      </c>
      <c r="B631" s="3">
        <v>45894</v>
      </c>
      <c r="C631" s="2" t="s">
        <v>16</v>
      </c>
      <c r="D631" s="2" t="s">
        <v>17</v>
      </c>
      <c r="E631" s="2" t="s">
        <v>26</v>
      </c>
      <c r="F631" s="2" t="s">
        <v>43</v>
      </c>
      <c r="G631" s="2" t="s">
        <v>75</v>
      </c>
      <c r="H631" s="2">
        <v>6</v>
      </c>
      <c r="I631" s="2">
        <v>36155.56</v>
      </c>
      <c r="J631" s="2">
        <v>0.05</v>
      </c>
      <c r="K631" s="2">
        <v>206086.71</v>
      </c>
      <c r="L631" s="2">
        <v>136222.34</v>
      </c>
      <c r="M631" s="2">
        <v>69864.37</v>
      </c>
      <c r="N631" s="2" t="s">
        <v>21</v>
      </c>
      <c r="O631" s="2" t="s">
        <v>45</v>
      </c>
    </row>
    <row r="632" spans="1:15" x14ac:dyDescent="0.3">
      <c r="A632" s="2" t="s">
        <v>760</v>
      </c>
      <c r="B632" s="3">
        <v>45919</v>
      </c>
      <c r="C632" s="2" t="s">
        <v>37</v>
      </c>
      <c r="D632" s="2" t="s">
        <v>38</v>
      </c>
      <c r="E632" s="2" t="s">
        <v>74</v>
      </c>
      <c r="F632" s="2" t="s">
        <v>27</v>
      </c>
      <c r="G632" s="2" t="s">
        <v>50</v>
      </c>
      <c r="H632" s="2">
        <v>6</v>
      </c>
      <c r="I632" s="2">
        <v>31452.95</v>
      </c>
      <c r="J632" s="2">
        <v>0.1</v>
      </c>
      <c r="K632" s="2">
        <v>169845.92</v>
      </c>
      <c r="L632" s="2">
        <v>117419.82</v>
      </c>
      <c r="M632" s="2">
        <v>52426.1</v>
      </c>
      <c r="N632" s="2" t="s">
        <v>21</v>
      </c>
      <c r="O632" s="2" t="s">
        <v>45</v>
      </c>
    </row>
    <row r="633" spans="1:15" x14ac:dyDescent="0.3">
      <c r="A633" s="2" t="s">
        <v>761</v>
      </c>
      <c r="B633" s="3">
        <v>45970</v>
      </c>
      <c r="C633" s="2" t="s">
        <v>37</v>
      </c>
      <c r="D633" s="2" t="s">
        <v>25</v>
      </c>
      <c r="E633" s="2" t="s">
        <v>33</v>
      </c>
      <c r="F633" s="2" t="s">
        <v>27</v>
      </c>
      <c r="G633" s="2" t="s">
        <v>66</v>
      </c>
      <c r="H633" s="2">
        <v>6</v>
      </c>
      <c r="I633" s="2">
        <v>10394.299999999999</v>
      </c>
      <c r="J633" s="2">
        <v>0.03</v>
      </c>
      <c r="K633" s="2">
        <v>60494.82</v>
      </c>
      <c r="L633" s="2">
        <v>49734.39</v>
      </c>
      <c r="M633" s="2">
        <v>10760.43</v>
      </c>
      <c r="N633" s="2" t="s">
        <v>58</v>
      </c>
      <c r="O633" s="2" t="s">
        <v>40</v>
      </c>
    </row>
    <row r="634" spans="1:15" x14ac:dyDescent="0.3">
      <c r="A634" s="2" t="s">
        <v>762</v>
      </c>
      <c r="B634" s="3">
        <v>45863</v>
      </c>
      <c r="C634" s="2" t="s">
        <v>37</v>
      </c>
      <c r="D634" s="2" t="s">
        <v>68</v>
      </c>
      <c r="E634" s="2" t="s">
        <v>33</v>
      </c>
      <c r="F634" s="2" t="s">
        <v>43</v>
      </c>
      <c r="G634" s="2" t="s">
        <v>75</v>
      </c>
      <c r="H634" s="2">
        <v>3</v>
      </c>
      <c r="I634" s="2">
        <v>37539.53</v>
      </c>
      <c r="J634" s="2">
        <v>0.1</v>
      </c>
      <c r="K634" s="2">
        <v>101356.73</v>
      </c>
      <c r="L634" s="2">
        <v>74607.25</v>
      </c>
      <c r="M634" s="2">
        <v>26749.48</v>
      </c>
      <c r="N634" s="2" t="s">
        <v>21</v>
      </c>
      <c r="O634" s="2" t="s">
        <v>59</v>
      </c>
    </row>
    <row r="635" spans="1:15" x14ac:dyDescent="0.3">
      <c r="A635" s="2" t="s">
        <v>763</v>
      </c>
      <c r="B635" s="3">
        <v>45720</v>
      </c>
      <c r="C635" s="2" t="s">
        <v>54</v>
      </c>
      <c r="D635" s="2" t="s">
        <v>124</v>
      </c>
      <c r="E635" s="2" t="s">
        <v>344</v>
      </c>
      <c r="F635" s="2" t="s">
        <v>34</v>
      </c>
      <c r="G635" s="2" t="s">
        <v>35</v>
      </c>
      <c r="H635" s="2" t="s">
        <v>588</v>
      </c>
      <c r="I635" s="2">
        <v>16861.93</v>
      </c>
      <c r="J635" s="2">
        <v>0.03</v>
      </c>
      <c r="K635" s="2">
        <v>81780.350000000006</v>
      </c>
      <c r="L635" s="2">
        <v>60913.82</v>
      </c>
      <c r="M635" s="2">
        <v>20866.53</v>
      </c>
      <c r="N635" s="2" t="s">
        <v>21</v>
      </c>
      <c r="O635" s="2" t="s">
        <v>30</v>
      </c>
    </row>
    <row r="636" spans="1:15" x14ac:dyDescent="0.3">
      <c r="A636" s="2" t="s">
        <v>764</v>
      </c>
      <c r="B636" s="3">
        <v>46021</v>
      </c>
      <c r="C636" s="2" t="s">
        <v>54</v>
      </c>
      <c r="D636" s="2" t="s">
        <v>174</v>
      </c>
      <c r="E636" s="2" t="s">
        <v>18</v>
      </c>
      <c r="F636" s="2" t="s">
        <v>43</v>
      </c>
      <c r="G636" s="2" t="s">
        <v>91</v>
      </c>
      <c r="H636" s="2">
        <v>7</v>
      </c>
      <c r="I636" s="2">
        <v>48984.63</v>
      </c>
      <c r="J636" s="2">
        <v>0</v>
      </c>
      <c r="K636" s="2">
        <v>342892.39</v>
      </c>
      <c r="L636" s="2">
        <v>293729.91999999998</v>
      </c>
      <c r="M636" s="2">
        <v>49162.47</v>
      </c>
      <c r="N636" s="2" t="s">
        <v>21</v>
      </c>
      <c r="O636" s="2" t="s">
        <v>40</v>
      </c>
    </row>
    <row r="637" spans="1:15" x14ac:dyDescent="0.3">
      <c r="A637" s="2" t="s">
        <v>765</v>
      </c>
      <c r="B637" s="3">
        <v>45920</v>
      </c>
      <c r="C637" s="2" t="s">
        <v>37</v>
      </c>
      <c r="D637" s="2" t="s">
        <v>42</v>
      </c>
      <c r="E637" s="2" t="s">
        <v>18</v>
      </c>
      <c r="F637" s="2" t="s">
        <v>43</v>
      </c>
      <c r="G637" s="2" t="s">
        <v>75</v>
      </c>
      <c r="H637" s="2">
        <v>4</v>
      </c>
      <c r="I637" s="2">
        <v>34036.76</v>
      </c>
      <c r="J637" s="2">
        <v>0.05</v>
      </c>
      <c r="K637" s="2">
        <v>129339.67</v>
      </c>
      <c r="L637" s="2">
        <v>93211.94</v>
      </c>
      <c r="M637" s="2">
        <v>36127.730000000003</v>
      </c>
      <c r="N637" s="2" t="s">
        <v>29</v>
      </c>
      <c r="O637" s="2" t="s">
        <v>59</v>
      </c>
    </row>
    <row r="638" spans="1:15" x14ac:dyDescent="0.3">
      <c r="A638" s="2" t="s">
        <v>766</v>
      </c>
      <c r="B638" s="3">
        <v>45765</v>
      </c>
      <c r="C638" s="2" t="s">
        <v>16</v>
      </c>
      <c r="D638" s="2" t="s">
        <v>52</v>
      </c>
      <c r="E638" s="2" t="s">
        <v>767</v>
      </c>
      <c r="F638" s="2" t="s">
        <v>19</v>
      </c>
      <c r="G638" s="2" t="s">
        <v>61</v>
      </c>
      <c r="H638" s="2">
        <v>1</v>
      </c>
      <c r="I638" s="2">
        <v>8520.17</v>
      </c>
      <c r="J638" s="2">
        <v>0.1</v>
      </c>
      <c r="K638" s="2">
        <v>7668.16</v>
      </c>
      <c r="L638" s="2">
        <v>6079.52</v>
      </c>
      <c r="M638" s="2">
        <v>1588.64</v>
      </c>
      <c r="N638" s="2" t="s">
        <v>29</v>
      </c>
      <c r="O638" s="2" t="s">
        <v>22</v>
      </c>
    </row>
    <row r="639" spans="1:15" x14ac:dyDescent="0.3">
      <c r="A639" s="2" t="s">
        <v>768</v>
      </c>
      <c r="B639" s="3">
        <v>45996</v>
      </c>
      <c r="C639" s="2" t="s">
        <v>37</v>
      </c>
      <c r="D639" s="2" t="s">
        <v>38</v>
      </c>
      <c r="E639" s="2" t="s">
        <v>49</v>
      </c>
      <c r="F639" s="2" t="s">
        <v>43</v>
      </c>
      <c r="G639" s="2" t="s">
        <v>91</v>
      </c>
      <c r="H639" s="2">
        <v>5</v>
      </c>
      <c r="I639" s="2">
        <v>49329.5</v>
      </c>
      <c r="J639" s="2">
        <v>0.15</v>
      </c>
      <c r="K639" s="2">
        <v>209650.35</v>
      </c>
      <c r="L639" s="2">
        <v>174403.42</v>
      </c>
      <c r="M639" s="2">
        <v>35246.93</v>
      </c>
      <c r="N639" s="2" t="s">
        <v>58</v>
      </c>
      <c r="O639" s="2" t="s">
        <v>22</v>
      </c>
    </row>
    <row r="640" spans="1:15" x14ac:dyDescent="0.3">
      <c r="A640" s="2" t="s">
        <v>769</v>
      </c>
      <c r="B640" s="3">
        <v>45879</v>
      </c>
      <c r="C640" s="2" t="s">
        <v>37</v>
      </c>
      <c r="D640" s="2" t="s">
        <v>25</v>
      </c>
      <c r="E640" s="2" t="s">
        <v>69</v>
      </c>
      <c r="F640" s="2" t="s">
        <v>27</v>
      </c>
      <c r="G640" s="2" t="s">
        <v>50</v>
      </c>
      <c r="H640" s="2">
        <v>6</v>
      </c>
      <c r="I640" s="2">
        <v>31745.07</v>
      </c>
      <c r="J640" s="2">
        <v>0.05</v>
      </c>
      <c r="K640" s="2">
        <v>180946.91</v>
      </c>
      <c r="L640" s="2">
        <v>151250.46</v>
      </c>
      <c r="M640" s="2">
        <v>29696.45</v>
      </c>
      <c r="N640" s="2" t="s">
        <v>29</v>
      </c>
      <c r="O640" s="2" t="s">
        <v>59</v>
      </c>
    </row>
    <row r="641" spans="1:15" x14ac:dyDescent="0.3">
      <c r="A641" s="2" t="s">
        <v>770</v>
      </c>
      <c r="B641" s="3">
        <v>45761</v>
      </c>
      <c r="C641" s="2" t="s">
        <v>16</v>
      </c>
      <c r="D641" s="2" t="s">
        <v>52</v>
      </c>
      <c r="E641" s="2" t="s">
        <v>33</v>
      </c>
      <c r="F641" s="2" t="s">
        <v>27</v>
      </c>
      <c r="G641" s="2" t="s">
        <v>125</v>
      </c>
      <c r="H641" s="2">
        <v>6</v>
      </c>
      <c r="I641" s="2">
        <v>8315.81</v>
      </c>
      <c r="J641" s="2">
        <v>0.1</v>
      </c>
      <c r="K641" s="2">
        <v>44905.38</v>
      </c>
      <c r="L641" s="2">
        <v>29942.29</v>
      </c>
      <c r="M641" s="2">
        <v>14963.09</v>
      </c>
      <c r="N641" s="2" t="s">
        <v>58</v>
      </c>
      <c r="O641" s="2" t="s">
        <v>22</v>
      </c>
    </row>
    <row r="642" spans="1:15" x14ac:dyDescent="0.3">
      <c r="A642" s="2" t="s">
        <v>771</v>
      </c>
      <c r="B642" s="3">
        <v>45744</v>
      </c>
      <c r="C642" s="2" t="s">
        <v>37</v>
      </c>
      <c r="D642" s="2" t="s">
        <v>42</v>
      </c>
      <c r="E642" s="2" t="s">
        <v>56</v>
      </c>
      <c r="F642" s="2" t="s">
        <v>43</v>
      </c>
      <c r="G642" s="2" t="s">
        <v>121</v>
      </c>
      <c r="H642" s="2">
        <v>1</v>
      </c>
      <c r="I642" s="2">
        <v>4945.6899999999996</v>
      </c>
      <c r="J642" s="2">
        <v>0.15</v>
      </c>
      <c r="K642" s="2">
        <v>4203.84</v>
      </c>
      <c r="L642" s="2">
        <v>3062.63</v>
      </c>
      <c r="M642" s="2">
        <v>1141.21</v>
      </c>
      <c r="N642" s="2" t="s">
        <v>21</v>
      </c>
      <c r="O642" s="2" t="s">
        <v>45</v>
      </c>
    </row>
    <row r="643" spans="1:15" x14ac:dyDescent="0.3">
      <c r="A643" s="2" t="s">
        <v>772</v>
      </c>
      <c r="B643" s="3">
        <v>45820</v>
      </c>
      <c r="C643" s="2" t="s">
        <v>54</v>
      </c>
      <c r="D643" s="2" t="s">
        <v>48</v>
      </c>
      <c r="E643" s="2" t="s">
        <v>56</v>
      </c>
      <c r="F643" s="2" t="s">
        <v>34</v>
      </c>
      <c r="G643" s="2" t="s">
        <v>39</v>
      </c>
      <c r="H643" s="2">
        <v>6</v>
      </c>
      <c r="I643" s="2">
        <v>27685.03</v>
      </c>
      <c r="J643" s="2">
        <v>0.08</v>
      </c>
      <c r="K643" s="2">
        <v>152821.35</v>
      </c>
      <c r="L643" s="2">
        <v>95545.13</v>
      </c>
      <c r="M643" s="2">
        <v>57276.22</v>
      </c>
      <c r="N643" s="2" t="s">
        <v>58</v>
      </c>
      <c r="O643" s="2" t="s">
        <v>45</v>
      </c>
    </row>
    <row r="644" spans="1:15" x14ac:dyDescent="0.3">
      <c r="A644" s="2" t="s">
        <v>773</v>
      </c>
      <c r="B644" s="3">
        <v>45878</v>
      </c>
      <c r="C644" s="2" t="s">
        <v>16</v>
      </c>
      <c r="D644" s="2" t="s">
        <v>82</v>
      </c>
      <c r="E644" s="2" t="s">
        <v>33</v>
      </c>
      <c r="F644" s="2" t="s">
        <v>43</v>
      </c>
      <c r="G644" s="2" t="s">
        <v>91</v>
      </c>
      <c r="H644" s="2" t="s">
        <v>264</v>
      </c>
      <c r="I644" s="2">
        <v>46938.38</v>
      </c>
      <c r="J644" s="2">
        <v>0.05</v>
      </c>
      <c r="K644" s="2">
        <v>312140.23</v>
      </c>
      <c r="L644" s="2">
        <v>243773.58</v>
      </c>
      <c r="M644" s="2">
        <v>68366.649999999994</v>
      </c>
      <c r="N644" s="2" t="s">
        <v>21</v>
      </c>
      <c r="O644" s="2" t="s">
        <v>40</v>
      </c>
    </row>
    <row r="645" spans="1:15" x14ac:dyDescent="0.3">
      <c r="A645" s="2" t="s">
        <v>774</v>
      </c>
      <c r="B645" s="3">
        <v>45933</v>
      </c>
      <c r="C645" s="2" t="s">
        <v>37</v>
      </c>
      <c r="D645" s="2" t="s">
        <v>68</v>
      </c>
      <c r="E645" s="2" t="s">
        <v>65</v>
      </c>
      <c r="F645" s="2" t="s">
        <v>34</v>
      </c>
      <c r="G645" s="2" t="s">
        <v>80</v>
      </c>
      <c r="H645" s="2">
        <v>2</v>
      </c>
      <c r="I645" s="2">
        <v>4633.2</v>
      </c>
      <c r="J645" s="2">
        <v>0.08</v>
      </c>
      <c r="K645" s="2">
        <v>8525.1</v>
      </c>
      <c r="L645" s="2">
        <v>6022.12</v>
      </c>
      <c r="M645" s="2">
        <v>2502.98</v>
      </c>
      <c r="N645" s="2" t="s">
        <v>21</v>
      </c>
      <c r="O645" s="2" t="s">
        <v>59</v>
      </c>
    </row>
    <row r="646" spans="1:15" x14ac:dyDescent="0.3">
      <c r="A646" s="2" t="s">
        <v>775</v>
      </c>
      <c r="B646" s="3">
        <v>45821</v>
      </c>
      <c r="C646" s="2" t="s">
        <v>63</v>
      </c>
      <c r="D646" s="2" t="s">
        <v>95</v>
      </c>
      <c r="E646" s="2" t="s">
        <v>69</v>
      </c>
      <c r="F646" s="2" t="s">
        <v>19</v>
      </c>
      <c r="G646" s="2" t="s">
        <v>61</v>
      </c>
      <c r="H646" s="2">
        <v>1</v>
      </c>
      <c r="I646" s="2">
        <v>8621.98</v>
      </c>
      <c r="J646" s="2">
        <v>0.15</v>
      </c>
      <c r="K646" s="2">
        <v>7328.68</v>
      </c>
      <c r="L646" s="2">
        <v>5223.3599999999997</v>
      </c>
      <c r="M646" s="2">
        <v>2105.3200000000002</v>
      </c>
      <c r="N646" s="2" t="s">
        <v>29</v>
      </c>
      <c r="O646" s="2" t="s">
        <v>59</v>
      </c>
    </row>
    <row r="647" spans="1:15" x14ac:dyDescent="0.3">
      <c r="A647" s="2" t="s">
        <v>776</v>
      </c>
      <c r="B647" s="3">
        <v>46015</v>
      </c>
      <c r="C647" s="2" t="s">
        <v>37</v>
      </c>
      <c r="D647" s="2" t="s">
        <v>42</v>
      </c>
      <c r="E647" s="2" t="s">
        <v>26</v>
      </c>
      <c r="F647" s="2" t="s">
        <v>43</v>
      </c>
      <c r="G647" s="2" t="s">
        <v>91</v>
      </c>
      <c r="H647" s="2">
        <v>5</v>
      </c>
      <c r="I647" s="2">
        <v>46358.63</v>
      </c>
      <c r="J647" s="2">
        <v>0.03</v>
      </c>
      <c r="K647" s="2">
        <v>224839.35</v>
      </c>
      <c r="L647" s="2">
        <v>174218.35</v>
      </c>
      <c r="M647" s="2">
        <v>50621</v>
      </c>
      <c r="N647" s="2" t="s">
        <v>58</v>
      </c>
      <c r="O647" s="2" t="s">
        <v>40</v>
      </c>
    </row>
    <row r="648" spans="1:15" x14ac:dyDescent="0.3">
      <c r="A648" s="2" t="s">
        <v>777</v>
      </c>
      <c r="B648" s="3">
        <v>45785</v>
      </c>
      <c r="C648" s="2" t="s">
        <v>54</v>
      </c>
      <c r="D648" s="2" t="s">
        <v>174</v>
      </c>
      <c r="E648" s="2" t="s">
        <v>98</v>
      </c>
      <c r="F648" s="2" t="s">
        <v>43</v>
      </c>
      <c r="G648" s="2" t="s">
        <v>84</v>
      </c>
      <c r="H648" s="2">
        <v>2</v>
      </c>
      <c r="I648" s="2">
        <v>43409.43</v>
      </c>
      <c r="J648" s="2">
        <v>0</v>
      </c>
      <c r="K648" s="2">
        <v>86818.87</v>
      </c>
      <c r="L648" s="2">
        <v>64625.31</v>
      </c>
      <c r="M648" s="2">
        <v>22193.56</v>
      </c>
      <c r="N648" s="2" t="s">
        <v>21</v>
      </c>
      <c r="O648" s="2" t="s">
        <v>59</v>
      </c>
    </row>
    <row r="649" spans="1:15" x14ac:dyDescent="0.3">
      <c r="A649" s="2" t="s">
        <v>778</v>
      </c>
      <c r="B649" s="3">
        <v>45802</v>
      </c>
      <c r="C649" s="2" t="s">
        <v>16</v>
      </c>
      <c r="D649" s="2" t="s">
        <v>52</v>
      </c>
      <c r="E649" s="2" t="s">
        <v>26</v>
      </c>
      <c r="F649" s="2" t="s">
        <v>27</v>
      </c>
      <c r="G649" s="2" t="s">
        <v>28</v>
      </c>
      <c r="H649" s="2">
        <v>5</v>
      </c>
      <c r="I649" s="2">
        <v>27154.15</v>
      </c>
      <c r="J649" s="2">
        <v>0.03</v>
      </c>
      <c r="K649" s="2">
        <v>131697.64000000001</v>
      </c>
      <c r="L649" s="2">
        <v>108470.88</v>
      </c>
      <c r="M649" s="2">
        <v>23226.76</v>
      </c>
      <c r="N649" s="2" t="s">
        <v>29</v>
      </c>
      <c r="O649" s="2" t="s">
        <v>45</v>
      </c>
    </row>
    <row r="650" spans="1:15" x14ac:dyDescent="0.3">
      <c r="A650" s="2" t="s">
        <v>779</v>
      </c>
      <c r="B650" s="3">
        <v>45881</v>
      </c>
      <c r="C650" s="2" t="s">
        <v>37</v>
      </c>
      <c r="D650" s="2" t="s">
        <v>42</v>
      </c>
      <c r="E650" s="2" t="s">
        <v>69</v>
      </c>
      <c r="F650" s="2" t="s">
        <v>19</v>
      </c>
      <c r="G650" s="2" t="s">
        <v>108</v>
      </c>
      <c r="H650" s="2">
        <v>4</v>
      </c>
      <c r="I650" s="2">
        <v>15998.24</v>
      </c>
      <c r="J650" s="2">
        <v>0.08</v>
      </c>
      <c r="K650" s="2">
        <v>58873.54</v>
      </c>
      <c r="L650" s="2">
        <v>39224.25</v>
      </c>
      <c r="M650" s="2">
        <v>19649.29</v>
      </c>
      <c r="N650" s="2" t="s">
        <v>58</v>
      </c>
      <c r="O650" s="2" t="s">
        <v>22</v>
      </c>
    </row>
    <row r="651" spans="1:15" x14ac:dyDescent="0.3">
      <c r="A651" s="2" t="s">
        <v>780</v>
      </c>
      <c r="B651" s="3">
        <v>45956</v>
      </c>
      <c r="C651" s="2" t="s">
        <v>16</v>
      </c>
      <c r="D651" s="2" t="s">
        <v>32</v>
      </c>
      <c r="E651" s="2" t="s">
        <v>65</v>
      </c>
      <c r="F651" s="2" t="s">
        <v>43</v>
      </c>
      <c r="G651" s="2" t="s">
        <v>121</v>
      </c>
      <c r="H651" s="2">
        <v>8</v>
      </c>
      <c r="I651" s="2">
        <v>4642.96</v>
      </c>
      <c r="J651" s="2">
        <v>0</v>
      </c>
      <c r="K651" s="2">
        <v>37143.660000000003</v>
      </c>
      <c r="L651" s="2">
        <v>24577.26</v>
      </c>
      <c r="M651" s="2">
        <v>12566.4</v>
      </c>
      <c r="N651" s="2" t="s">
        <v>21</v>
      </c>
      <c r="O651" s="2" t="s">
        <v>22</v>
      </c>
    </row>
    <row r="652" spans="1:15" x14ac:dyDescent="0.3">
      <c r="A652" s="2" t="s">
        <v>781</v>
      </c>
      <c r="B652" s="3">
        <v>45709</v>
      </c>
      <c r="C652" s="2" t="s">
        <v>54</v>
      </c>
      <c r="D652" s="2" t="s">
        <v>174</v>
      </c>
      <c r="E652" s="2" t="s">
        <v>74</v>
      </c>
      <c r="F652" s="2" t="s">
        <v>43</v>
      </c>
      <c r="G652" s="2" t="s">
        <v>121</v>
      </c>
      <c r="H652" s="2">
        <v>7</v>
      </c>
      <c r="I652" s="2">
        <v>4823.8100000000004</v>
      </c>
      <c r="J652" s="2">
        <v>0.05</v>
      </c>
      <c r="K652" s="2">
        <v>32078.36</v>
      </c>
      <c r="L652" s="2">
        <v>20567.169999999998</v>
      </c>
      <c r="M652" s="2">
        <v>11511.19</v>
      </c>
      <c r="N652" s="2" t="s">
        <v>58</v>
      </c>
      <c r="O652" s="2" t="s">
        <v>30</v>
      </c>
    </row>
    <row r="653" spans="1:15" x14ac:dyDescent="0.3">
      <c r="A653" s="2" t="s">
        <v>782</v>
      </c>
      <c r="B653" s="2"/>
      <c r="C653" s="2" t="s">
        <v>54</v>
      </c>
      <c r="D653" s="2" t="s">
        <v>55</v>
      </c>
      <c r="E653" s="2" t="s">
        <v>74</v>
      </c>
      <c r="F653" s="2" t="s">
        <v>43</v>
      </c>
      <c r="G653" s="2" t="s">
        <v>91</v>
      </c>
      <c r="H653" s="2">
        <v>2</v>
      </c>
      <c r="I653" s="2">
        <v>47542.07</v>
      </c>
      <c r="J653" s="2">
        <v>0.05</v>
      </c>
      <c r="K653" s="2">
        <v>90329.94</v>
      </c>
      <c r="L653" s="2">
        <v>73267.39</v>
      </c>
      <c r="M653" s="2">
        <v>17062.55</v>
      </c>
      <c r="N653" s="2" t="s">
        <v>58</v>
      </c>
      <c r="O653" s="2" t="s">
        <v>30</v>
      </c>
    </row>
    <row r="654" spans="1:15" x14ac:dyDescent="0.3">
      <c r="A654" s="2" t="s">
        <v>783</v>
      </c>
      <c r="B654" s="3">
        <v>45989</v>
      </c>
      <c r="C654" s="2" t="s">
        <v>63</v>
      </c>
      <c r="D654" s="2" t="s">
        <v>88</v>
      </c>
      <c r="E654" s="2" t="s">
        <v>26</v>
      </c>
      <c r="F654" s="2" t="s">
        <v>34</v>
      </c>
      <c r="G654" s="2" t="s">
        <v>80</v>
      </c>
      <c r="H654" s="2">
        <v>5</v>
      </c>
      <c r="I654" s="2">
        <v>4817.3</v>
      </c>
      <c r="J654" s="2">
        <v>0</v>
      </c>
      <c r="K654" s="2">
        <v>24086.48</v>
      </c>
      <c r="L654" s="2">
        <v>16969.78</v>
      </c>
      <c r="M654" s="2">
        <v>7116.7</v>
      </c>
      <c r="N654" s="2" t="s">
        <v>21</v>
      </c>
      <c r="O654" s="2" t="s">
        <v>30</v>
      </c>
    </row>
    <row r="655" spans="1:15" x14ac:dyDescent="0.3">
      <c r="A655" s="2" t="s">
        <v>784</v>
      </c>
      <c r="B655" s="3">
        <v>45820</v>
      </c>
      <c r="C655" s="2" t="s">
        <v>16</v>
      </c>
      <c r="D655" s="2" t="s">
        <v>82</v>
      </c>
      <c r="E655" s="2" t="s">
        <v>49</v>
      </c>
      <c r="F655" s="2" t="s">
        <v>460</v>
      </c>
      <c r="G655" s="2" t="s">
        <v>61</v>
      </c>
      <c r="H655" s="2">
        <v>7</v>
      </c>
      <c r="I655" s="2">
        <v>9007.3700000000008</v>
      </c>
      <c r="J655" s="2">
        <v>0.15</v>
      </c>
      <c r="K655" s="2" t="s">
        <v>785</v>
      </c>
      <c r="L655" s="2">
        <v>39212.82</v>
      </c>
      <c r="M655" s="2">
        <v>14381.01</v>
      </c>
      <c r="N655" s="2" t="s">
        <v>21</v>
      </c>
      <c r="O655" s="2" t="s">
        <v>30</v>
      </c>
    </row>
    <row r="656" spans="1:15" x14ac:dyDescent="0.3">
      <c r="A656" s="2" t="s">
        <v>786</v>
      </c>
      <c r="B656" s="3">
        <v>45989</v>
      </c>
      <c r="C656" s="2" t="s">
        <v>37</v>
      </c>
      <c r="D656" s="2" t="s">
        <v>25</v>
      </c>
      <c r="E656" s="2" t="s">
        <v>26</v>
      </c>
      <c r="F656" s="2" t="s">
        <v>19</v>
      </c>
      <c r="G656" s="2" t="s">
        <v>61</v>
      </c>
      <c r="H656" s="2">
        <v>4</v>
      </c>
      <c r="I656" s="2">
        <v>9318.89</v>
      </c>
      <c r="J656" s="2">
        <v>0.1</v>
      </c>
      <c r="K656" s="2">
        <v>33547.99</v>
      </c>
      <c r="L656" s="2">
        <v>27898.26</v>
      </c>
      <c r="M656" s="2">
        <v>5649.73</v>
      </c>
      <c r="N656" s="2" t="s">
        <v>21</v>
      </c>
      <c r="O656" s="2" t="s">
        <v>22</v>
      </c>
    </row>
    <row r="657" spans="1:15" x14ac:dyDescent="0.3">
      <c r="A657" s="2" t="s">
        <v>787</v>
      </c>
      <c r="B657" s="3">
        <v>45933</v>
      </c>
      <c r="C657" s="2" t="s">
        <v>63</v>
      </c>
      <c r="D657" s="2" t="s">
        <v>64</v>
      </c>
      <c r="E657" s="2" t="s">
        <v>56</v>
      </c>
      <c r="F657" s="2" t="s">
        <v>27</v>
      </c>
      <c r="G657" s="2" t="s">
        <v>125</v>
      </c>
      <c r="H657" s="2">
        <v>8</v>
      </c>
      <c r="I657" s="2">
        <v>8782.7999999999993</v>
      </c>
      <c r="J657" s="2">
        <v>0.08</v>
      </c>
      <c r="K657" s="2">
        <v>64641.41</v>
      </c>
      <c r="L657" s="2">
        <v>43993.42</v>
      </c>
      <c r="M657" s="2">
        <v>20647.990000000002</v>
      </c>
      <c r="N657" s="2" t="s">
        <v>21</v>
      </c>
      <c r="O657" s="2" t="s">
        <v>45</v>
      </c>
    </row>
    <row r="658" spans="1:15" x14ac:dyDescent="0.3">
      <c r="A658" s="2" t="s">
        <v>788</v>
      </c>
      <c r="B658" s="3">
        <v>45975</v>
      </c>
      <c r="C658" s="2" t="s">
        <v>16</v>
      </c>
      <c r="D658" s="2" t="s">
        <v>32</v>
      </c>
      <c r="E658" s="2" t="s">
        <v>74</v>
      </c>
      <c r="F658" s="2" t="s">
        <v>43</v>
      </c>
      <c r="G658" s="2" t="s">
        <v>44</v>
      </c>
      <c r="H658" s="2">
        <v>6</v>
      </c>
      <c r="I658" s="2">
        <v>12199.53</v>
      </c>
      <c r="J658" s="2">
        <v>0</v>
      </c>
      <c r="K658" s="2">
        <v>73197.16</v>
      </c>
      <c r="L658" s="2">
        <v>47045.53</v>
      </c>
      <c r="M658" s="2">
        <v>26151.63</v>
      </c>
      <c r="N658" s="2" t="s">
        <v>29</v>
      </c>
      <c r="O658" s="2" t="s">
        <v>30</v>
      </c>
    </row>
    <row r="659" spans="1:15" x14ac:dyDescent="0.3">
      <c r="A659" s="2" t="s">
        <v>789</v>
      </c>
      <c r="B659" s="3">
        <v>46012</v>
      </c>
      <c r="C659" s="2" t="s">
        <v>63</v>
      </c>
      <c r="D659" s="2" t="s">
        <v>64</v>
      </c>
      <c r="E659" s="2" t="s">
        <v>790</v>
      </c>
      <c r="F659" s="2" t="s">
        <v>19</v>
      </c>
      <c r="G659" s="2" t="s">
        <v>108</v>
      </c>
      <c r="H659" s="2">
        <v>4</v>
      </c>
      <c r="I659" s="2">
        <v>15458.65</v>
      </c>
      <c r="J659" s="2">
        <v>0.1</v>
      </c>
      <c r="K659" s="2">
        <v>55651.15</v>
      </c>
      <c r="L659" s="2">
        <v>47168.11</v>
      </c>
      <c r="M659" s="2">
        <v>8483.0400000000009</v>
      </c>
      <c r="N659" s="2" t="s">
        <v>58</v>
      </c>
      <c r="O659" s="2" t="s">
        <v>59</v>
      </c>
    </row>
    <row r="660" spans="1:15" x14ac:dyDescent="0.3">
      <c r="A660" s="2" t="s">
        <v>791</v>
      </c>
      <c r="B660" s="3">
        <v>45983</v>
      </c>
      <c r="C660" s="2" t="s">
        <v>54</v>
      </c>
      <c r="D660" s="2" t="s">
        <v>174</v>
      </c>
      <c r="E660" s="2" t="s">
        <v>69</v>
      </c>
      <c r="F660" s="2" t="s">
        <v>34</v>
      </c>
      <c r="G660" s="2" t="s">
        <v>70</v>
      </c>
      <c r="H660" s="2">
        <v>4</v>
      </c>
      <c r="I660" s="2">
        <v>67353.56</v>
      </c>
      <c r="J660" s="2">
        <v>0.03</v>
      </c>
      <c r="K660" s="2">
        <v>261331.8</v>
      </c>
      <c r="L660" s="2">
        <v>190192.06</v>
      </c>
      <c r="M660" s="2">
        <v>71139.740000000005</v>
      </c>
      <c r="N660" s="2" t="s">
        <v>58</v>
      </c>
      <c r="O660" s="2" t="s">
        <v>59</v>
      </c>
    </row>
    <row r="661" spans="1:15" x14ac:dyDescent="0.3">
      <c r="A661" s="2" t="s">
        <v>792</v>
      </c>
      <c r="B661" s="3">
        <v>45977</v>
      </c>
      <c r="C661" s="2" t="s">
        <v>63</v>
      </c>
      <c r="D661" s="2" t="s">
        <v>95</v>
      </c>
      <c r="E661" s="2" t="s">
        <v>72</v>
      </c>
      <c r="F661" s="2" t="s">
        <v>43</v>
      </c>
      <c r="G661" s="2" t="s">
        <v>91</v>
      </c>
      <c r="H661" s="2">
        <v>5</v>
      </c>
      <c r="I661" s="2">
        <v>49747.68</v>
      </c>
      <c r="J661" s="2">
        <v>0.08</v>
      </c>
      <c r="K661" s="2">
        <v>228839.35</v>
      </c>
      <c r="L661" s="2">
        <v>161640.54999999999</v>
      </c>
      <c r="M661" s="2">
        <v>67198.8</v>
      </c>
      <c r="N661" s="2" t="s">
        <v>21</v>
      </c>
      <c r="O661" s="2" t="s">
        <v>59</v>
      </c>
    </row>
    <row r="662" spans="1:15" x14ac:dyDescent="0.3">
      <c r="A662" s="2" t="s">
        <v>793</v>
      </c>
      <c r="B662" s="3">
        <v>45706</v>
      </c>
      <c r="C662" s="2" t="s">
        <v>16</v>
      </c>
      <c r="D662" s="2" t="s">
        <v>32</v>
      </c>
      <c r="E662" s="2" t="s">
        <v>18</v>
      </c>
      <c r="F662" s="2" t="s">
        <v>34</v>
      </c>
      <c r="G662" s="2" t="s">
        <v>70</v>
      </c>
      <c r="H662" s="2">
        <v>4</v>
      </c>
      <c r="I662" s="2">
        <v>60484.3</v>
      </c>
      <c r="J662" s="2">
        <v>0.08</v>
      </c>
      <c r="K662" s="2">
        <v>222582.23</v>
      </c>
      <c r="L662" s="2">
        <v>150726.07</v>
      </c>
      <c r="M662" s="2">
        <v>71856.160000000003</v>
      </c>
      <c r="N662" s="2" t="s">
        <v>58</v>
      </c>
      <c r="O662" s="2" t="s">
        <v>45</v>
      </c>
    </row>
    <row r="663" spans="1:15" x14ac:dyDescent="0.3">
      <c r="A663" s="2" t="s">
        <v>794</v>
      </c>
      <c r="B663" s="3">
        <v>45937</v>
      </c>
      <c r="C663" s="2" t="s">
        <v>47</v>
      </c>
      <c r="D663" s="2" t="s">
        <v>174</v>
      </c>
      <c r="E663" s="2" t="s">
        <v>56</v>
      </c>
      <c r="F663" s="2" t="s">
        <v>34</v>
      </c>
      <c r="G663" s="2" t="s">
        <v>39</v>
      </c>
      <c r="H663" s="2">
        <v>1</v>
      </c>
      <c r="I663" s="2">
        <v>32222.2</v>
      </c>
      <c r="J663" s="2">
        <v>0.08</v>
      </c>
      <c r="K663" s="2">
        <v>29644.42</v>
      </c>
      <c r="L663" s="2">
        <v>25376.01</v>
      </c>
      <c r="M663" s="2">
        <v>4268.41</v>
      </c>
      <c r="N663" s="2" t="s">
        <v>21</v>
      </c>
      <c r="O663" s="2" t="s">
        <v>40</v>
      </c>
    </row>
    <row r="664" spans="1:15" x14ac:dyDescent="0.3">
      <c r="A664" s="2" t="s">
        <v>795</v>
      </c>
      <c r="B664" s="3">
        <v>46010</v>
      </c>
      <c r="C664" s="2" t="s">
        <v>63</v>
      </c>
      <c r="D664" s="2" t="s">
        <v>88</v>
      </c>
      <c r="E664" s="2" t="s">
        <v>49</v>
      </c>
      <c r="F664" s="2" t="s">
        <v>43</v>
      </c>
      <c r="G664" s="2" t="s">
        <v>121</v>
      </c>
      <c r="H664" s="2">
        <v>7</v>
      </c>
      <c r="I664" s="2">
        <v>4879.1000000000004</v>
      </c>
      <c r="J664" s="2">
        <v>0.1</v>
      </c>
      <c r="K664" s="2">
        <v>30738.31</v>
      </c>
      <c r="L664" s="2">
        <v>20582.2</v>
      </c>
      <c r="M664" s="2">
        <v>10156.11</v>
      </c>
      <c r="N664" s="2" t="s">
        <v>58</v>
      </c>
      <c r="O664" s="2" t="s">
        <v>22</v>
      </c>
    </row>
    <row r="665" spans="1:15" x14ac:dyDescent="0.3">
      <c r="A665" s="2" t="s">
        <v>796</v>
      </c>
      <c r="B665" s="3">
        <v>45988</v>
      </c>
      <c r="C665" s="2" t="s">
        <v>16</v>
      </c>
      <c r="D665" s="2" t="s">
        <v>82</v>
      </c>
      <c r="E665" s="2" t="s">
        <v>74</v>
      </c>
      <c r="F665" s="2" t="s">
        <v>27</v>
      </c>
      <c r="G665" s="2" t="s">
        <v>28</v>
      </c>
      <c r="H665" s="2">
        <v>7</v>
      </c>
      <c r="I665" s="2">
        <v>30153.81</v>
      </c>
      <c r="J665" s="2">
        <v>0.03</v>
      </c>
      <c r="K665" s="2">
        <v>204744.37</v>
      </c>
      <c r="L665" s="2">
        <v>138030.35999999999</v>
      </c>
      <c r="M665" s="2">
        <v>66714.009999999995</v>
      </c>
      <c r="N665" s="2" t="s">
        <v>29</v>
      </c>
      <c r="O665" s="2" t="s">
        <v>45</v>
      </c>
    </row>
    <row r="666" spans="1:15" x14ac:dyDescent="0.3">
      <c r="A666" s="2" t="s">
        <v>797</v>
      </c>
      <c r="B666" s="3">
        <v>45954</v>
      </c>
      <c r="C666" s="2" t="s">
        <v>37</v>
      </c>
      <c r="D666" s="2" t="s">
        <v>68</v>
      </c>
      <c r="E666" s="2" t="s">
        <v>65</v>
      </c>
      <c r="F666" s="2" t="s">
        <v>27</v>
      </c>
      <c r="G666" s="2" t="s">
        <v>50</v>
      </c>
      <c r="H666" s="2">
        <v>4</v>
      </c>
      <c r="I666" s="2">
        <v>31609.17</v>
      </c>
      <c r="J666" s="2">
        <v>0.05</v>
      </c>
      <c r="K666" s="2">
        <v>120114.85</v>
      </c>
      <c r="L666" s="2">
        <v>98732.93</v>
      </c>
      <c r="M666" s="2">
        <v>21381.919999999998</v>
      </c>
      <c r="N666" s="2" t="s">
        <v>58</v>
      </c>
      <c r="O666" s="2" t="s">
        <v>45</v>
      </c>
    </row>
    <row r="667" spans="1:15" x14ac:dyDescent="0.3">
      <c r="A667" s="2" t="s">
        <v>798</v>
      </c>
      <c r="B667" s="3">
        <v>45983</v>
      </c>
      <c r="C667" s="2" t="s">
        <v>37</v>
      </c>
      <c r="D667" s="2" t="s">
        <v>68</v>
      </c>
      <c r="E667" s="2" t="s">
        <v>18</v>
      </c>
      <c r="F667" s="2" t="s">
        <v>27</v>
      </c>
      <c r="G667" s="2" t="s">
        <v>66</v>
      </c>
      <c r="H667" s="2">
        <v>5</v>
      </c>
      <c r="I667" s="2">
        <v>10227.969999999999</v>
      </c>
      <c r="J667" s="2">
        <v>0.08</v>
      </c>
      <c r="K667" s="2">
        <v>47048.639999999999</v>
      </c>
      <c r="L667" s="2">
        <v>36209.519999999997</v>
      </c>
      <c r="M667" s="2">
        <v>10839.12</v>
      </c>
      <c r="N667" s="2" t="s">
        <v>58</v>
      </c>
      <c r="O667" s="2" t="s">
        <v>45</v>
      </c>
    </row>
    <row r="668" spans="1:15" x14ac:dyDescent="0.3">
      <c r="A668" s="2" t="s">
        <v>799</v>
      </c>
      <c r="B668" s="3">
        <v>45796</v>
      </c>
      <c r="C668" s="2" t="s">
        <v>16</v>
      </c>
      <c r="D668" s="2" t="s">
        <v>52</v>
      </c>
      <c r="E668" s="2" t="s">
        <v>18</v>
      </c>
      <c r="F668" s="2" t="s">
        <v>27</v>
      </c>
      <c r="G668" s="2" t="s">
        <v>89</v>
      </c>
      <c r="H668" s="2">
        <v>7</v>
      </c>
      <c r="I668" s="2">
        <v>32880.519999999997</v>
      </c>
      <c r="J668" s="2">
        <v>0.03</v>
      </c>
      <c r="K668" s="2">
        <v>223258.72</v>
      </c>
      <c r="L668" s="2">
        <v>178264.19</v>
      </c>
      <c r="M668" s="2">
        <v>44994.53</v>
      </c>
      <c r="N668" s="2" t="s">
        <v>21</v>
      </c>
      <c r="O668" s="2" t="s">
        <v>45</v>
      </c>
    </row>
    <row r="669" spans="1:15" x14ac:dyDescent="0.3">
      <c r="A669" s="2" t="s">
        <v>800</v>
      </c>
      <c r="B669" s="3">
        <v>45966</v>
      </c>
      <c r="C669" s="2" t="s">
        <v>16</v>
      </c>
      <c r="D669" s="2" t="s">
        <v>17</v>
      </c>
      <c r="E669" s="2"/>
      <c r="F669" s="2" t="s">
        <v>34</v>
      </c>
      <c r="G669" s="2" t="s">
        <v>70</v>
      </c>
      <c r="H669" s="2">
        <v>6</v>
      </c>
      <c r="I669" s="2">
        <v>62766.2</v>
      </c>
      <c r="J669" s="2">
        <v>0.05</v>
      </c>
      <c r="K669" s="2">
        <v>357767.35</v>
      </c>
      <c r="L669" s="2">
        <v>221953.24</v>
      </c>
      <c r="M669" s="2">
        <v>135814.10999999999</v>
      </c>
      <c r="N669" s="2" t="s">
        <v>29</v>
      </c>
      <c r="O669" s="2" t="s">
        <v>45</v>
      </c>
    </row>
    <row r="670" spans="1:15" x14ac:dyDescent="0.3">
      <c r="A670" s="2" t="s">
        <v>801</v>
      </c>
      <c r="B670" s="3">
        <v>45746</v>
      </c>
      <c r="C670" s="2" t="s">
        <v>37</v>
      </c>
      <c r="D670" s="2" t="s">
        <v>38</v>
      </c>
      <c r="E670" s="2" t="s">
        <v>74</v>
      </c>
      <c r="F670" s="2" t="s">
        <v>34</v>
      </c>
      <c r="G670" s="2" t="s">
        <v>35</v>
      </c>
      <c r="H670" s="2">
        <v>6</v>
      </c>
      <c r="I670" s="2">
        <v>18567.400000000001</v>
      </c>
      <c r="J670" s="2">
        <v>0.05</v>
      </c>
      <c r="K670" s="2">
        <v>105834.17</v>
      </c>
      <c r="L670" s="2">
        <v>75433.41</v>
      </c>
      <c r="M670" s="2">
        <v>30400.76</v>
      </c>
      <c r="N670" s="2" t="s">
        <v>58</v>
      </c>
      <c r="O670" s="2" t="s">
        <v>40</v>
      </c>
    </row>
    <row r="671" spans="1:15" x14ac:dyDescent="0.3">
      <c r="A671" s="2" t="s">
        <v>802</v>
      </c>
      <c r="B671" s="3">
        <v>46010</v>
      </c>
      <c r="C671" s="2" t="s">
        <v>16</v>
      </c>
      <c r="D671" s="2" t="s">
        <v>82</v>
      </c>
      <c r="E671" s="2" t="s">
        <v>49</v>
      </c>
      <c r="F671" s="2" t="s">
        <v>19</v>
      </c>
      <c r="G671" s="2" t="s">
        <v>102</v>
      </c>
      <c r="H671" s="2">
        <v>5</v>
      </c>
      <c r="I671" s="2">
        <v>244.82</v>
      </c>
      <c r="J671" s="2">
        <v>0.05</v>
      </c>
      <c r="K671" s="2">
        <v>1162.8900000000001</v>
      </c>
      <c r="L671" s="2">
        <v>967.07</v>
      </c>
      <c r="M671" s="2">
        <v>195.82</v>
      </c>
      <c r="N671" s="2" t="s">
        <v>58</v>
      </c>
      <c r="O671" s="2" t="s">
        <v>40</v>
      </c>
    </row>
    <row r="672" spans="1:15" x14ac:dyDescent="0.3">
      <c r="A672" s="2" t="s">
        <v>803</v>
      </c>
      <c r="B672" s="3">
        <v>45991</v>
      </c>
      <c r="C672" s="2" t="s">
        <v>16</v>
      </c>
      <c r="D672" s="2" t="s">
        <v>52</v>
      </c>
      <c r="E672" s="2" t="s">
        <v>74</v>
      </c>
      <c r="F672" s="2" t="s">
        <v>34</v>
      </c>
      <c r="G672" s="2" t="s">
        <v>80</v>
      </c>
      <c r="H672" s="2">
        <v>1</v>
      </c>
      <c r="I672" s="2">
        <v>4346.63</v>
      </c>
      <c r="J672" s="2">
        <v>0.03</v>
      </c>
      <c r="K672" s="2">
        <v>4216.2299999999996</v>
      </c>
      <c r="L672" s="2">
        <v>2974.55</v>
      </c>
      <c r="M672" s="2">
        <v>1241.68</v>
      </c>
      <c r="N672" s="2" t="s">
        <v>21</v>
      </c>
      <c r="O672" s="2" t="s">
        <v>22</v>
      </c>
    </row>
    <row r="673" spans="1:15" x14ac:dyDescent="0.3">
      <c r="A673" s="2" t="s">
        <v>804</v>
      </c>
      <c r="B673" s="3">
        <v>45998</v>
      </c>
      <c r="C673" s="2" t="s">
        <v>54</v>
      </c>
      <c r="D673" s="2" t="s">
        <v>48</v>
      </c>
      <c r="E673" s="2" t="s">
        <v>69</v>
      </c>
      <c r="F673" s="2" t="s">
        <v>34</v>
      </c>
      <c r="G673" s="2" t="s">
        <v>35</v>
      </c>
      <c r="H673" s="2">
        <v>4</v>
      </c>
      <c r="I673" s="2">
        <v>18775.03</v>
      </c>
      <c r="J673" s="2">
        <v>0.1</v>
      </c>
      <c r="K673" s="2">
        <v>67590.11</v>
      </c>
      <c r="L673" s="2">
        <v>49146.47</v>
      </c>
      <c r="M673" s="2">
        <v>18443.64</v>
      </c>
      <c r="N673" s="2" t="s">
        <v>29</v>
      </c>
      <c r="O673" s="2" t="s">
        <v>40</v>
      </c>
    </row>
    <row r="674" spans="1:15" x14ac:dyDescent="0.3">
      <c r="A674" s="2" t="s">
        <v>805</v>
      </c>
      <c r="B674" s="3">
        <v>45680</v>
      </c>
      <c r="C674" s="2" t="s">
        <v>37</v>
      </c>
      <c r="D674" s="2" t="s">
        <v>68</v>
      </c>
      <c r="E674" s="2" t="s">
        <v>56</v>
      </c>
      <c r="F674" s="2" t="s">
        <v>43</v>
      </c>
      <c r="G674" s="2" t="s">
        <v>75</v>
      </c>
      <c r="H674" s="2">
        <v>3</v>
      </c>
      <c r="I674" s="2">
        <v>37835.1</v>
      </c>
      <c r="J674" s="2">
        <v>0.1</v>
      </c>
      <c r="K674" s="2">
        <v>102154.76</v>
      </c>
      <c r="L674" s="2">
        <v>82506.7</v>
      </c>
      <c r="M674" s="2">
        <v>19648.060000000001</v>
      </c>
      <c r="N674" s="2" t="s">
        <v>21</v>
      </c>
      <c r="O674" s="2" t="s">
        <v>30</v>
      </c>
    </row>
    <row r="675" spans="1:15" x14ac:dyDescent="0.3">
      <c r="A675" s="2" t="s">
        <v>806</v>
      </c>
      <c r="B675" s="3">
        <v>45873</v>
      </c>
      <c r="C675" s="2" t="s">
        <v>37</v>
      </c>
      <c r="D675" s="2" t="s">
        <v>25</v>
      </c>
      <c r="E675" s="2" t="s">
        <v>56</v>
      </c>
      <c r="F675" s="2" t="s">
        <v>34</v>
      </c>
      <c r="G675" s="2" t="s">
        <v>70</v>
      </c>
      <c r="H675" s="2">
        <v>8</v>
      </c>
      <c r="I675" s="2">
        <v>65937.78</v>
      </c>
      <c r="J675" s="2">
        <v>0.05</v>
      </c>
      <c r="K675" s="2">
        <v>501127.1</v>
      </c>
      <c r="L675" s="2">
        <v>334858.40000000002</v>
      </c>
      <c r="M675" s="2">
        <v>166268.70000000001</v>
      </c>
      <c r="N675" s="2" t="s">
        <v>21</v>
      </c>
      <c r="O675" s="2" t="s">
        <v>45</v>
      </c>
    </row>
    <row r="676" spans="1:15" x14ac:dyDescent="0.3">
      <c r="A676" s="2" t="s">
        <v>807</v>
      </c>
      <c r="B676" s="3">
        <v>45696</v>
      </c>
      <c r="C676" s="2" t="s">
        <v>63</v>
      </c>
      <c r="D676" s="2" t="s">
        <v>64</v>
      </c>
      <c r="E676" s="2" t="s">
        <v>33</v>
      </c>
      <c r="F676" s="2" t="s">
        <v>19</v>
      </c>
      <c r="G676" s="2" t="s">
        <v>102</v>
      </c>
      <c r="H676" s="2">
        <v>2</v>
      </c>
      <c r="I676" s="2">
        <v>262.31</v>
      </c>
      <c r="J676" s="2">
        <v>0.08</v>
      </c>
      <c r="K676" s="2">
        <v>482.66</v>
      </c>
      <c r="L676" s="2">
        <v>363.64</v>
      </c>
      <c r="M676" s="2">
        <v>119.02</v>
      </c>
      <c r="N676" s="2" t="s">
        <v>29</v>
      </c>
      <c r="O676" s="2" t="s">
        <v>40</v>
      </c>
    </row>
    <row r="677" spans="1:15" x14ac:dyDescent="0.3">
      <c r="A677" s="2" t="s">
        <v>808</v>
      </c>
      <c r="B677" s="3">
        <v>45923</v>
      </c>
      <c r="C677" s="2" t="s">
        <v>37</v>
      </c>
      <c r="D677" s="2" t="s">
        <v>68</v>
      </c>
      <c r="E677" s="2" t="s">
        <v>65</v>
      </c>
      <c r="F677" s="2" t="s">
        <v>43</v>
      </c>
      <c r="G677" s="2" t="s">
        <v>75</v>
      </c>
      <c r="H677" s="2">
        <v>8</v>
      </c>
      <c r="I677" s="2">
        <v>35066.870000000003</v>
      </c>
      <c r="J677" s="2">
        <v>0.1</v>
      </c>
      <c r="K677" s="2">
        <v>252481.49</v>
      </c>
      <c r="L677" s="2">
        <v>192130.53</v>
      </c>
      <c r="M677" s="2">
        <v>60350.96</v>
      </c>
      <c r="N677" s="2" t="s">
        <v>29</v>
      </c>
      <c r="O677" s="2" t="s">
        <v>22</v>
      </c>
    </row>
    <row r="678" spans="1:15" x14ac:dyDescent="0.3">
      <c r="A678" s="2" t="s">
        <v>809</v>
      </c>
      <c r="B678" s="3">
        <v>45714</v>
      </c>
      <c r="C678" s="2" t="s">
        <v>63</v>
      </c>
      <c r="D678" s="2" t="s">
        <v>117</v>
      </c>
      <c r="E678" s="2" t="s">
        <v>69</v>
      </c>
      <c r="F678" s="2" t="s">
        <v>34</v>
      </c>
      <c r="G678" s="2" t="s">
        <v>57</v>
      </c>
      <c r="H678" s="2">
        <v>7</v>
      </c>
      <c r="I678" s="2">
        <v>21166.04</v>
      </c>
      <c r="J678" s="2">
        <v>0.08</v>
      </c>
      <c r="K678" s="2">
        <v>136309.31</v>
      </c>
      <c r="L678" s="2">
        <v>90712.94</v>
      </c>
      <c r="M678" s="2">
        <v>45596.37</v>
      </c>
      <c r="N678" s="2" t="s">
        <v>58</v>
      </c>
      <c r="O678" s="2" t="s">
        <v>59</v>
      </c>
    </row>
    <row r="679" spans="1:15" x14ac:dyDescent="0.3">
      <c r="A679" s="2" t="s">
        <v>810</v>
      </c>
      <c r="B679" s="3">
        <v>45790</v>
      </c>
      <c r="C679" s="2" t="s">
        <v>16</v>
      </c>
      <c r="D679" s="2" t="s">
        <v>17</v>
      </c>
      <c r="E679" s="2" t="s">
        <v>26</v>
      </c>
      <c r="F679" s="2" t="s">
        <v>43</v>
      </c>
      <c r="G679" s="2" t="s">
        <v>91</v>
      </c>
      <c r="H679" s="2">
        <v>2</v>
      </c>
      <c r="I679" s="2">
        <v>48162.61</v>
      </c>
      <c r="J679" s="2">
        <v>0</v>
      </c>
      <c r="K679" s="2">
        <v>96325.23</v>
      </c>
      <c r="L679" s="2">
        <v>61237.7</v>
      </c>
      <c r="M679" s="2">
        <v>35087.53</v>
      </c>
      <c r="N679" s="2" t="s">
        <v>21</v>
      </c>
      <c r="O679" s="2" t="s">
        <v>59</v>
      </c>
    </row>
    <row r="680" spans="1:15" x14ac:dyDescent="0.3">
      <c r="A680" s="2" t="s">
        <v>811</v>
      </c>
      <c r="B680" s="3">
        <v>45739</v>
      </c>
      <c r="C680" s="2" t="s">
        <v>16</v>
      </c>
      <c r="D680" s="2" t="s">
        <v>32</v>
      </c>
      <c r="E680" s="2" t="s">
        <v>33</v>
      </c>
      <c r="F680" s="2" t="s">
        <v>43</v>
      </c>
      <c r="G680" s="2" t="s">
        <v>121</v>
      </c>
      <c r="H680" s="2">
        <v>7</v>
      </c>
      <c r="I680" s="2">
        <v>4844.6000000000004</v>
      </c>
      <c r="J680" s="2">
        <v>0</v>
      </c>
      <c r="K680" s="2">
        <v>33912.230000000003</v>
      </c>
      <c r="L680" s="2">
        <v>28616.28</v>
      </c>
      <c r="M680" s="2">
        <v>5295.95</v>
      </c>
      <c r="N680" s="2" t="s">
        <v>58</v>
      </c>
      <c r="O680" s="2" t="s">
        <v>30</v>
      </c>
    </row>
    <row r="681" spans="1:15" x14ac:dyDescent="0.3">
      <c r="A681" s="2" t="s">
        <v>812</v>
      </c>
      <c r="B681" s="3">
        <v>45683</v>
      </c>
      <c r="C681" s="2" t="s">
        <v>63</v>
      </c>
      <c r="D681" s="2" t="s">
        <v>88</v>
      </c>
      <c r="E681" s="2" t="s">
        <v>65</v>
      </c>
      <c r="F681" s="2" t="s">
        <v>34</v>
      </c>
      <c r="G681" s="2" t="s">
        <v>35</v>
      </c>
      <c r="H681" s="2">
        <v>7</v>
      </c>
      <c r="I681" s="2">
        <v>18205.439999999999</v>
      </c>
      <c r="J681" s="2">
        <v>0.08</v>
      </c>
      <c r="K681" s="2">
        <v>117243.03</v>
      </c>
      <c r="L681" s="2">
        <v>87411.47</v>
      </c>
      <c r="M681" s="2">
        <v>29831.56</v>
      </c>
      <c r="N681" s="2" t="s">
        <v>21</v>
      </c>
      <c r="O681" s="2" t="s">
        <v>30</v>
      </c>
    </row>
    <row r="682" spans="1:15" x14ac:dyDescent="0.3">
      <c r="A682" s="2" t="s">
        <v>813</v>
      </c>
      <c r="B682" s="3">
        <v>45795</v>
      </c>
      <c r="C682" s="2" t="s">
        <v>37</v>
      </c>
      <c r="D682" s="2" t="s">
        <v>38</v>
      </c>
      <c r="E682" s="2" t="s">
        <v>69</v>
      </c>
      <c r="F682" s="2" t="s">
        <v>34</v>
      </c>
      <c r="G682" s="2" t="s">
        <v>80</v>
      </c>
      <c r="H682" s="2">
        <v>1</v>
      </c>
      <c r="I682" s="2">
        <v>4151.6099999999997</v>
      </c>
      <c r="J682" s="2">
        <v>0.05</v>
      </c>
      <c r="K682" s="2">
        <v>3944.03</v>
      </c>
      <c r="L682" s="2">
        <v>2778.22</v>
      </c>
      <c r="M682" s="2">
        <v>1165.81</v>
      </c>
      <c r="N682" s="2" t="s">
        <v>58</v>
      </c>
      <c r="O682" s="2" t="s">
        <v>40</v>
      </c>
    </row>
    <row r="683" spans="1:15" x14ac:dyDescent="0.3">
      <c r="A683" s="2" t="s">
        <v>814</v>
      </c>
      <c r="B683" s="3">
        <v>45994</v>
      </c>
      <c r="C683" s="2" t="s">
        <v>63</v>
      </c>
      <c r="D683" s="2" t="s">
        <v>117</v>
      </c>
      <c r="E683" s="2" t="s">
        <v>26</v>
      </c>
      <c r="F683" s="2" t="s">
        <v>740</v>
      </c>
      <c r="G683" s="2" t="s">
        <v>75</v>
      </c>
      <c r="H683" s="2">
        <v>3</v>
      </c>
      <c r="I683" s="2">
        <v>35187.08</v>
      </c>
      <c r="J683" s="2">
        <v>0.08</v>
      </c>
      <c r="K683" s="2">
        <v>97116.35</v>
      </c>
      <c r="L683" s="2">
        <v>69127.06</v>
      </c>
      <c r="M683" s="2">
        <v>27989.29</v>
      </c>
      <c r="N683" s="2" t="s">
        <v>29</v>
      </c>
      <c r="O683" s="2" t="s">
        <v>40</v>
      </c>
    </row>
    <row r="684" spans="1:15" x14ac:dyDescent="0.3">
      <c r="A684" s="2" t="s">
        <v>815</v>
      </c>
      <c r="B684" s="3">
        <v>45702</v>
      </c>
      <c r="C684" s="2" t="s">
        <v>37</v>
      </c>
      <c r="D684" s="2" t="s">
        <v>25</v>
      </c>
      <c r="E684" s="2" t="s">
        <v>33</v>
      </c>
      <c r="F684" s="2" t="s">
        <v>27</v>
      </c>
      <c r="G684" s="2" t="s">
        <v>89</v>
      </c>
      <c r="H684" s="2">
        <v>1</v>
      </c>
      <c r="I684" s="2">
        <v>30807.89</v>
      </c>
      <c r="J684" s="2">
        <v>0.03</v>
      </c>
      <c r="K684" s="2">
        <v>29883.65</v>
      </c>
      <c r="L684" s="2">
        <v>20158.23</v>
      </c>
      <c r="M684" s="2">
        <v>9725.42</v>
      </c>
      <c r="N684" s="2" t="s">
        <v>21</v>
      </c>
      <c r="O684" s="2" t="s">
        <v>30</v>
      </c>
    </row>
    <row r="685" spans="1:15" x14ac:dyDescent="0.3">
      <c r="A685" s="2" t="s">
        <v>816</v>
      </c>
      <c r="B685" s="3">
        <v>45929</v>
      </c>
      <c r="C685" s="2" t="s">
        <v>16</v>
      </c>
      <c r="D685" s="2" t="s">
        <v>52</v>
      </c>
      <c r="E685" s="2" t="s">
        <v>49</v>
      </c>
      <c r="F685" s="2" t="s">
        <v>34</v>
      </c>
      <c r="G685" s="2" t="s">
        <v>70</v>
      </c>
      <c r="H685" s="2">
        <v>6</v>
      </c>
      <c r="I685" s="2">
        <v>60729.13</v>
      </c>
      <c r="J685" s="2">
        <v>0.05</v>
      </c>
      <c r="K685" s="2">
        <v>346156.07</v>
      </c>
      <c r="L685" s="2">
        <v>233785.61</v>
      </c>
      <c r="M685" s="2">
        <v>112370.46</v>
      </c>
      <c r="N685" s="2" t="s">
        <v>58</v>
      </c>
      <c r="O685" s="2" t="s">
        <v>45</v>
      </c>
    </row>
    <row r="686" spans="1:15" x14ac:dyDescent="0.3">
      <c r="A686" s="2" t="s">
        <v>817</v>
      </c>
      <c r="B686" s="3">
        <v>45943</v>
      </c>
      <c r="C686" s="2" t="s">
        <v>54</v>
      </c>
      <c r="D686" s="2" t="s">
        <v>48</v>
      </c>
      <c r="E686" s="2" t="s">
        <v>65</v>
      </c>
      <c r="F686" s="2" t="s">
        <v>34</v>
      </c>
      <c r="G686" s="2" t="s">
        <v>39</v>
      </c>
      <c r="H686" s="2">
        <v>6</v>
      </c>
      <c r="I686" s="2">
        <v>29219.32</v>
      </c>
      <c r="J686" s="2">
        <v>0</v>
      </c>
      <c r="K686" s="2">
        <v>175315.94</v>
      </c>
      <c r="L686" s="2">
        <v>149153.63</v>
      </c>
      <c r="M686" s="2">
        <v>26162.31</v>
      </c>
      <c r="N686" s="2" t="s">
        <v>29</v>
      </c>
      <c r="O686" s="2" t="s">
        <v>40</v>
      </c>
    </row>
    <row r="687" spans="1:15" x14ac:dyDescent="0.3">
      <c r="A687" s="2" t="s">
        <v>818</v>
      </c>
      <c r="B687" s="3">
        <v>46001</v>
      </c>
      <c r="C687" s="2" t="s">
        <v>37</v>
      </c>
      <c r="D687" s="2" t="s">
        <v>68</v>
      </c>
      <c r="E687" s="2" t="s">
        <v>33</v>
      </c>
      <c r="F687" s="2" t="s">
        <v>34</v>
      </c>
      <c r="G687" s="2" t="s">
        <v>35</v>
      </c>
      <c r="H687" s="2">
        <v>5</v>
      </c>
      <c r="I687" s="2">
        <v>18181.91</v>
      </c>
      <c r="J687" s="2">
        <v>0.1</v>
      </c>
      <c r="K687" s="2">
        <v>81818.61</v>
      </c>
      <c r="L687" s="2">
        <v>50802.75</v>
      </c>
      <c r="M687" s="2">
        <v>31015.86</v>
      </c>
      <c r="N687" s="2" t="s">
        <v>58</v>
      </c>
      <c r="O687" s="2" t="s">
        <v>30</v>
      </c>
    </row>
    <row r="688" spans="1:15" x14ac:dyDescent="0.3">
      <c r="A688" s="2" t="s">
        <v>819</v>
      </c>
      <c r="B688" s="3">
        <v>45928</v>
      </c>
      <c r="C688" s="2" t="s">
        <v>63</v>
      </c>
      <c r="D688" s="2" t="s">
        <v>95</v>
      </c>
      <c r="E688" s="2" t="s">
        <v>49</v>
      </c>
      <c r="F688" s="2" t="s">
        <v>19</v>
      </c>
      <c r="G688" s="2" t="s">
        <v>20</v>
      </c>
      <c r="H688" s="2">
        <v>2</v>
      </c>
      <c r="I688" s="2">
        <v>755.39</v>
      </c>
      <c r="J688" s="2">
        <v>0.08</v>
      </c>
      <c r="K688" s="2">
        <v>1389.92</v>
      </c>
      <c r="L688" s="2">
        <v>886.46</v>
      </c>
      <c r="M688" s="2">
        <v>503.46</v>
      </c>
      <c r="N688" s="2" t="s">
        <v>58</v>
      </c>
      <c r="O688" s="2" t="s">
        <v>45</v>
      </c>
    </row>
    <row r="689" spans="1:15" x14ac:dyDescent="0.3">
      <c r="A689" s="2" t="s">
        <v>820</v>
      </c>
      <c r="B689" s="3">
        <v>45666</v>
      </c>
      <c r="C689" s="2" t="s">
        <v>601</v>
      </c>
      <c r="D689" s="2" t="s">
        <v>52</v>
      </c>
      <c r="E689" s="2" t="s">
        <v>26</v>
      </c>
      <c r="F689" s="2" t="s">
        <v>34</v>
      </c>
      <c r="G689" s="2" t="s">
        <v>35</v>
      </c>
      <c r="H689" s="2">
        <v>1</v>
      </c>
      <c r="I689" s="2">
        <v>17065.669999999998</v>
      </c>
      <c r="J689" s="2">
        <v>0.03</v>
      </c>
      <c r="K689" s="2">
        <v>16553.7</v>
      </c>
      <c r="L689" s="2">
        <v>13899.15</v>
      </c>
      <c r="M689" s="2">
        <v>2654.55</v>
      </c>
      <c r="N689" s="2" t="s">
        <v>21</v>
      </c>
      <c r="O689" s="2" t="s">
        <v>30</v>
      </c>
    </row>
    <row r="690" spans="1:15" x14ac:dyDescent="0.3">
      <c r="A690" s="2" t="s">
        <v>821</v>
      </c>
      <c r="B690" s="3">
        <v>45902</v>
      </c>
      <c r="C690" s="2" t="s">
        <v>63</v>
      </c>
      <c r="D690" s="2" t="s">
        <v>88</v>
      </c>
      <c r="E690" s="2" t="s">
        <v>74</v>
      </c>
      <c r="F690" s="2" t="s">
        <v>34</v>
      </c>
      <c r="G690" s="2" t="s">
        <v>39</v>
      </c>
      <c r="H690" s="2">
        <v>1</v>
      </c>
      <c r="I690" s="2">
        <v>30211.34</v>
      </c>
      <c r="J690" s="2">
        <v>0.05</v>
      </c>
      <c r="K690" s="2">
        <v>28700.78</v>
      </c>
      <c r="L690" s="2">
        <v>21377.14</v>
      </c>
      <c r="M690" s="2">
        <v>7323.64</v>
      </c>
      <c r="N690" s="2" t="s">
        <v>58</v>
      </c>
      <c r="O690" s="2" t="s">
        <v>59</v>
      </c>
    </row>
    <row r="691" spans="1:15" x14ac:dyDescent="0.3">
      <c r="A691" s="2" t="s">
        <v>822</v>
      </c>
      <c r="B691" s="3">
        <v>45784</v>
      </c>
      <c r="C691" s="2" t="s">
        <v>16</v>
      </c>
      <c r="D691" s="2" t="s">
        <v>17</v>
      </c>
      <c r="E691" s="2" t="s">
        <v>49</v>
      </c>
      <c r="F691" s="2" t="s">
        <v>19</v>
      </c>
      <c r="G691" s="2" t="s">
        <v>102</v>
      </c>
      <c r="H691" s="2">
        <v>8</v>
      </c>
      <c r="I691" s="2">
        <v>262.27</v>
      </c>
      <c r="J691" s="2">
        <v>0.03</v>
      </c>
      <c r="K691" s="2">
        <v>2035.22</v>
      </c>
      <c r="L691" s="2">
        <v>1269.17</v>
      </c>
      <c r="M691" s="2">
        <v>766.05</v>
      </c>
      <c r="N691" s="2" t="s">
        <v>58</v>
      </c>
      <c r="O691" s="2" t="s">
        <v>59</v>
      </c>
    </row>
    <row r="692" spans="1:15" x14ac:dyDescent="0.3">
      <c r="A692" s="2" t="s">
        <v>823</v>
      </c>
      <c r="B692" s="3">
        <v>45767</v>
      </c>
      <c r="C692" s="2" t="s">
        <v>37</v>
      </c>
      <c r="D692" s="2" t="s">
        <v>68</v>
      </c>
      <c r="E692" s="2" t="s">
        <v>18</v>
      </c>
      <c r="F692" s="2" t="s">
        <v>43</v>
      </c>
      <c r="G692" s="2" t="s">
        <v>91</v>
      </c>
      <c r="H692" s="2">
        <v>4</v>
      </c>
      <c r="I692" s="2">
        <v>49760.57</v>
      </c>
      <c r="J692" s="2">
        <v>0.1</v>
      </c>
      <c r="K692" s="2">
        <v>179138.03</v>
      </c>
      <c r="L692" s="2">
        <v>151424.06</v>
      </c>
      <c r="M692" s="2">
        <v>27713.97</v>
      </c>
      <c r="N692" s="2" t="s">
        <v>58</v>
      </c>
      <c r="O692" s="2" t="s">
        <v>59</v>
      </c>
    </row>
    <row r="693" spans="1:15" x14ac:dyDescent="0.3">
      <c r="A693" s="2" t="s">
        <v>119</v>
      </c>
      <c r="B693" s="3">
        <v>45733</v>
      </c>
      <c r="C693" s="2" t="s">
        <v>16</v>
      </c>
      <c r="D693" s="2" t="s">
        <v>82</v>
      </c>
      <c r="E693" s="2" t="s">
        <v>56</v>
      </c>
      <c r="F693" s="2" t="s">
        <v>34</v>
      </c>
      <c r="G693" s="2" t="s">
        <v>57</v>
      </c>
      <c r="H693" s="2">
        <v>3</v>
      </c>
      <c r="I693" s="2">
        <v>21609.99</v>
      </c>
      <c r="J693" s="2">
        <v>0</v>
      </c>
      <c r="K693" s="2" t="s">
        <v>824</v>
      </c>
      <c r="L693" s="2">
        <v>54281.59</v>
      </c>
      <c r="M693" s="2">
        <v>10548.38</v>
      </c>
      <c r="N693" s="2" t="s">
        <v>21</v>
      </c>
      <c r="O693" s="2" t="s">
        <v>40</v>
      </c>
    </row>
    <row r="694" spans="1:15" x14ac:dyDescent="0.3">
      <c r="A694" s="2" t="s">
        <v>825</v>
      </c>
      <c r="B694" s="3">
        <v>45738</v>
      </c>
      <c r="C694" s="2" t="s">
        <v>37</v>
      </c>
      <c r="D694" s="2" t="s">
        <v>25</v>
      </c>
      <c r="E694" s="2" t="s">
        <v>65</v>
      </c>
      <c r="F694" s="2" t="s">
        <v>43</v>
      </c>
      <c r="G694" s="2" t="s">
        <v>91</v>
      </c>
      <c r="H694" s="2">
        <v>2</v>
      </c>
      <c r="I694" s="2">
        <v>46964.95</v>
      </c>
      <c r="J694" s="2">
        <v>0.05</v>
      </c>
      <c r="K694" s="2">
        <v>89233.41</v>
      </c>
      <c r="L694" s="2">
        <v>72209.09</v>
      </c>
      <c r="M694" s="2">
        <v>17024.32</v>
      </c>
      <c r="N694" s="2" t="s">
        <v>58</v>
      </c>
      <c r="O694" s="2" t="s">
        <v>59</v>
      </c>
    </row>
    <row r="695" spans="1:15" x14ac:dyDescent="0.3">
      <c r="A695" s="2" t="s">
        <v>826</v>
      </c>
      <c r="B695" s="3">
        <v>45789</v>
      </c>
      <c r="C695" s="2" t="s">
        <v>54</v>
      </c>
      <c r="D695" s="2" t="s">
        <v>124</v>
      </c>
      <c r="E695" s="2" t="s">
        <v>69</v>
      </c>
      <c r="F695" s="2" t="s">
        <v>34</v>
      </c>
      <c r="G695" s="2" t="s">
        <v>70</v>
      </c>
      <c r="H695" s="2">
        <v>3</v>
      </c>
      <c r="I695" s="2">
        <v>68073.66</v>
      </c>
      <c r="J695" s="2">
        <v>0.05</v>
      </c>
      <c r="K695" s="2">
        <v>194009.94</v>
      </c>
      <c r="L695" s="2">
        <v>126380.3</v>
      </c>
      <c r="M695" s="2">
        <v>67629.64</v>
      </c>
      <c r="N695" s="2" t="s">
        <v>29</v>
      </c>
      <c r="O695" s="2" t="s">
        <v>59</v>
      </c>
    </row>
    <row r="696" spans="1:15" x14ac:dyDescent="0.3">
      <c r="A696" s="2" t="s">
        <v>827</v>
      </c>
      <c r="B696" s="3">
        <v>45787</v>
      </c>
      <c r="C696" s="2" t="s">
        <v>54</v>
      </c>
      <c r="D696" s="2" t="s">
        <v>124</v>
      </c>
      <c r="E696" s="2" t="s">
        <v>74</v>
      </c>
      <c r="F696" s="2" t="s">
        <v>43</v>
      </c>
      <c r="G696" s="2" t="s">
        <v>75</v>
      </c>
      <c r="H696" s="2">
        <v>2</v>
      </c>
      <c r="I696" s="2">
        <v>38737.410000000003</v>
      </c>
      <c r="J696" s="2">
        <v>0.15</v>
      </c>
      <c r="K696" s="2">
        <v>65853.59</v>
      </c>
      <c r="L696" s="2">
        <v>44231.519999999997</v>
      </c>
      <c r="M696" s="2">
        <v>21622.07</v>
      </c>
      <c r="N696" s="2" t="s">
        <v>21</v>
      </c>
      <c r="O696" s="2" t="s">
        <v>59</v>
      </c>
    </row>
    <row r="697" spans="1:15" x14ac:dyDescent="0.3">
      <c r="A697" s="2" t="s">
        <v>828</v>
      </c>
      <c r="B697" s="3">
        <v>45982</v>
      </c>
      <c r="C697" s="2" t="s">
        <v>37</v>
      </c>
      <c r="D697" s="2" t="s">
        <v>68</v>
      </c>
      <c r="E697" s="2" t="s">
        <v>65</v>
      </c>
      <c r="F697" s="2" t="s">
        <v>34</v>
      </c>
      <c r="G697" s="2" t="s">
        <v>39</v>
      </c>
      <c r="H697" s="2">
        <v>5</v>
      </c>
      <c r="I697" s="2">
        <v>29460.6</v>
      </c>
      <c r="J697" s="2">
        <v>0.03</v>
      </c>
      <c r="K697" s="2">
        <v>142883.9</v>
      </c>
      <c r="L697" s="2">
        <v>120656.6</v>
      </c>
      <c r="M697" s="2">
        <v>22227.3</v>
      </c>
      <c r="N697" s="2" t="s">
        <v>21</v>
      </c>
      <c r="O697" s="2" t="s">
        <v>22</v>
      </c>
    </row>
    <row r="698" spans="1:15" x14ac:dyDescent="0.3">
      <c r="A698" s="2" t="s">
        <v>829</v>
      </c>
      <c r="B698" s="3">
        <v>45772</v>
      </c>
      <c r="C698" s="2" t="s">
        <v>63</v>
      </c>
      <c r="D698" s="2" t="s">
        <v>64</v>
      </c>
      <c r="E698" s="2" t="s">
        <v>49</v>
      </c>
      <c r="F698" s="2" t="s">
        <v>43</v>
      </c>
      <c r="G698" s="2" t="s">
        <v>75</v>
      </c>
      <c r="H698" s="2">
        <v>1</v>
      </c>
      <c r="I698" s="2">
        <v>37262.589999999997</v>
      </c>
      <c r="J698" s="2">
        <v>0.08</v>
      </c>
      <c r="K698" s="2">
        <v>34281.58</v>
      </c>
      <c r="L698" s="2">
        <v>25487.279999999999</v>
      </c>
      <c r="M698" s="2">
        <v>8794.2999999999993</v>
      </c>
      <c r="N698" s="2" t="s">
        <v>58</v>
      </c>
      <c r="O698" s="2" t="s">
        <v>40</v>
      </c>
    </row>
    <row r="699" spans="1:15" x14ac:dyDescent="0.3">
      <c r="A699" s="2" t="s">
        <v>830</v>
      </c>
      <c r="B699" s="3">
        <v>45988</v>
      </c>
      <c r="C699" s="2" t="s">
        <v>16</v>
      </c>
      <c r="D699" s="2" t="s">
        <v>52</v>
      </c>
      <c r="E699" s="2"/>
      <c r="F699" s="2" t="s">
        <v>27</v>
      </c>
      <c r="G699" s="2" t="s">
        <v>89</v>
      </c>
      <c r="H699" s="2">
        <v>3</v>
      </c>
      <c r="I699" s="2">
        <v>33440.21</v>
      </c>
      <c r="J699" s="2">
        <v>0</v>
      </c>
      <c r="K699" s="2">
        <v>100320.62</v>
      </c>
      <c r="L699" s="2">
        <v>70072.11</v>
      </c>
      <c r="M699" s="2">
        <v>30248.51</v>
      </c>
      <c r="N699" s="2" t="s">
        <v>58</v>
      </c>
      <c r="O699" s="2" t="s">
        <v>30</v>
      </c>
    </row>
    <row r="700" spans="1:15" x14ac:dyDescent="0.3">
      <c r="A700" s="2" t="s">
        <v>831</v>
      </c>
      <c r="B700" s="3">
        <v>45704</v>
      </c>
      <c r="C700" s="2" t="s">
        <v>54</v>
      </c>
      <c r="D700" s="2" t="s">
        <v>55</v>
      </c>
      <c r="E700" s="2" t="s">
        <v>18</v>
      </c>
      <c r="F700" s="2" t="s">
        <v>34</v>
      </c>
      <c r="G700" s="2" t="s">
        <v>70</v>
      </c>
      <c r="H700" s="2">
        <v>3</v>
      </c>
      <c r="I700" s="2">
        <v>68271.48</v>
      </c>
      <c r="J700" s="2">
        <v>0.03</v>
      </c>
      <c r="K700" s="2">
        <v>198670</v>
      </c>
      <c r="L700" s="2">
        <v>132741.70000000001</v>
      </c>
      <c r="M700" s="2">
        <v>65928.3</v>
      </c>
      <c r="N700" s="2" t="s">
        <v>21</v>
      </c>
      <c r="O700" s="2" t="s">
        <v>59</v>
      </c>
    </row>
    <row r="701" spans="1:15" x14ac:dyDescent="0.3">
      <c r="A701" s="2" t="s">
        <v>832</v>
      </c>
      <c r="B701" s="3">
        <v>45972</v>
      </c>
      <c r="C701" s="2" t="s">
        <v>16</v>
      </c>
      <c r="D701" s="2" t="s">
        <v>17</v>
      </c>
      <c r="E701" s="2" t="s">
        <v>49</v>
      </c>
      <c r="F701" s="2" t="s">
        <v>34</v>
      </c>
      <c r="G701" s="2" t="s">
        <v>70</v>
      </c>
      <c r="H701" s="2">
        <v>5</v>
      </c>
      <c r="I701" s="2">
        <v>67421.52</v>
      </c>
      <c r="J701" s="2">
        <v>0.05</v>
      </c>
      <c r="K701" s="2">
        <v>320252.21000000002</v>
      </c>
      <c r="L701" s="2">
        <v>223813.07</v>
      </c>
      <c r="M701" s="2">
        <v>96439.14</v>
      </c>
      <c r="N701" s="2" t="s">
        <v>29</v>
      </c>
      <c r="O701" s="2" t="s">
        <v>59</v>
      </c>
    </row>
    <row r="702" spans="1:15" x14ac:dyDescent="0.3">
      <c r="A702" s="2" t="s">
        <v>833</v>
      </c>
      <c r="B702" s="3">
        <v>45795</v>
      </c>
      <c r="C702" s="2" t="s">
        <v>37</v>
      </c>
      <c r="D702" s="2" t="s">
        <v>25</v>
      </c>
      <c r="E702" s="2" t="s">
        <v>26</v>
      </c>
      <c r="F702" s="2" t="s">
        <v>19</v>
      </c>
      <c r="G702" s="2" t="s">
        <v>20</v>
      </c>
      <c r="H702" s="2">
        <v>1</v>
      </c>
      <c r="I702" s="2">
        <v>645.1</v>
      </c>
      <c r="J702" s="2">
        <v>0</v>
      </c>
      <c r="K702" s="2">
        <v>645.1</v>
      </c>
      <c r="L702" s="2">
        <v>482.9</v>
      </c>
      <c r="M702" s="2">
        <v>162.19999999999999</v>
      </c>
      <c r="N702" s="2" t="s">
        <v>21</v>
      </c>
      <c r="O702" s="2" t="s">
        <v>40</v>
      </c>
    </row>
    <row r="703" spans="1:15" x14ac:dyDescent="0.3">
      <c r="A703" s="2" t="s">
        <v>834</v>
      </c>
      <c r="B703" s="3">
        <v>45967</v>
      </c>
      <c r="C703" s="2" t="s">
        <v>16</v>
      </c>
      <c r="D703" s="2" t="s">
        <v>82</v>
      </c>
      <c r="E703" s="2" t="s">
        <v>69</v>
      </c>
      <c r="F703" s="2" t="s">
        <v>43</v>
      </c>
      <c r="G703" s="2" t="s">
        <v>121</v>
      </c>
      <c r="H703" s="2">
        <v>1</v>
      </c>
      <c r="I703" s="2">
        <v>5320.61</v>
      </c>
      <c r="J703" s="2">
        <v>0.1</v>
      </c>
      <c r="K703" s="2" t="s">
        <v>835</v>
      </c>
      <c r="L703" s="2">
        <v>3409.72</v>
      </c>
      <c r="M703" s="2">
        <v>1378.83</v>
      </c>
      <c r="N703" s="2" t="s">
        <v>21</v>
      </c>
      <c r="O703" s="2" t="s">
        <v>59</v>
      </c>
    </row>
    <row r="704" spans="1:15" x14ac:dyDescent="0.3">
      <c r="A704" s="2" t="s">
        <v>836</v>
      </c>
      <c r="B704" s="3">
        <v>45893</v>
      </c>
      <c r="C704" s="2" t="s">
        <v>54</v>
      </c>
      <c r="D704" s="2" t="s">
        <v>48</v>
      </c>
      <c r="E704" s="2" t="s">
        <v>74</v>
      </c>
      <c r="F704" s="2" t="s">
        <v>43</v>
      </c>
      <c r="G704" s="2" t="s">
        <v>121</v>
      </c>
      <c r="H704" s="2">
        <v>3</v>
      </c>
      <c r="I704" s="2">
        <v>5287.07</v>
      </c>
      <c r="J704" s="2">
        <v>0.08</v>
      </c>
      <c r="K704" s="2">
        <v>14592.32</v>
      </c>
      <c r="L704" s="2">
        <v>11718.85</v>
      </c>
      <c r="M704" s="2">
        <v>2873.47</v>
      </c>
      <c r="N704" s="2" t="s">
        <v>21</v>
      </c>
      <c r="O704" s="2" t="s">
        <v>30</v>
      </c>
    </row>
    <row r="705" spans="1:15" x14ac:dyDescent="0.3">
      <c r="A705" s="2" t="s">
        <v>837</v>
      </c>
      <c r="B705" s="3">
        <v>45832</v>
      </c>
      <c r="C705" s="2" t="s">
        <v>37</v>
      </c>
      <c r="D705" s="2" t="s">
        <v>25</v>
      </c>
      <c r="E705" s="2" t="s">
        <v>69</v>
      </c>
      <c r="F705" s="2" t="s">
        <v>43</v>
      </c>
      <c r="G705" s="2" t="s">
        <v>121</v>
      </c>
      <c r="H705" s="2">
        <v>4</v>
      </c>
      <c r="I705" s="2">
        <v>5382.28</v>
      </c>
      <c r="J705" s="2">
        <v>0.03</v>
      </c>
      <c r="K705" s="2">
        <v>20883.259999999998</v>
      </c>
      <c r="L705" s="2">
        <v>14027</v>
      </c>
      <c r="M705" s="2">
        <v>6856.26</v>
      </c>
      <c r="N705" s="2" t="s">
        <v>21</v>
      </c>
      <c r="O705" s="2" t="s">
        <v>40</v>
      </c>
    </row>
    <row r="706" spans="1:15" x14ac:dyDescent="0.3">
      <c r="A706" s="2" t="s">
        <v>838</v>
      </c>
      <c r="B706" s="3">
        <v>45981</v>
      </c>
      <c r="C706" s="2" t="s">
        <v>16</v>
      </c>
      <c r="D706" s="2" t="s">
        <v>32</v>
      </c>
      <c r="E706" s="2" t="s">
        <v>49</v>
      </c>
      <c r="F706" s="2" t="s">
        <v>43</v>
      </c>
      <c r="G706" s="2" t="s">
        <v>91</v>
      </c>
      <c r="H706" s="2">
        <v>8</v>
      </c>
      <c r="I706" s="2">
        <v>44532.21</v>
      </c>
      <c r="J706" s="2">
        <v>0.03</v>
      </c>
      <c r="K706" s="2">
        <v>345569.91</v>
      </c>
      <c r="L706" s="2">
        <v>261186.32</v>
      </c>
      <c r="M706" s="2">
        <v>84383.59</v>
      </c>
      <c r="N706" s="2" t="s">
        <v>29</v>
      </c>
      <c r="O706" s="2" t="s">
        <v>45</v>
      </c>
    </row>
    <row r="707" spans="1:15" x14ac:dyDescent="0.3">
      <c r="A707" s="2" t="s">
        <v>839</v>
      </c>
      <c r="B707" s="3">
        <v>45745</v>
      </c>
      <c r="C707" s="2" t="s">
        <v>16</v>
      </c>
      <c r="D707" s="2" t="s">
        <v>82</v>
      </c>
      <c r="E707" s="2" t="s">
        <v>56</v>
      </c>
      <c r="F707" s="2" t="s">
        <v>19</v>
      </c>
      <c r="G707" s="2" t="s">
        <v>61</v>
      </c>
      <c r="H707" s="2">
        <v>6</v>
      </c>
      <c r="I707" s="2">
        <v>9221.8700000000008</v>
      </c>
      <c r="J707" s="2">
        <v>0.05</v>
      </c>
      <c r="K707" s="2">
        <v>52564.67</v>
      </c>
      <c r="L707" s="2">
        <v>34595.01</v>
      </c>
      <c r="M707" s="2">
        <v>17969.66</v>
      </c>
      <c r="N707" s="2" t="s">
        <v>58</v>
      </c>
      <c r="O707" s="2" t="s">
        <v>45</v>
      </c>
    </row>
    <row r="708" spans="1:15" x14ac:dyDescent="0.3">
      <c r="A708" s="2" t="s">
        <v>840</v>
      </c>
      <c r="B708" s="3">
        <v>45800</v>
      </c>
      <c r="C708" s="2" t="s">
        <v>37</v>
      </c>
      <c r="D708" s="2" t="s">
        <v>42</v>
      </c>
      <c r="E708" s="2" t="s">
        <v>65</v>
      </c>
      <c r="F708" s="2" t="s">
        <v>43</v>
      </c>
      <c r="G708" s="2" t="s">
        <v>121</v>
      </c>
      <c r="H708" s="2">
        <v>2</v>
      </c>
      <c r="I708" s="2">
        <v>5074.3900000000003</v>
      </c>
      <c r="J708" s="2">
        <v>0.05</v>
      </c>
      <c r="K708" s="2">
        <v>9641.33</v>
      </c>
      <c r="L708" s="2">
        <v>5988.53</v>
      </c>
      <c r="M708" s="2">
        <v>3652.8</v>
      </c>
      <c r="N708" s="2" t="s">
        <v>29</v>
      </c>
      <c r="O708" s="2" t="s">
        <v>30</v>
      </c>
    </row>
    <row r="709" spans="1:15" x14ac:dyDescent="0.3">
      <c r="A709" s="2" t="s">
        <v>841</v>
      </c>
      <c r="B709" s="3">
        <v>45925</v>
      </c>
      <c r="C709" s="2" t="s">
        <v>54</v>
      </c>
      <c r="D709" s="2" t="s">
        <v>48</v>
      </c>
      <c r="E709" s="2" t="s">
        <v>65</v>
      </c>
      <c r="F709" s="2" t="s">
        <v>19</v>
      </c>
      <c r="G709" s="2" t="s">
        <v>61</v>
      </c>
      <c r="H709" s="2">
        <v>1</v>
      </c>
      <c r="I709" s="2">
        <v>8962.23</v>
      </c>
      <c r="J709" s="2">
        <v>0.05</v>
      </c>
      <c r="K709" s="2">
        <v>8514.1200000000008</v>
      </c>
      <c r="L709" s="2">
        <v>5293.26</v>
      </c>
      <c r="M709" s="2">
        <v>3220.86</v>
      </c>
      <c r="N709" s="2" t="s">
        <v>58</v>
      </c>
      <c r="O709" s="2" t="s">
        <v>22</v>
      </c>
    </row>
    <row r="710" spans="1:15" x14ac:dyDescent="0.3">
      <c r="A710" s="2" t="s">
        <v>842</v>
      </c>
      <c r="B710" s="3">
        <v>45912</v>
      </c>
      <c r="C710" s="2" t="s">
        <v>63</v>
      </c>
      <c r="D710" s="2" t="s">
        <v>64</v>
      </c>
      <c r="E710" s="2" t="s">
        <v>74</v>
      </c>
      <c r="F710" s="2" t="s">
        <v>27</v>
      </c>
      <c r="G710" s="2" t="s">
        <v>66</v>
      </c>
      <c r="H710" s="2">
        <v>6</v>
      </c>
      <c r="I710" s="2">
        <v>10823.51</v>
      </c>
      <c r="J710" s="2">
        <v>0.15</v>
      </c>
      <c r="K710" s="2">
        <v>55199.88</v>
      </c>
      <c r="L710" s="2">
        <v>42730.58</v>
      </c>
      <c r="M710" s="2">
        <v>12469.3</v>
      </c>
      <c r="N710" s="2" t="s">
        <v>29</v>
      </c>
      <c r="O710" s="2" t="s">
        <v>30</v>
      </c>
    </row>
    <row r="711" spans="1:15" x14ac:dyDescent="0.3">
      <c r="A711" s="2" t="s">
        <v>843</v>
      </c>
      <c r="B711" s="3">
        <v>45732</v>
      </c>
      <c r="C711" s="2" t="s">
        <v>54</v>
      </c>
      <c r="D711" s="2" t="s">
        <v>174</v>
      </c>
      <c r="E711" s="2" t="s">
        <v>18</v>
      </c>
      <c r="F711" s="2" t="s">
        <v>34</v>
      </c>
      <c r="G711" s="2" t="s">
        <v>39</v>
      </c>
      <c r="H711" s="2">
        <v>6</v>
      </c>
      <c r="I711" s="2">
        <v>30369.91</v>
      </c>
      <c r="J711" s="2">
        <v>0.08</v>
      </c>
      <c r="K711" s="2">
        <v>167641.89000000001</v>
      </c>
      <c r="L711" s="2">
        <v>138130.57999999999</v>
      </c>
      <c r="M711" s="2">
        <v>29511.31</v>
      </c>
      <c r="N711" s="2" t="s">
        <v>21</v>
      </c>
      <c r="O711" s="2" t="s">
        <v>30</v>
      </c>
    </row>
    <row r="712" spans="1:15" x14ac:dyDescent="0.3">
      <c r="A712" s="2" t="s">
        <v>844</v>
      </c>
      <c r="B712" s="3">
        <v>46000</v>
      </c>
      <c r="C712" s="2" t="s">
        <v>16</v>
      </c>
      <c r="D712" s="2" t="s">
        <v>82</v>
      </c>
      <c r="E712" s="2" t="s">
        <v>56</v>
      </c>
      <c r="F712" s="2" t="s">
        <v>19</v>
      </c>
      <c r="G712" s="2" t="s">
        <v>102</v>
      </c>
      <c r="H712" s="2">
        <v>1</v>
      </c>
      <c r="I712" s="2">
        <v>267.39</v>
      </c>
      <c r="J712" s="2">
        <v>0.1</v>
      </c>
      <c r="K712" s="2">
        <v>240.65</v>
      </c>
      <c r="L712" s="2">
        <v>197.86</v>
      </c>
      <c r="M712" s="2">
        <v>42.79</v>
      </c>
      <c r="N712" s="2" t="s">
        <v>58</v>
      </c>
      <c r="O712" s="2" t="s">
        <v>45</v>
      </c>
    </row>
    <row r="713" spans="1:15" x14ac:dyDescent="0.3">
      <c r="A713" s="2" t="s">
        <v>845</v>
      </c>
      <c r="B713" s="3">
        <v>45927</v>
      </c>
      <c r="C713" s="2" t="s">
        <v>16</v>
      </c>
      <c r="D713" s="2" t="s">
        <v>82</v>
      </c>
      <c r="E713" s="2" t="s">
        <v>74</v>
      </c>
      <c r="F713" s="2" t="s">
        <v>34</v>
      </c>
      <c r="G713" s="2" t="s">
        <v>35</v>
      </c>
      <c r="H713" s="2">
        <v>5</v>
      </c>
      <c r="I713" s="2">
        <v>17253.25</v>
      </c>
      <c r="J713" s="2">
        <v>0.03</v>
      </c>
      <c r="K713" s="2">
        <v>83678.27</v>
      </c>
      <c r="L713" s="2">
        <v>53555.01</v>
      </c>
      <c r="M713" s="2">
        <v>30123.26</v>
      </c>
      <c r="N713" s="2" t="s">
        <v>58</v>
      </c>
      <c r="O713" s="2" t="s">
        <v>30</v>
      </c>
    </row>
    <row r="714" spans="1:15" x14ac:dyDescent="0.3">
      <c r="A714" s="2" t="s">
        <v>846</v>
      </c>
      <c r="B714" s="3">
        <v>45740</v>
      </c>
      <c r="C714" s="2" t="s">
        <v>16</v>
      </c>
      <c r="D714" s="2" t="s">
        <v>52</v>
      </c>
      <c r="E714" s="2" t="s">
        <v>56</v>
      </c>
      <c r="F714" s="2" t="s">
        <v>27</v>
      </c>
      <c r="G714" s="2" t="s">
        <v>89</v>
      </c>
      <c r="H714" s="2">
        <v>3</v>
      </c>
      <c r="I714" s="2">
        <v>32826.11</v>
      </c>
      <c r="J714" s="2">
        <v>0.05</v>
      </c>
      <c r="K714" s="2">
        <v>93554.42</v>
      </c>
      <c r="L714" s="2">
        <v>66282.25</v>
      </c>
      <c r="M714" s="2">
        <v>27272.17</v>
      </c>
      <c r="N714" s="2" t="s">
        <v>21</v>
      </c>
      <c r="O714" s="2" t="s">
        <v>45</v>
      </c>
    </row>
    <row r="715" spans="1:15" x14ac:dyDescent="0.3">
      <c r="A715" s="2" t="s">
        <v>847</v>
      </c>
      <c r="B715" s="3">
        <v>45787</v>
      </c>
      <c r="C715" s="2" t="s">
        <v>16</v>
      </c>
      <c r="D715" s="2" t="s">
        <v>32</v>
      </c>
      <c r="E715" s="2" t="s">
        <v>65</v>
      </c>
      <c r="F715" s="2" t="s">
        <v>96</v>
      </c>
      <c r="G715" s="2" t="s">
        <v>35</v>
      </c>
      <c r="H715" s="2">
        <v>5</v>
      </c>
      <c r="I715" s="2">
        <v>17281.39</v>
      </c>
      <c r="J715" s="2">
        <v>0.1</v>
      </c>
      <c r="K715" s="2">
        <v>77766.259999999995</v>
      </c>
      <c r="L715" s="2">
        <v>53434.89</v>
      </c>
      <c r="M715" s="2">
        <v>24331.37</v>
      </c>
      <c r="N715" s="2" t="s">
        <v>58</v>
      </c>
      <c r="O715" s="2" t="s">
        <v>22</v>
      </c>
    </row>
    <row r="716" spans="1:15" x14ac:dyDescent="0.3">
      <c r="A716" s="2" t="s">
        <v>848</v>
      </c>
      <c r="B716" s="3">
        <v>45848</v>
      </c>
      <c r="C716" s="2" t="s">
        <v>54</v>
      </c>
      <c r="D716" s="2" t="s">
        <v>124</v>
      </c>
      <c r="E716" s="2" t="s">
        <v>65</v>
      </c>
      <c r="F716" s="2" t="s">
        <v>34</v>
      </c>
      <c r="G716" s="2" t="s">
        <v>57</v>
      </c>
      <c r="H716" s="2">
        <v>8</v>
      </c>
      <c r="I716" s="2">
        <v>22871.73</v>
      </c>
      <c r="J716" s="2">
        <v>0.05</v>
      </c>
      <c r="K716" s="2">
        <v>173825.18</v>
      </c>
      <c r="L716" s="2">
        <v>141846.63</v>
      </c>
      <c r="M716" s="2">
        <v>31978.55</v>
      </c>
      <c r="N716" s="2" t="s">
        <v>58</v>
      </c>
      <c r="O716" s="2" t="s">
        <v>45</v>
      </c>
    </row>
    <row r="717" spans="1:15" x14ac:dyDescent="0.3">
      <c r="A717" s="2" t="s">
        <v>849</v>
      </c>
      <c r="B717" s="3">
        <v>46013</v>
      </c>
      <c r="C717" s="2" t="s">
        <v>63</v>
      </c>
      <c r="D717" s="2" t="s">
        <v>95</v>
      </c>
      <c r="E717" s="2" t="s">
        <v>18</v>
      </c>
      <c r="F717" s="2" t="s">
        <v>34</v>
      </c>
      <c r="G717" s="2" t="s">
        <v>35</v>
      </c>
      <c r="H717" s="2">
        <v>1</v>
      </c>
      <c r="I717" s="2">
        <v>16568.39</v>
      </c>
      <c r="J717" s="2">
        <v>0</v>
      </c>
      <c r="K717" s="2">
        <v>16568.39</v>
      </c>
      <c r="L717" s="2">
        <v>13488.5</v>
      </c>
      <c r="M717" s="2">
        <v>3079.89</v>
      </c>
      <c r="N717" s="2" t="s">
        <v>29</v>
      </c>
      <c r="O717" s="2" t="s">
        <v>30</v>
      </c>
    </row>
    <row r="718" spans="1:15" x14ac:dyDescent="0.3">
      <c r="A718" s="2" t="s">
        <v>850</v>
      </c>
      <c r="B718" s="3">
        <v>45938</v>
      </c>
      <c r="C718" s="2" t="s">
        <v>16</v>
      </c>
      <c r="D718" s="2" t="s">
        <v>32</v>
      </c>
      <c r="E718" s="2" t="s">
        <v>49</v>
      </c>
      <c r="F718" s="2" t="s">
        <v>27</v>
      </c>
      <c r="G718" s="2" t="s">
        <v>50</v>
      </c>
      <c r="H718" s="2">
        <v>8</v>
      </c>
      <c r="I718" s="2">
        <v>30180.92</v>
      </c>
      <c r="J718" s="2">
        <v>0.08</v>
      </c>
      <c r="K718" s="2">
        <v>222131.59</v>
      </c>
      <c r="L718" s="2">
        <v>179516.37</v>
      </c>
      <c r="M718" s="2">
        <v>42615.22</v>
      </c>
      <c r="N718" s="2" t="s">
        <v>29</v>
      </c>
      <c r="O718" s="2" t="s">
        <v>30</v>
      </c>
    </row>
    <row r="719" spans="1:15" x14ac:dyDescent="0.3">
      <c r="A719" s="2" t="s">
        <v>851</v>
      </c>
      <c r="B719" s="3">
        <v>45985</v>
      </c>
      <c r="C719" s="2" t="s">
        <v>37</v>
      </c>
      <c r="D719" s="2" t="s">
        <v>25</v>
      </c>
      <c r="E719" s="2" t="s">
        <v>18</v>
      </c>
      <c r="F719" s="2" t="s">
        <v>43</v>
      </c>
      <c r="G719" s="2" t="s">
        <v>91</v>
      </c>
      <c r="H719" s="2">
        <v>8</v>
      </c>
      <c r="I719" s="2">
        <v>44316.22</v>
      </c>
      <c r="J719" s="2">
        <v>0.03</v>
      </c>
      <c r="K719" s="2">
        <v>343893.86</v>
      </c>
      <c r="L719" s="2">
        <v>253415.32</v>
      </c>
      <c r="M719" s="2">
        <v>90478.54</v>
      </c>
      <c r="N719" s="2" t="s">
        <v>58</v>
      </c>
      <c r="O719" s="2" t="s">
        <v>30</v>
      </c>
    </row>
    <row r="720" spans="1:15" x14ac:dyDescent="0.3">
      <c r="A720" s="2" t="s">
        <v>852</v>
      </c>
      <c r="B720" s="3">
        <v>45843</v>
      </c>
      <c r="C720" s="2" t="s">
        <v>54</v>
      </c>
      <c r="D720" s="2" t="s">
        <v>174</v>
      </c>
      <c r="E720" s="2" t="s">
        <v>56</v>
      </c>
      <c r="F720" s="2" t="s">
        <v>43</v>
      </c>
      <c r="G720" s="2" t="s">
        <v>75</v>
      </c>
      <c r="H720" s="2">
        <v>8</v>
      </c>
      <c r="I720" s="2">
        <v>37743.300000000003</v>
      </c>
      <c r="J720" s="2">
        <v>0.03</v>
      </c>
      <c r="K720" s="2">
        <v>292888.01</v>
      </c>
      <c r="L720" s="2">
        <v>244827.14</v>
      </c>
      <c r="M720" s="2">
        <v>48060.87</v>
      </c>
      <c r="N720" s="2" t="s">
        <v>29</v>
      </c>
      <c r="O720" s="2" t="s">
        <v>59</v>
      </c>
    </row>
    <row r="721" spans="1:15" x14ac:dyDescent="0.3">
      <c r="A721" s="2" t="s">
        <v>853</v>
      </c>
      <c r="B721" s="3">
        <v>45985</v>
      </c>
      <c r="C721" s="2" t="s">
        <v>16</v>
      </c>
      <c r="D721" s="2" t="s">
        <v>82</v>
      </c>
      <c r="E721" s="2" t="s">
        <v>74</v>
      </c>
      <c r="F721" s="2" t="s">
        <v>19</v>
      </c>
      <c r="G721" s="2" t="s">
        <v>106</v>
      </c>
      <c r="H721" s="2">
        <v>8</v>
      </c>
      <c r="I721" s="2">
        <v>13994.55</v>
      </c>
      <c r="J721" s="2">
        <v>0.03</v>
      </c>
      <c r="K721" s="2">
        <v>108597.69</v>
      </c>
      <c r="L721" s="2">
        <v>72098.17</v>
      </c>
      <c r="M721" s="2">
        <v>36499.519999999997</v>
      </c>
      <c r="N721" s="2" t="s">
        <v>29</v>
      </c>
      <c r="O721" s="2" t="s">
        <v>40</v>
      </c>
    </row>
    <row r="722" spans="1:15" x14ac:dyDescent="0.3">
      <c r="A722" s="2" t="s">
        <v>854</v>
      </c>
      <c r="B722" s="3">
        <v>45760</v>
      </c>
      <c r="C722" s="2" t="s">
        <v>54</v>
      </c>
      <c r="D722" s="2" t="s">
        <v>124</v>
      </c>
      <c r="E722" s="2" t="s">
        <v>33</v>
      </c>
      <c r="F722" s="2" t="s">
        <v>19</v>
      </c>
      <c r="G722" s="2" t="s">
        <v>102</v>
      </c>
      <c r="H722" s="2">
        <v>8</v>
      </c>
      <c r="I722" s="2">
        <v>266.85000000000002</v>
      </c>
      <c r="J722" s="2">
        <v>0.1</v>
      </c>
      <c r="K722" s="2">
        <v>1921.29</v>
      </c>
      <c r="L722" s="2">
        <v>1454.54</v>
      </c>
      <c r="M722" s="2">
        <v>466.75</v>
      </c>
      <c r="N722" s="2" t="s">
        <v>21</v>
      </c>
      <c r="O722" s="2" t="s">
        <v>40</v>
      </c>
    </row>
    <row r="723" spans="1:15" x14ac:dyDescent="0.3">
      <c r="A723" s="2" t="s">
        <v>855</v>
      </c>
      <c r="B723" s="3">
        <v>45730</v>
      </c>
      <c r="C723" s="2" t="s">
        <v>16</v>
      </c>
      <c r="D723" s="2" t="s">
        <v>82</v>
      </c>
      <c r="E723" s="2" t="s">
        <v>33</v>
      </c>
      <c r="F723" s="2" t="s">
        <v>19</v>
      </c>
      <c r="G723" s="2" t="s">
        <v>20</v>
      </c>
      <c r="H723" s="2">
        <v>8</v>
      </c>
      <c r="I723" s="2">
        <v>702.71</v>
      </c>
      <c r="J723" s="2">
        <v>0.03</v>
      </c>
      <c r="K723" s="2">
        <v>5452.99</v>
      </c>
      <c r="L723" s="2">
        <v>3430.55</v>
      </c>
      <c r="M723" s="2">
        <v>2022.44</v>
      </c>
      <c r="N723" s="2" t="s">
        <v>58</v>
      </c>
      <c r="O723" s="2" t="s">
        <v>40</v>
      </c>
    </row>
    <row r="724" spans="1:15" x14ac:dyDescent="0.3">
      <c r="A724" s="2" t="s">
        <v>856</v>
      </c>
      <c r="B724" s="3">
        <v>45727</v>
      </c>
      <c r="C724" s="2" t="s">
        <v>16</v>
      </c>
      <c r="D724" s="2" t="s">
        <v>32</v>
      </c>
      <c r="E724" s="2" t="s">
        <v>49</v>
      </c>
      <c r="F724" s="2" t="s">
        <v>34</v>
      </c>
      <c r="G724" s="2" t="s">
        <v>80</v>
      </c>
      <c r="H724" s="2">
        <v>6</v>
      </c>
      <c r="I724" s="2">
        <v>4743.6099999999997</v>
      </c>
      <c r="J724" s="2">
        <v>0.08</v>
      </c>
      <c r="K724" s="2">
        <v>26184.75</v>
      </c>
      <c r="L724" s="2">
        <v>17965.439999999999</v>
      </c>
      <c r="M724" s="2">
        <v>8219.31</v>
      </c>
      <c r="N724" s="2" t="s">
        <v>21</v>
      </c>
      <c r="O724" s="2" t="s">
        <v>45</v>
      </c>
    </row>
    <row r="725" spans="1:15" x14ac:dyDescent="0.3">
      <c r="A725" s="2" t="s">
        <v>857</v>
      </c>
      <c r="B725" s="3">
        <v>45815</v>
      </c>
      <c r="C725" s="2" t="s">
        <v>54</v>
      </c>
      <c r="D725" s="2" t="s">
        <v>174</v>
      </c>
      <c r="E725" s="2" t="s">
        <v>33</v>
      </c>
      <c r="F725" s="2" t="s">
        <v>34</v>
      </c>
      <c r="G725" s="2" t="s">
        <v>39</v>
      </c>
      <c r="H725" s="2">
        <v>1</v>
      </c>
      <c r="I725" s="2">
        <v>28774.78</v>
      </c>
      <c r="J725" s="2">
        <v>0.1</v>
      </c>
      <c r="K725" s="2">
        <v>25897.3</v>
      </c>
      <c r="L725" s="2">
        <v>18641.38</v>
      </c>
      <c r="M725" s="2">
        <v>7255.92</v>
      </c>
      <c r="N725" s="2" t="s">
        <v>21</v>
      </c>
      <c r="O725" s="2" t="s">
        <v>22</v>
      </c>
    </row>
    <row r="726" spans="1:15" x14ac:dyDescent="0.3">
      <c r="A726" s="2" t="s">
        <v>858</v>
      </c>
      <c r="B726" s="3">
        <v>45936</v>
      </c>
      <c r="C726" s="2" t="s">
        <v>16</v>
      </c>
      <c r="D726" s="2" t="s">
        <v>32</v>
      </c>
      <c r="E726" s="2" t="s">
        <v>65</v>
      </c>
      <c r="F726" s="2" t="s">
        <v>43</v>
      </c>
      <c r="G726" s="2" t="s">
        <v>91</v>
      </c>
      <c r="H726" s="2">
        <v>4</v>
      </c>
      <c r="I726" s="2">
        <v>46670.54</v>
      </c>
      <c r="J726" s="2">
        <v>0</v>
      </c>
      <c r="K726" s="2">
        <v>186682.16</v>
      </c>
      <c r="L726" s="2">
        <v>147150.85</v>
      </c>
      <c r="M726" s="2">
        <v>39531.31</v>
      </c>
      <c r="N726" s="2" t="s">
        <v>58</v>
      </c>
      <c r="O726" s="2" t="s">
        <v>45</v>
      </c>
    </row>
    <row r="727" spans="1:15" x14ac:dyDescent="0.3">
      <c r="A727" s="2" t="s">
        <v>859</v>
      </c>
      <c r="B727" s="3">
        <v>46020</v>
      </c>
      <c r="C727" s="2" t="s">
        <v>16</v>
      </c>
      <c r="D727" s="2" t="s">
        <v>52</v>
      </c>
      <c r="E727" s="2" t="s">
        <v>26</v>
      </c>
      <c r="F727" s="2" t="s">
        <v>43</v>
      </c>
      <c r="G727" s="2" t="s">
        <v>75</v>
      </c>
      <c r="H727" s="2">
        <v>6</v>
      </c>
      <c r="I727" s="2">
        <v>37530.160000000003</v>
      </c>
      <c r="J727" s="2">
        <v>0</v>
      </c>
      <c r="K727" s="2">
        <v>225180.94</v>
      </c>
      <c r="L727" s="2">
        <v>165482.85999999999</v>
      </c>
      <c r="M727" s="2">
        <v>59698.080000000002</v>
      </c>
      <c r="N727" s="2" t="s">
        <v>58</v>
      </c>
      <c r="O727" s="2" t="s">
        <v>59</v>
      </c>
    </row>
    <row r="728" spans="1:15" x14ac:dyDescent="0.3">
      <c r="A728" s="2" t="s">
        <v>860</v>
      </c>
      <c r="B728" s="3">
        <v>45926</v>
      </c>
      <c r="C728" s="2" t="s">
        <v>16</v>
      </c>
      <c r="D728" s="2" t="s">
        <v>52</v>
      </c>
      <c r="E728" s="2" t="s">
        <v>790</v>
      </c>
      <c r="F728" s="2" t="s">
        <v>34</v>
      </c>
      <c r="G728" s="2" t="s">
        <v>39</v>
      </c>
      <c r="H728" s="2">
        <v>3</v>
      </c>
      <c r="I728" s="2">
        <v>31760.91</v>
      </c>
      <c r="J728" s="2">
        <v>0.08</v>
      </c>
      <c r="K728" s="2">
        <v>87660.1</v>
      </c>
      <c r="L728" s="2">
        <v>68425.09</v>
      </c>
      <c r="M728" s="2">
        <v>19235.009999999998</v>
      </c>
      <c r="N728" s="2" t="s">
        <v>58</v>
      </c>
      <c r="O728" s="2" t="s">
        <v>22</v>
      </c>
    </row>
    <row r="729" spans="1:15" x14ac:dyDescent="0.3">
      <c r="A729" s="2" t="s">
        <v>861</v>
      </c>
      <c r="B729" s="3">
        <v>46010</v>
      </c>
      <c r="C729" s="2" t="s">
        <v>37</v>
      </c>
      <c r="D729" s="2" t="s">
        <v>42</v>
      </c>
      <c r="E729" s="2" t="s">
        <v>18</v>
      </c>
      <c r="F729" s="2" t="s">
        <v>34</v>
      </c>
      <c r="G729" s="2" t="s">
        <v>70</v>
      </c>
      <c r="H729" s="2">
        <v>3</v>
      </c>
      <c r="I729" s="2">
        <v>66311.42</v>
      </c>
      <c r="J729" s="2">
        <v>0.1</v>
      </c>
      <c r="K729" s="2">
        <v>179040.83</v>
      </c>
      <c r="L729" s="2">
        <v>132733.26999999999</v>
      </c>
      <c r="M729" s="2">
        <v>46307.56</v>
      </c>
      <c r="N729" s="2" t="s">
        <v>21</v>
      </c>
      <c r="O729" s="2" t="s">
        <v>22</v>
      </c>
    </row>
    <row r="730" spans="1:15" x14ac:dyDescent="0.3">
      <c r="A730" s="2" t="s">
        <v>862</v>
      </c>
      <c r="B730" s="3">
        <v>46011</v>
      </c>
      <c r="C730" s="2" t="s">
        <v>37</v>
      </c>
      <c r="D730" s="2" t="s">
        <v>38</v>
      </c>
      <c r="E730" s="2" t="s">
        <v>65</v>
      </c>
      <c r="F730" s="2" t="s">
        <v>27</v>
      </c>
      <c r="G730" s="2" t="s">
        <v>66</v>
      </c>
      <c r="H730" s="2">
        <v>3</v>
      </c>
      <c r="I730" s="2">
        <v>10680.48</v>
      </c>
      <c r="J730" s="2">
        <v>0.08</v>
      </c>
      <c r="K730" s="2">
        <v>29478.11</v>
      </c>
      <c r="L730" s="2">
        <v>20311.96</v>
      </c>
      <c r="M730" s="2">
        <v>9166.15</v>
      </c>
      <c r="N730" s="2" t="s">
        <v>21</v>
      </c>
      <c r="O730" s="2" t="s">
        <v>59</v>
      </c>
    </row>
    <row r="731" spans="1:15" x14ac:dyDescent="0.3">
      <c r="A731" s="2" t="s">
        <v>863</v>
      </c>
      <c r="B731" s="3">
        <v>46001</v>
      </c>
      <c r="C731" s="2" t="s">
        <v>63</v>
      </c>
      <c r="D731" s="2" t="s">
        <v>64</v>
      </c>
      <c r="E731" s="2" t="s">
        <v>69</v>
      </c>
      <c r="F731" s="2" t="s">
        <v>19</v>
      </c>
      <c r="G731" s="2" t="s">
        <v>106</v>
      </c>
      <c r="H731" s="2">
        <v>5</v>
      </c>
      <c r="I731" s="2">
        <v>14805.84</v>
      </c>
      <c r="J731" s="2">
        <v>0.05</v>
      </c>
      <c r="K731" s="2">
        <v>70327.72</v>
      </c>
      <c r="L731" s="2">
        <v>48032.42</v>
      </c>
      <c r="M731" s="2">
        <v>22295.3</v>
      </c>
      <c r="N731" s="2" t="s">
        <v>58</v>
      </c>
      <c r="O731" s="2" t="s">
        <v>22</v>
      </c>
    </row>
    <row r="732" spans="1:15" x14ac:dyDescent="0.3">
      <c r="A732" s="2" t="s">
        <v>864</v>
      </c>
      <c r="B732" s="3">
        <v>46013</v>
      </c>
      <c r="C732" s="2" t="s">
        <v>54</v>
      </c>
      <c r="D732" s="2" t="s">
        <v>174</v>
      </c>
      <c r="E732" s="2" t="s">
        <v>65</v>
      </c>
      <c r="F732" s="2" t="s">
        <v>19</v>
      </c>
      <c r="G732" s="2" t="s">
        <v>106</v>
      </c>
      <c r="H732" s="2">
        <v>8</v>
      </c>
      <c r="I732" s="2">
        <v>13946.37</v>
      </c>
      <c r="J732" s="2">
        <v>0.15</v>
      </c>
      <c r="K732" s="2">
        <v>94835.3</v>
      </c>
      <c r="L732" s="2">
        <v>76333.41</v>
      </c>
      <c r="M732" s="2">
        <v>18501.89</v>
      </c>
      <c r="N732" s="2" t="s">
        <v>29</v>
      </c>
      <c r="O732" s="2" t="s">
        <v>30</v>
      </c>
    </row>
    <row r="733" spans="1:15" x14ac:dyDescent="0.3">
      <c r="A733" s="2" t="s">
        <v>865</v>
      </c>
      <c r="B733" s="3">
        <v>45746</v>
      </c>
      <c r="C733" s="2" t="s">
        <v>54</v>
      </c>
      <c r="D733" s="2" t="s">
        <v>124</v>
      </c>
      <c r="E733" s="2" t="s">
        <v>65</v>
      </c>
      <c r="F733" s="2" t="s">
        <v>34</v>
      </c>
      <c r="G733" s="2" t="s">
        <v>35</v>
      </c>
      <c r="H733" s="2">
        <v>2</v>
      </c>
      <c r="I733" s="2">
        <v>17936.64</v>
      </c>
      <c r="J733" s="2">
        <v>0.05</v>
      </c>
      <c r="K733" s="2">
        <v>34079.61</v>
      </c>
      <c r="L733" s="2">
        <v>22567.11</v>
      </c>
      <c r="M733" s="2">
        <v>11512.5</v>
      </c>
      <c r="N733" s="2" t="s">
        <v>29</v>
      </c>
      <c r="O733" s="2" t="s">
        <v>59</v>
      </c>
    </row>
    <row r="734" spans="1:15" x14ac:dyDescent="0.3">
      <c r="A734" s="2" t="s">
        <v>866</v>
      </c>
      <c r="B734" s="3">
        <v>45822</v>
      </c>
      <c r="C734" s="2" t="s">
        <v>54</v>
      </c>
      <c r="D734" s="2" t="s">
        <v>174</v>
      </c>
      <c r="E734" s="2" t="s">
        <v>56</v>
      </c>
      <c r="F734" s="2" t="s">
        <v>19</v>
      </c>
      <c r="G734" s="2" t="s">
        <v>108</v>
      </c>
      <c r="H734" s="2">
        <v>5</v>
      </c>
      <c r="I734" s="2">
        <v>15743.45</v>
      </c>
      <c r="J734" s="2">
        <v>0.1</v>
      </c>
      <c r="K734" s="2">
        <v>70845.52</v>
      </c>
      <c r="L734" s="2">
        <v>48396.61</v>
      </c>
      <c r="M734" s="2">
        <v>22448.91</v>
      </c>
      <c r="N734" s="2" t="s">
        <v>58</v>
      </c>
      <c r="O734" s="2" t="s">
        <v>59</v>
      </c>
    </row>
    <row r="735" spans="1:15" x14ac:dyDescent="0.3">
      <c r="A735" s="2" t="s">
        <v>867</v>
      </c>
      <c r="B735" s="3">
        <v>45868</v>
      </c>
      <c r="C735" s="2" t="s">
        <v>63</v>
      </c>
      <c r="D735" s="2" t="s">
        <v>64</v>
      </c>
      <c r="E735" s="2" t="s">
        <v>33</v>
      </c>
      <c r="F735" s="2" t="s">
        <v>27</v>
      </c>
      <c r="G735" s="2" t="s">
        <v>89</v>
      </c>
      <c r="H735" s="2">
        <v>1</v>
      </c>
      <c r="I735" s="2">
        <v>30941.94</v>
      </c>
      <c r="J735" s="2">
        <v>0.05</v>
      </c>
      <c r="K735" s="2">
        <v>29394.85</v>
      </c>
      <c r="L735" s="2">
        <v>21319.11</v>
      </c>
      <c r="M735" s="2">
        <v>8075.74</v>
      </c>
      <c r="N735" s="2" t="s">
        <v>21</v>
      </c>
      <c r="O735" s="2" t="s">
        <v>59</v>
      </c>
    </row>
    <row r="736" spans="1:15" x14ac:dyDescent="0.3">
      <c r="A736" s="2" t="s">
        <v>868</v>
      </c>
      <c r="B736" s="3">
        <v>45982</v>
      </c>
      <c r="C736" s="2" t="s">
        <v>54</v>
      </c>
      <c r="D736" s="2" t="s">
        <v>48</v>
      </c>
      <c r="E736" s="2" t="s">
        <v>56</v>
      </c>
      <c r="F736" s="2" t="s">
        <v>27</v>
      </c>
      <c r="G736" s="2" t="s">
        <v>125</v>
      </c>
      <c r="H736" s="2">
        <v>8</v>
      </c>
      <c r="I736" s="2">
        <v>8981.7900000000009</v>
      </c>
      <c r="J736" s="2">
        <v>0.1</v>
      </c>
      <c r="K736" s="2">
        <v>64668.89</v>
      </c>
      <c r="L736" s="2">
        <v>41701.29</v>
      </c>
      <c r="M736" s="2">
        <v>22967.599999999999</v>
      </c>
      <c r="N736" s="2" t="s">
        <v>58</v>
      </c>
      <c r="O736" s="2" t="s">
        <v>40</v>
      </c>
    </row>
    <row r="737" spans="1:15" x14ac:dyDescent="0.3">
      <c r="A737" s="2" t="s">
        <v>869</v>
      </c>
      <c r="B737" s="3">
        <v>45878</v>
      </c>
      <c r="C737" s="2" t="s">
        <v>37</v>
      </c>
      <c r="D737" s="2" t="s">
        <v>38</v>
      </c>
      <c r="E737" s="2" t="s">
        <v>56</v>
      </c>
      <c r="F737" s="2" t="s">
        <v>27</v>
      </c>
      <c r="G737" s="2" t="s">
        <v>125</v>
      </c>
      <c r="H737" s="2">
        <v>3</v>
      </c>
      <c r="I737" s="2">
        <v>8555.43</v>
      </c>
      <c r="J737" s="2">
        <v>0.15</v>
      </c>
      <c r="K737" s="2">
        <v>21816.35</v>
      </c>
      <c r="L737" s="2">
        <v>14862.25</v>
      </c>
      <c r="M737" s="2">
        <v>6954.1</v>
      </c>
      <c r="N737" s="2" t="s">
        <v>58</v>
      </c>
      <c r="O737" s="2" t="s">
        <v>40</v>
      </c>
    </row>
    <row r="738" spans="1:15" x14ac:dyDescent="0.3">
      <c r="A738" s="2" t="s">
        <v>870</v>
      </c>
      <c r="B738" s="3">
        <v>45813</v>
      </c>
      <c r="C738" s="2" t="s">
        <v>527</v>
      </c>
      <c r="D738" s="2" t="s">
        <v>88</v>
      </c>
      <c r="E738" s="2" t="s">
        <v>33</v>
      </c>
      <c r="F738" s="2" t="s">
        <v>43</v>
      </c>
      <c r="G738" s="2" t="s">
        <v>84</v>
      </c>
      <c r="H738" s="2">
        <v>5</v>
      </c>
      <c r="I738" s="2" t="s">
        <v>871</v>
      </c>
      <c r="J738" s="2">
        <v>0.03</v>
      </c>
      <c r="K738" s="2">
        <v>212325.26</v>
      </c>
      <c r="L738" s="2">
        <v>176872.46</v>
      </c>
      <c r="M738" s="2">
        <v>35452.800000000003</v>
      </c>
      <c r="N738" s="2" t="s">
        <v>29</v>
      </c>
      <c r="O738" s="2" t="s">
        <v>22</v>
      </c>
    </row>
    <row r="739" spans="1:15" x14ac:dyDescent="0.3">
      <c r="A739" s="2" t="s">
        <v>872</v>
      </c>
      <c r="B739" s="3">
        <v>45937</v>
      </c>
      <c r="C739" s="2" t="s">
        <v>63</v>
      </c>
      <c r="D739" s="2" t="s">
        <v>117</v>
      </c>
      <c r="E739" s="2" t="s">
        <v>33</v>
      </c>
      <c r="F739" s="2" t="s">
        <v>19</v>
      </c>
      <c r="G739" s="2" t="s">
        <v>61</v>
      </c>
      <c r="H739" s="2">
        <v>8</v>
      </c>
      <c r="I739" s="2">
        <v>9402.56</v>
      </c>
      <c r="J739" s="2">
        <v>0</v>
      </c>
      <c r="K739" s="2">
        <v>75220.45</v>
      </c>
      <c r="L739" s="2">
        <v>57466.36</v>
      </c>
      <c r="M739" s="2">
        <v>17754.09</v>
      </c>
      <c r="N739" s="2" t="s">
        <v>21</v>
      </c>
      <c r="O739" s="2" t="s">
        <v>22</v>
      </c>
    </row>
    <row r="740" spans="1:15" x14ac:dyDescent="0.3">
      <c r="A740" s="2" t="s">
        <v>873</v>
      </c>
      <c r="B740" s="3">
        <v>45731</v>
      </c>
      <c r="C740" s="2"/>
      <c r="D740" s="2" t="s">
        <v>32</v>
      </c>
      <c r="E740" s="2" t="s">
        <v>33</v>
      </c>
      <c r="F740" s="2" t="s">
        <v>34</v>
      </c>
      <c r="G740" s="2" t="s">
        <v>35</v>
      </c>
      <c r="H740" s="2">
        <v>5</v>
      </c>
      <c r="I740" s="2">
        <v>17827.84</v>
      </c>
      <c r="J740" s="2">
        <v>0.1</v>
      </c>
      <c r="K740" s="2">
        <v>80225.27</v>
      </c>
      <c r="L740" s="2">
        <v>67634.539999999994</v>
      </c>
      <c r="M740" s="2">
        <v>12590.73</v>
      </c>
      <c r="N740" s="2" t="s">
        <v>21</v>
      </c>
      <c r="O740" s="2" t="s">
        <v>30</v>
      </c>
    </row>
    <row r="741" spans="1:15" x14ac:dyDescent="0.3">
      <c r="A741" s="2" t="s">
        <v>874</v>
      </c>
      <c r="B741" s="3">
        <v>45862</v>
      </c>
      <c r="C741" s="2" t="s">
        <v>24</v>
      </c>
      <c r="D741" s="2" t="s">
        <v>38</v>
      </c>
      <c r="E741" s="2" t="s">
        <v>33</v>
      </c>
      <c r="F741" s="2" t="s">
        <v>460</v>
      </c>
      <c r="G741" s="2" t="s">
        <v>20</v>
      </c>
      <c r="H741" s="2">
        <v>1</v>
      </c>
      <c r="I741" s="2">
        <v>672.7</v>
      </c>
      <c r="J741" s="2">
        <v>0.03</v>
      </c>
      <c r="K741" s="2">
        <v>652.52</v>
      </c>
      <c r="L741" s="2">
        <v>509.48</v>
      </c>
      <c r="M741" s="2">
        <v>143.04</v>
      </c>
      <c r="N741" s="2" t="s">
        <v>21</v>
      </c>
      <c r="O741" s="2" t="s">
        <v>45</v>
      </c>
    </row>
    <row r="742" spans="1:15" x14ac:dyDescent="0.3">
      <c r="A742" s="2" t="s">
        <v>875</v>
      </c>
      <c r="B742" s="3">
        <v>45705</v>
      </c>
      <c r="C742" s="2" t="s">
        <v>37</v>
      </c>
      <c r="D742" s="2" t="s">
        <v>25</v>
      </c>
      <c r="E742" s="2" t="s">
        <v>49</v>
      </c>
      <c r="F742" s="2" t="s">
        <v>43</v>
      </c>
      <c r="G742" s="2" t="s">
        <v>75</v>
      </c>
      <c r="H742" s="2">
        <v>5</v>
      </c>
      <c r="I742" s="2">
        <v>33846.639999999999</v>
      </c>
      <c r="J742" s="2">
        <v>0</v>
      </c>
      <c r="K742" s="2">
        <v>169233.21</v>
      </c>
      <c r="L742" s="2">
        <v>110913.52</v>
      </c>
      <c r="M742" s="2">
        <v>58319.69</v>
      </c>
      <c r="N742" s="2" t="s">
        <v>21</v>
      </c>
      <c r="O742" s="2" t="s">
        <v>30</v>
      </c>
    </row>
    <row r="743" spans="1:15" x14ac:dyDescent="0.3">
      <c r="A743" s="2" t="s">
        <v>876</v>
      </c>
      <c r="B743" s="3">
        <v>46014</v>
      </c>
      <c r="C743" s="2" t="s">
        <v>16</v>
      </c>
      <c r="D743" s="2" t="s">
        <v>82</v>
      </c>
      <c r="E743" s="2" t="s">
        <v>877</v>
      </c>
      <c r="F743" s="2" t="s">
        <v>19</v>
      </c>
      <c r="G743" s="2" t="s">
        <v>108</v>
      </c>
      <c r="H743" s="2">
        <v>6</v>
      </c>
      <c r="I743" s="2">
        <v>13921.09</v>
      </c>
      <c r="J743" s="2">
        <v>0</v>
      </c>
      <c r="K743" s="2">
        <v>83526.559999999998</v>
      </c>
      <c r="L743" s="2">
        <v>69447.399999999994</v>
      </c>
      <c r="M743" s="2">
        <v>14079.16</v>
      </c>
      <c r="N743" s="2" t="s">
        <v>21</v>
      </c>
      <c r="O743" s="2" t="s">
        <v>30</v>
      </c>
    </row>
    <row r="744" spans="1:15" x14ac:dyDescent="0.3">
      <c r="A744" s="2" t="s">
        <v>878</v>
      </c>
      <c r="B744" s="3">
        <v>45938</v>
      </c>
      <c r="C744" s="2" t="s">
        <v>16</v>
      </c>
      <c r="D744" s="2" t="s">
        <v>82</v>
      </c>
      <c r="E744" s="2" t="s">
        <v>56</v>
      </c>
      <c r="F744" s="2" t="s">
        <v>27</v>
      </c>
      <c r="G744" s="2" t="s">
        <v>89</v>
      </c>
      <c r="H744" s="2">
        <v>4</v>
      </c>
      <c r="I744" s="2">
        <v>33138.550000000003</v>
      </c>
      <c r="J744" s="2">
        <v>0</v>
      </c>
      <c r="K744" s="2">
        <v>132554.21</v>
      </c>
      <c r="L744" s="2">
        <v>85559.93</v>
      </c>
      <c r="M744" s="2">
        <v>46994.28</v>
      </c>
      <c r="N744" s="2" t="s">
        <v>29</v>
      </c>
      <c r="O744" s="2" t="s">
        <v>59</v>
      </c>
    </row>
    <row r="745" spans="1:15" x14ac:dyDescent="0.3">
      <c r="A745" s="2" t="s">
        <v>879</v>
      </c>
      <c r="B745" s="3">
        <v>45718</v>
      </c>
      <c r="C745" s="2" t="s">
        <v>54</v>
      </c>
      <c r="D745" s="2" t="s">
        <v>124</v>
      </c>
      <c r="E745" s="2" t="s">
        <v>69</v>
      </c>
      <c r="F745" s="2" t="s">
        <v>43</v>
      </c>
      <c r="G745" s="2" t="s">
        <v>121</v>
      </c>
      <c r="H745" s="2">
        <v>2</v>
      </c>
      <c r="I745" s="2">
        <v>5111.51</v>
      </c>
      <c r="J745" s="2">
        <v>0</v>
      </c>
      <c r="K745" s="2">
        <v>10223.02</v>
      </c>
      <c r="L745" s="2">
        <v>7394.06</v>
      </c>
      <c r="M745" s="2">
        <v>2828.96</v>
      </c>
      <c r="N745" s="2" t="s">
        <v>58</v>
      </c>
      <c r="O745" s="2" t="s">
        <v>40</v>
      </c>
    </row>
    <row r="746" spans="1:15" x14ac:dyDescent="0.3">
      <c r="A746" s="2" t="s">
        <v>880</v>
      </c>
      <c r="B746" s="3">
        <v>45993</v>
      </c>
      <c r="C746" s="2" t="s">
        <v>37</v>
      </c>
      <c r="D746" s="2" t="s">
        <v>25</v>
      </c>
      <c r="E746" s="2" t="s">
        <v>69</v>
      </c>
      <c r="F746" s="2" t="s">
        <v>19</v>
      </c>
      <c r="G746" s="2" t="s">
        <v>61</v>
      </c>
      <c r="H746" s="2">
        <v>4</v>
      </c>
      <c r="I746" s="2">
        <v>8859.4500000000007</v>
      </c>
      <c r="J746" s="2">
        <v>0.03</v>
      </c>
      <c r="K746" s="2">
        <v>34374.65</v>
      </c>
      <c r="L746" s="2">
        <v>24957.5</v>
      </c>
      <c r="M746" s="2">
        <v>9417.15</v>
      </c>
      <c r="N746" s="2" t="s">
        <v>21</v>
      </c>
      <c r="O746" s="2" t="s">
        <v>40</v>
      </c>
    </row>
    <row r="747" spans="1:15" x14ac:dyDescent="0.3">
      <c r="A747" s="2" t="s">
        <v>881</v>
      </c>
      <c r="B747" s="3">
        <v>45746</v>
      </c>
      <c r="C747" s="2" t="s">
        <v>37</v>
      </c>
      <c r="D747" s="2" t="s">
        <v>68</v>
      </c>
      <c r="E747" s="2" t="s">
        <v>26</v>
      </c>
      <c r="F747" s="2" t="s">
        <v>34</v>
      </c>
      <c r="G747" s="2" t="s">
        <v>39</v>
      </c>
      <c r="H747" s="2">
        <v>1</v>
      </c>
      <c r="I747" s="2">
        <v>29139.52</v>
      </c>
      <c r="J747" s="2">
        <v>0.1</v>
      </c>
      <c r="K747" s="2">
        <v>26225.57</v>
      </c>
      <c r="L747" s="2">
        <v>17723.669999999998</v>
      </c>
      <c r="M747" s="2">
        <v>8501.9</v>
      </c>
      <c r="N747" s="2" t="s">
        <v>21</v>
      </c>
      <c r="O747" s="2" t="s">
        <v>22</v>
      </c>
    </row>
    <row r="748" spans="1:15" x14ac:dyDescent="0.3">
      <c r="A748" s="2" t="s">
        <v>882</v>
      </c>
      <c r="B748" s="3">
        <v>45894</v>
      </c>
      <c r="C748" s="2" t="s">
        <v>37</v>
      </c>
      <c r="D748" s="2" t="s">
        <v>25</v>
      </c>
      <c r="E748" s="2" t="s">
        <v>65</v>
      </c>
      <c r="F748" s="2" t="s">
        <v>19</v>
      </c>
      <c r="G748" s="2" t="s">
        <v>106</v>
      </c>
      <c r="H748" s="2">
        <v>4</v>
      </c>
      <c r="I748" s="2">
        <v>14164.62</v>
      </c>
      <c r="J748" s="2">
        <v>0.03</v>
      </c>
      <c r="K748" s="2">
        <v>54958.73</v>
      </c>
      <c r="L748" s="2">
        <v>45439.33</v>
      </c>
      <c r="M748" s="2">
        <v>9519.4</v>
      </c>
      <c r="N748" s="2" t="s">
        <v>21</v>
      </c>
      <c r="O748" s="2" t="s">
        <v>45</v>
      </c>
    </row>
    <row r="749" spans="1:15" x14ac:dyDescent="0.3">
      <c r="A749" s="2" t="s">
        <v>883</v>
      </c>
      <c r="B749" s="3">
        <v>45949</v>
      </c>
      <c r="C749" s="2" t="s">
        <v>16</v>
      </c>
      <c r="D749" s="2" t="s">
        <v>52</v>
      </c>
      <c r="E749" s="2" t="s">
        <v>26</v>
      </c>
      <c r="F749" s="2" t="s">
        <v>34</v>
      </c>
      <c r="G749" s="2" t="s">
        <v>57</v>
      </c>
      <c r="H749" s="2">
        <v>4</v>
      </c>
      <c r="I749" s="2">
        <v>22542.91</v>
      </c>
      <c r="J749" s="2">
        <v>0.05</v>
      </c>
      <c r="K749" s="2">
        <v>85663.06</v>
      </c>
      <c r="L749" s="2">
        <v>72519.77</v>
      </c>
      <c r="M749" s="2">
        <v>13143.29</v>
      </c>
      <c r="N749" s="2" t="s">
        <v>58</v>
      </c>
      <c r="O749" s="2" t="s">
        <v>30</v>
      </c>
    </row>
    <row r="750" spans="1:15" x14ac:dyDescent="0.3">
      <c r="A750" s="2" t="s">
        <v>884</v>
      </c>
      <c r="B750" s="3">
        <v>45692</v>
      </c>
      <c r="C750" s="2" t="s">
        <v>16</v>
      </c>
      <c r="D750" s="2" t="s">
        <v>52</v>
      </c>
      <c r="E750" s="2" t="s">
        <v>69</v>
      </c>
      <c r="F750" s="2" t="s">
        <v>43</v>
      </c>
      <c r="G750" s="2" t="s">
        <v>121</v>
      </c>
      <c r="H750" s="2">
        <v>3</v>
      </c>
      <c r="I750" s="2">
        <v>5221.87</v>
      </c>
      <c r="J750" s="2">
        <v>0.05</v>
      </c>
      <c r="K750" s="2">
        <v>14882.32</v>
      </c>
      <c r="L750" s="2">
        <v>11533.53</v>
      </c>
      <c r="M750" s="2">
        <v>3348.79</v>
      </c>
      <c r="N750" s="2" t="s">
        <v>29</v>
      </c>
      <c r="O750" s="2" t="s">
        <v>45</v>
      </c>
    </row>
    <row r="751" spans="1:15" x14ac:dyDescent="0.3">
      <c r="A751" s="2" t="s">
        <v>885</v>
      </c>
      <c r="B751" s="3">
        <v>46013</v>
      </c>
      <c r="C751" s="2" t="s">
        <v>37</v>
      </c>
      <c r="D751" s="2" t="s">
        <v>42</v>
      </c>
      <c r="E751" s="2" t="s">
        <v>69</v>
      </c>
      <c r="F751" s="2" t="s">
        <v>27</v>
      </c>
      <c r="G751" s="2" t="s">
        <v>125</v>
      </c>
      <c r="H751" s="2">
        <v>2</v>
      </c>
      <c r="I751" s="2">
        <v>8088.06</v>
      </c>
      <c r="J751" s="2">
        <v>0.1</v>
      </c>
      <c r="K751" s="2">
        <v>14558.52</v>
      </c>
      <c r="L751" s="2">
        <v>11487.81</v>
      </c>
      <c r="M751" s="2">
        <v>3070.71</v>
      </c>
      <c r="N751" s="2" t="s">
        <v>21</v>
      </c>
      <c r="O751" s="2" t="s">
        <v>59</v>
      </c>
    </row>
    <row r="752" spans="1:15" x14ac:dyDescent="0.3">
      <c r="A752" s="2" t="s">
        <v>886</v>
      </c>
      <c r="B752" s="3">
        <v>46021</v>
      </c>
      <c r="C752" s="2" t="s">
        <v>16</v>
      </c>
      <c r="D752" s="2" t="s">
        <v>52</v>
      </c>
      <c r="E752" s="2" t="s">
        <v>65</v>
      </c>
      <c r="F752" s="2" t="s">
        <v>43</v>
      </c>
      <c r="G752" s="2" t="s">
        <v>121</v>
      </c>
      <c r="H752" s="2">
        <v>3</v>
      </c>
      <c r="I752" s="2">
        <v>4751.26</v>
      </c>
      <c r="J752" s="2">
        <v>0.1</v>
      </c>
      <c r="K752" s="2">
        <v>12828.41</v>
      </c>
      <c r="L752" s="2">
        <v>10029.31</v>
      </c>
      <c r="M752" s="2">
        <v>2799.1</v>
      </c>
      <c r="N752" s="2" t="s">
        <v>21</v>
      </c>
      <c r="O752" s="2" t="s">
        <v>59</v>
      </c>
    </row>
    <row r="753" spans="1:15" x14ac:dyDescent="0.3">
      <c r="A753" s="2" t="s">
        <v>887</v>
      </c>
      <c r="B753" s="3">
        <v>45761</v>
      </c>
      <c r="C753" s="2" t="s">
        <v>16</v>
      </c>
      <c r="D753" s="2" t="s">
        <v>17</v>
      </c>
      <c r="E753" s="2" t="s">
        <v>18</v>
      </c>
      <c r="F753" s="2" t="s">
        <v>34</v>
      </c>
      <c r="G753" s="2" t="s">
        <v>35</v>
      </c>
      <c r="H753" s="2">
        <v>5</v>
      </c>
      <c r="I753" s="2">
        <v>18255.77</v>
      </c>
      <c r="J753" s="2">
        <v>0</v>
      </c>
      <c r="K753" s="2">
        <v>91278.87</v>
      </c>
      <c r="L753" s="2">
        <v>66034.41</v>
      </c>
      <c r="M753" s="2">
        <v>25244.46</v>
      </c>
      <c r="N753" s="2" t="s">
        <v>58</v>
      </c>
      <c r="O753" s="2" t="s">
        <v>45</v>
      </c>
    </row>
    <row r="754" spans="1:15" x14ac:dyDescent="0.3">
      <c r="A754" s="2" t="s">
        <v>888</v>
      </c>
      <c r="B754" s="3">
        <v>45944</v>
      </c>
      <c r="C754" s="2" t="s">
        <v>280</v>
      </c>
      <c r="D754" s="2" t="s">
        <v>117</v>
      </c>
      <c r="E754" s="2" t="s">
        <v>33</v>
      </c>
      <c r="F754" s="2" t="s">
        <v>34</v>
      </c>
      <c r="G754" s="2" t="s">
        <v>70</v>
      </c>
      <c r="H754" s="2">
        <v>6</v>
      </c>
      <c r="I754" s="2">
        <v>69949.06</v>
      </c>
      <c r="J754" s="2">
        <v>0.03</v>
      </c>
      <c r="K754" s="2">
        <v>407103.51</v>
      </c>
      <c r="L754" s="2">
        <v>293812.28999999998</v>
      </c>
      <c r="M754" s="2">
        <v>113291.22</v>
      </c>
      <c r="N754" s="2" t="s">
        <v>21</v>
      </c>
      <c r="O754" s="2" t="s">
        <v>40</v>
      </c>
    </row>
    <row r="755" spans="1:15" x14ac:dyDescent="0.3">
      <c r="A755" s="2" t="s">
        <v>889</v>
      </c>
      <c r="B755" s="3">
        <v>45925</v>
      </c>
      <c r="C755" s="2" t="s">
        <v>63</v>
      </c>
      <c r="D755" s="2" t="s">
        <v>88</v>
      </c>
      <c r="E755" s="2" t="s">
        <v>69</v>
      </c>
      <c r="F755" s="2" t="s">
        <v>34</v>
      </c>
      <c r="G755" s="2" t="s">
        <v>39</v>
      </c>
      <c r="H755" s="2">
        <v>6</v>
      </c>
      <c r="I755" s="2">
        <v>30910.26</v>
      </c>
      <c r="J755" s="2">
        <v>0.03</v>
      </c>
      <c r="K755" s="2">
        <v>179897.74</v>
      </c>
      <c r="L755" s="2">
        <v>138563.74</v>
      </c>
      <c r="M755" s="2">
        <v>41334</v>
      </c>
      <c r="N755" s="2" t="s">
        <v>29</v>
      </c>
      <c r="O755" s="2" t="s">
        <v>45</v>
      </c>
    </row>
    <row r="756" spans="1:15" x14ac:dyDescent="0.3">
      <c r="A756" s="2" t="s">
        <v>890</v>
      </c>
      <c r="B756" s="3">
        <v>45914</v>
      </c>
      <c r="C756" s="2" t="s">
        <v>63</v>
      </c>
      <c r="D756" s="2" t="s">
        <v>64</v>
      </c>
      <c r="E756" s="2" t="s">
        <v>49</v>
      </c>
      <c r="F756" s="2" t="s">
        <v>43</v>
      </c>
      <c r="G756" s="2" t="s">
        <v>84</v>
      </c>
      <c r="H756" s="2">
        <v>1</v>
      </c>
      <c r="I756" s="2">
        <v>39241.58</v>
      </c>
      <c r="J756" s="2">
        <v>0.05</v>
      </c>
      <c r="K756" s="2">
        <v>37279.5</v>
      </c>
      <c r="L756" s="2">
        <v>26296.6</v>
      </c>
      <c r="M756" s="2">
        <v>10982.9</v>
      </c>
      <c r="N756" s="2" t="s">
        <v>58</v>
      </c>
      <c r="O756" s="2" t="s">
        <v>45</v>
      </c>
    </row>
    <row r="757" spans="1:15" x14ac:dyDescent="0.3">
      <c r="A757" s="2" t="s">
        <v>891</v>
      </c>
      <c r="B757" s="3">
        <v>45725</v>
      </c>
      <c r="C757" s="2" t="s">
        <v>892</v>
      </c>
      <c r="D757" s="2" t="s">
        <v>64</v>
      </c>
      <c r="E757" s="2" t="s">
        <v>49</v>
      </c>
      <c r="F757" s="2" t="s">
        <v>34</v>
      </c>
      <c r="G757" s="2" t="s">
        <v>70</v>
      </c>
      <c r="H757" s="2">
        <v>4</v>
      </c>
      <c r="I757" s="2">
        <v>61008.28</v>
      </c>
      <c r="J757" s="2">
        <v>0.08</v>
      </c>
      <c r="K757" s="2">
        <v>224510.46</v>
      </c>
      <c r="L757" s="2">
        <v>163112.56</v>
      </c>
      <c r="M757" s="2">
        <v>61397.9</v>
      </c>
      <c r="N757" s="2" t="s">
        <v>21</v>
      </c>
      <c r="O757" s="2" t="s">
        <v>45</v>
      </c>
    </row>
    <row r="758" spans="1:15" x14ac:dyDescent="0.3">
      <c r="A758" s="2" t="s">
        <v>893</v>
      </c>
      <c r="B758" s="3">
        <v>45786</v>
      </c>
      <c r="C758" s="2" t="s">
        <v>37</v>
      </c>
      <c r="D758" s="2" t="s">
        <v>68</v>
      </c>
      <c r="E758" s="2" t="s">
        <v>49</v>
      </c>
      <c r="F758" s="2" t="s">
        <v>43</v>
      </c>
      <c r="G758" s="2" t="s">
        <v>91</v>
      </c>
      <c r="H758" s="2">
        <v>3</v>
      </c>
      <c r="I758" s="2">
        <v>44583.24</v>
      </c>
      <c r="J758" s="2">
        <v>0.1</v>
      </c>
      <c r="K758" s="2">
        <v>120374.75</v>
      </c>
      <c r="L758" s="2">
        <v>94941.73</v>
      </c>
      <c r="M758" s="2">
        <v>25433.02</v>
      </c>
      <c r="N758" s="2" t="s">
        <v>29</v>
      </c>
      <c r="O758" s="2" t="s">
        <v>45</v>
      </c>
    </row>
    <row r="759" spans="1:15" x14ac:dyDescent="0.3">
      <c r="A759" s="2" t="s">
        <v>894</v>
      </c>
      <c r="B759" s="3">
        <v>46003</v>
      </c>
      <c r="C759" s="2" t="s">
        <v>16</v>
      </c>
      <c r="D759" s="2" t="s">
        <v>32</v>
      </c>
      <c r="E759" s="2" t="s">
        <v>49</v>
      </c>
      <c r="F759" s="2" t="s">
        <v>27</v>
      </c>
      <c r="G759" s="2" t="s">
        <v>66</v>
      </c>
      <c r="H759" s="2">
        <v>5</v>
      </c>
      <c r="I759" s="2">
        <v>11635.03</v>
      </c>
      <c r="J759" s="2">
        <v>0</v>
      </c>
      <c r="K759" s="2">
        <v>58175.14</v>
      </c>
      <c r="L759" s="2">
        <v>36559.699999999997</v>
      </c>
      <c r="M759" s="2">
        <v>21615.439999999999</v>
      </c>
      <c r="N759" s="2" t="s">
        <v>21</v>
      </c>
      <c r="O759" s="2" t="s">
        <v>59</v>
      </c>
    </row>
    <row r="760" spans="1:15" x14ac:dyDescent="0.3">
      <c r="A760" s="2" t="s">
        <v>895</v>
      </c>
      <c r="B760" s="3">
        <v>45870</v>
      </c>
      <c r="C760" s="2" t="s">
        <v>63</v>
      </c>
      <c r="D760" s="2" t="s">
        <v>117</v>
      </c>
      <c r="E760" s="2" t="s">
        <v>26</v>
      </c>
      <c r="F760" s="2" t="s">
        <v>19</v>
      </c>
      <c r="G760" s="2" t="s">
        <v>20</v>
      </c>
      <c r="H760" s="2">
        <v>1</v>
      </c>
      <c r="I760" s="2">
        <v>672.67</v>
      </c>
      <c r="J760" s="2">
        <v>0.08</v>
      </c>
      <c r="K760" s="2">
        <v>618.86</v>
      </c>
      <c r="L760" s="2">
        <v>400.96</v>
      </c>
      <c r="M760" s="2">
        <v>217.9</v>
      </c>
      <c r="N760" s="2" t="s">
        <v>58</v>
      </c>
      <c r="O760" s="2" t="s">
        <v>59</v>
      </c>
    </row>
    <row r="761" spans="1:15" x14ac:dyDescent="0.3">
      <c r="A761" s="2" t="s">
        <v>896</v>
      </c>
      <c r="B761" s="3">
        <v>45935</v>
      </c>
      <c r="C761" s="2" t="s">
        <v>37</v>
      </c>
      <c r="D761" s="2" t="s">
        <v>42</v>
      </c>
      <c r="E761" s="2" t="s">
        <v>69</v>
      </c>
      <c r="F761" s="2" t="s">
        <v>27</v>
      </c>
      <c r="G761" s="2" t="s">
        <v>50</v>
      </c>
      <c r="H761" s="2">
        <v>3</v>
      </c>
      <c r="I761" s="2">
        <v>29542.59</v>
      </c>
      <c r="J761" s="2">
        <v>0.03</v>
      </c>
      <c r="K761" s="2">
        <v>85968.93</v>
      </c>
      <c r="L761" s="2">
        <v>58605.279999999999</v>
      </c>
      <c r="M761" s="2">
        <v>27363.65</v>
      </c>
      <c r="N761" s="2" t="s">
        <v>21</v>
      </c>
      <c r="O761" s="2" t="s">
        <v>30</v>
      </c>
    </row>
    <row r="762" spans="1:15" x14ac:dyDescent="0.3">
      <c r="A762" s="2" t="s">
        <v>897</v>
      </c>
      <c r="B762" s="3">
        <v>45942</v>
      </c>
      <c r="C762" s="2" t="s">
        <v>37</v>
      </c>
      <c r="D762" s="2" t="s">
        <v>42</v>
      </c>
      <c r="E762" s="2" t="s">
        <v>26</v>
      </c>
      <c r="F762" s="2" t="s">
        <v>43</v>
      </c>
      <c r="G762" s="2" t="s">
        <v>84</v>
      </c>
      <c r="H762" s="2">
        <v>4</v>
      </c>
      <c r="I762" s="2">
        <v>43013.3</v>
      </c>
      <c r="J762" s="2">
        <v>0.08</v>
      </c>
      <c r="K762" s="2">
        <v>158288.93</v>
      </c>
      <c r="L762" s="2">
        <v>110833.01</v>
      </c>
      <c r="M762" s="2">
        <v>47455.92</v>
      </c>
      <c r="N762" s="2" t="s">
        <v>21</v>
      </c>
      <c r="O762" s="2" t="s">
        <v>30</v>
      </c>
    </row>
    <row r="763" spans="1:15" x14ac:dyDescent="0.3">
      <c r="A763" s="2" t="s">
        <v>898</v>
      </c>
      <c r="B763" s="3">
        <v>45744</v>
      </c>
      <c r="C763" s="2"/>
      <c r="D763" s="2" t="s">
        <v>95</v>
      </c>
      <c r="E763" s="2" t="s">
        <v>65</v>
      </c>
      <c r="F763" s="2" t="s">
        <v>27</v>
      </c>
      <c r="G763" s="2" t="s">
        <v>28</v>
      </c>
      <c r="H763" s="2">
        <v>1</v>
      </c>
      <c r="I763" s="2">
        <v>29664.55</v>
      </c>
      <c r="J763" s="2">
        <v>0.05</v>
      </c>
      <c r="K763" s="2">
        <v>28181.32</v>
      </c>
      <c r="L763" s="2">
        <v>19792.080000000002</v>
      </c>
      <c r="M763" s="2">
        <v>8389.24</v>
      </c>
      <c r="N763" s="2" t="s">
        <v>58</v>
      </c>
      <c r="O763" s="2" t="s">
        <v>45</v>
      </c>
    </row>
    <row r="764" spans="1:15" x14ac:dyDescent="0.3">
      <c r="A764" s="2" t="s">
        <v>899</v>
      </c>
      <c r="B764" s="3">
        <v>45846</v>
      </c>
      <c r="C764" s="2" t="s">
        <v>63</v>
      </c>
      <c r="D764" s="2" t="s">
        <v>95</v>
      </c>
      <c r="E764" s="2" t="s">
        <v>26</v>
      </c>
      <c r="F764" s="2" t="s">
        <v>27</v>
      </c>
      <c r="G764" s="2" t="s">
        <v>66</v>
      </c>
      <c r="H764" s="2">
        <v>5</v>
      </c>
      <c r="I764" s="2">
        <v>11541.16</v>
      </c>
      <c r="J764" s="2">
        <v>0</v>
      </c>
      <c r="K764" s="2">
        <v>57705.81</v>
      </c>
      <c r="L764" s="2">
        <v>41279.85</v>
      </c>
      <c r="M764" s="2">
        <v>16425.96</v>
      </c>
      <c r="N764" s="2" t="s">
        <v>21</v>
      </c>
      <c r="O764" s="2" t="s">
        <v>40</v>
      </c>
    </row>
    <row r="765" spans="1:15" x14ac:dyDescent="0.3">
      <c r="A765" s="2" t="s">
        <v>900</v>
      </c>
      <c r="B765" s="3">
        <v>45778</v>
      </c>
      <c r="C765" s="2" t="s">
        <v>54</v>
      </c>
      <c r="D765" s="2" t="s">
        <v>55</v>
      </c>
      <c r="E765" s="2" t="s">
        <v>65</v>
      </c>
      <c r="F765" s="2" t="s">
        <v>34</v>
      </c>
      <c r="G765" s="2" t="s">
        <v>80</v>
      </c>
      <c r="H765" s="2">
        <v>1</v>
      </c>
      <c r="I765" s="2">
        <v>4293.25</v>
      </c>
      <c r="J765" s="2">
        <v>0.08</v>
      </c>
      <c r="K765" s="2">
        <v>3949.79</v>
      </c>
      <c r="L765" s="2">
        <v>2963.49</v>
      </c>
      <c r="M765" s="2">
        <v>986.3</v>
      </c>
      <c r="N765" s="2" t="s">
        <v>21</v>
      </c>
      <c r="O765" s="2" t="s">
        <v>59</v>
      </c>
    </row>
    <row r="766" spans="1:15" x14ac:dyDescent="0.3">
      <c r="A766" s="2" t="s">
        <v>122</v>
      </c>
      <c r="B766" s="3">
        <v>45896</v>
      </c>
      <c r="C766" s="2" t="s">
        <v>37</v>
      </c>
      <c r="D766" s="2" t="s">
        <v>68</v>
      </c>
      <c r="E766" s="2" t="s">
        <v>33</v>
      </c>
      <c r="F766" s="2" t="s">
        <v>27</v>
      </c>
      <c r="G766" s="2" t="s">
        <v>28</v>
      </c>
      <c r="H766" s="2">
        <v>5</v>
      </c>
      <c r="I766" s="2">
        <v>29061.919999999998</v>
      </c>
      <c r="J766" s="2">
        <v>0.05</v>
      </c>
      <c r="K766" s="2">
        <v>138044.12</v>
      </c>
      <c r="L766" s="2">
        <v>108971.97</v>
      </c>
      <c r="M766" s="2">
        <v>29072.15</v>
      </c>
      <c r="N766" s="2" t="s">
        <v>21</v>
      </c>
      <c r="O766" s="2" t="s">
        <v>59</v>
      </c>
    </row>
    <row r="767" spans="1:15" x14ac:dyDescent="0.3">
      <c r="A767" s="2" t="s">
        <v>901</v>
      </c>
      <c r="B767" s="3">
        <v>45836</v>
      </c>
      <c r="C767" s="2" t="s">
        <v>54</v>
      </c>
      <c r="D767" s="2" t="s">
        <v>55</v>
      </c>
      <c r="E767" s="2" t="s">
        <v>33</v>
      </c>
      <c r="F767" s="2" t="s">
        <v>34</v>
      </c>
      <c r="G767" s="2" t="s">
        <v>39</v>
      </c>
      <c r="H767" s="2">
        <v>1</v>
      </c>
      <c r="I767" s="2">
        <v>27870.63</v>
      </c>
      <c r="J767" s="2">
        <v>0.05</v>
      </c>
      <c r="K767" s="2">
        <v>26477.1</v>
      </c>
      <c r="L767" s="2">
        <v>19629.97</v>
      </c>
      <c r="M767" s="2">
        <v>6847.13</v>
      </c>
      <c r="N767" s="2" t="s">
        <v>58</v>
      </c>
      <c r="O767" s="2" t="s">
        <v>59</v>
      </c>
    </row>
    <row r="768" spans="1:15" x14ac:dyDescent="0.3">
      <c r="A768" s="2" t="s">
        <v>902</v>
      </c>
      <c r="B768" s="3">
        <v>45746</v>
      </c>
      <c r="C768" s="2" t="s">
        <v>16</v>
      </c>
      <c r="D768" s="2" t="s">
        <v>32</v>
      </c>
      <c r="E768" s="2" t="s">
        <v>33</v>
      </c>
      <c r="F768" s="2" t="s">
        <v>43</v>
      </c>
      <c r="G768" s="2" t="s">
        <v>84</v>
      </c>
      <c r="H768" s="2">
        <v>5</v>
      </c>
      <c r="I768" s="2">
        <v>41512.839999999997</v>
      </c>
      <c r="J768" s="2">
        <v>0.03</v>
      </c>
      <c r="K768" s="2">
        <v>201337.27</v>
      </c>
      <c r="L768" s="2">
        <v>143392.12</v>
      </c>
      <c r="M768" s="2">
        <v>57945.15</v>
      </c>
      <c r="N768" s="2" t="s">
        <v>21</v>
      </c>
      <c r="O768" s="2" t="s">
        <v>22</v>
      </c>
    </row>
    <row r="769" spans="1:15" x14ac:dyDescent="0.3">
      <c r="A769" s="2" t="s">
        <v>903</v>
      </c>
      <c r="B769" s="3">
        <v>45915</v>
      </c>
      <c r="C769" s="2" t="s">
        <v>16</v>
      </c>
      <c r="D769" s="2" t="s">
        <v>82</v>
      </c>
      <c r="E769" s="2" t="s">
        <v>26</v>
      </c>
      <c r="F769" s="2" t="s">
        <v>34</v>
      </c>
      <c r="G769" s="2" t="s">
        <v>35</v>
      </c>
      <c r="H769" s="2">
        <v>8</v>
      </c>
      <c r="I769" s="2">
        <v>17725.400000000001</v>
      </c>
      <c r="J769" s="2">
        <v>0.05</v>
      </c>
      <c r="K769" s="2">
        <v>134713.06</v>
      </c>
      <c r="L769" s="2">
        <v>89725.57</v>
      </c>
      <c r="M769" s="2">
        <v>44987.49</v>
      </c>
      <c r="N769" s="2" t="s">
        <v>58</v>
      </c>
      <c r="O769" s="2" t="s">
        <v>40</v>
      </c>
    </row>
    <row r="770" spans="1:15" x14ac:dyDescent="0.3">
      <c r="A770" s="2" t="s">
        <v>904</v>
      </c>
      <c r="B770" s="3">
        <v>45964</v>
      </c>
      <c r="C770" s="2" t="s">
        <v>54</v>
      </c>
      <c r="D770" s="2" t="s">
        <v>48</v>
      </c>
      <c r="E770" s="2" t="s">
        <v>65</v>
      </c>
      <c r="F770" s="2" t="s">
        <v>34</v>
      </c>
      <c r="G770" s="2" t="s">
        <v>35</v>
      </c>
      <c r="H770" s="2">
        <v>1</v>
      </c>
      <c r="I770" s="2">
        <v>17287.45</v>
      </c>
      <c r="J770" s="2">
        <v>0.1</v>
      </c>
      <c r="K770" s="2">
        <v>15558.7</v>
      </c>
      <c r="L770" s="2">
        <v>12274.96</v>
      </c>
      <c r="M770" s="2">
        <v>3283.74</v>
      </c>
      <c r="N770" s="2" t="s">
        <v>29</v>
      </c>
      <c r="O770" s="2" t="s">
        <v>40</v>
      </c>
    </row>
    <row r="771" spans="1:15" x14ac:dyDescent="0.3">
      <c r="A771" s="2" t="s">
        <v>905</v>
      </c>
      <c r="B771" s="3">
        <v>45767</v>
      </c>
      <c r="C771" s="2" t="s">
        <v>54</v>
      </c>
      <c r="D771" s="2"/>
      <c r="E771" s="2" t="s">
        <v>18</v>
      </c>
      <c r="F771" s="2" t="s">
        <v>34</v>
      </c>
      <c r="G771" s="2" t="s">
        <v>70</v>
      </c>
      <c r="H771" s="2">
        <v>1</v>
      </c>
      <c r="I771" s="2">
        <v>65442.78</v>
      </c>
      <c r="J771" s="2">
        <v>0.03</v>
      </c>
      <c r="K771" s="2">
        <v>63479.5</v>
      </c>
      <c r="L771" s="2">
        <v>48096.56</v>
      </c>
      <c r="M771" s="2">
        <v>15382.94</v>
      </c>
      <c r="N771" s="2" t="s">
        <v>29</v>
      </c>
      <c r="O771" s="2" t="s">
        <v>30</v>
      </c>
    </row>
    <row r="772" spans="1:15" x14ac:dyDescent="0.3">
      <c r="A772" s="2" t="s">
        <v>906</v>
      </c>
      <c r="B772" s="3">
        <v>45841</v>
      </c>
      <c r="C772" s="2" t="s">
        <v>16</v>
      </c>
      <c r="D772" s="2" t="s">
        <v>17</v>
      </c>
      <c r="E772" s="2" t="s">
        <v>49</v>
      </c>
      <c r="F772" s="2" t="s">
        <v>34</v>
      </c>
      <c r="G772" s="2" t="s">
        <v>70</v>
      </c>
      <c r="H772" s="2">
        <v>6</v>
      </c>
      <c r="I772" s="2">
        <v>67424.789999999994</v>
      </c>
      <c r="J772" s="2">
        <v>0</v>
      </c>
      <c r="K772" s="2">
        <v>404548.75</v>
      </c>
      <c r="L772" s="2">
        <v>343192.92</v>
      </c>
      <c r="M772" s="2">
        <v>61355.83</v>
      </c>
      <c r="N772" s="2" t="s">
        <v>21</v>
      </c>
      <c r="O772" s="2" t="s">
        <v>59</v>
      </c>
    </row>
    <row r="773" spans="1:15" x14ac:dyDescent="0.3">
      <c r="A773" s="2" t="s">
        <v>907</v>
      </c>
      <c r="B773" s="3">
        <v>45932</v>
      </c>
      <c r="C773" s="2" t="s">
        <v>16</v>
      </c>
      <c r="D773" s="2" t="s">
        <v>82</v>
      </c>
      <c r="E773" s="2" t="s">
        <v>74</v>
      </c>
      <c r="F773" s="2" t="s">
        <v>34</v>
      </c>
      <c r="G773" s="2" t="s">
        <v>35</v>
      </c>
      <c r="H773" s="2">
        <v>5</v>
      </c>
      <c r="I773" s="2">
        <v>17965.740000000002</v>
      </c>
      <c r="J773" s="2">
        <v>0.08</v>
      </c>
      <c r="K773" s="2">
        <v>82642.41</v>
      </c>
      <c r="L773" s="2">
        <v>65801.98</v>
      </c>
      <c r="M773" s="2">
        <v>16840.43</v>
      </c>
      <c r="N773" s="2" t="s">
        <v>21</v>
      </c>
      <c r="O773" s="2" t="s">
        <v>30</v>
      </c>
    </row>
    <row r="774" spans="1:15" x14ac:dyDescent="0.3">
      <c r="A774" s="2" t="s">
        <v>908</v>
      </c>
      <c r="B774" s="3">
        <v>45861</v>
      </c>
      <c r="C774" s="2" t="s">
        <v>63</v>
      </c>
      <c r="D774" s="2" t="s">
        <v>64</v>
      </c>
      <c r="E774" s="2" t="s">
        <v>56</v>
      </c>
      <c r="F774" s="2" t="s">
        <v>43</v>
      </c>
      <c r="G774" s="2" t="s">
        <v>121</v>
      </c>
      <c r="H774" s="2">
        <v>8</v>
      </c>
      <c r="I774" s="2">
        <v>4777.67</v>
      </c>
      <c r="J774" s="2">
        <v>0.1</v>
      </c>
      <c r="K774" s="2">
        <v>34399.19</v>
      </c>
      <c r="L774" s="2">
        <v>26349.919999999998</v>
      </c>
      <c r="M774" s="2">
        <v>8049.27</v>
      </c>
      <c r="N774" s="2" t="s">
        <v>21</v>
      </c>
      <c r="O774" s="2" t="s">
        <v>45</v>
      </c>
    </row>
    <row r="775" spans="1:15" x14ac:dyDescent="0.3">
      <c r="A775" s="2" t="s">
        <v>909</v>
      </c>
      <c r="B775" s="3">
        <v>45982</v>
      </c>
      <c r="C775" s="2" t="s">
        <v>63</v>
      </c>
      <c r="D775" s="2" t="s">
        <v>117</v>
      </c>
      <c r="E775" s="2" t="s">
        <v>56</v>
      </c>
      <c r="F775" s="2" t="s">
        <v>34</v>
      </c>
      <c r="G775" s="2" t="s">
        <v>57</v>
      </c>
      <c r="H775" s="2">
        <v>6</v>
      </c>
      <c r="I775" s="2">
        <v>20977.11</v>
      </c>
      <c r="J775" s="2">
        <v>0</v>
      </c>
      <c r="K775" s="2">
        <v>125862.67</v>
      </c>
      <c r="L775" s="2">
        <v>108164.05</v>
      </c>
      <c r="M775" s="2">
        <v>17698.62</v>
      </c>
      <c r="N775" s="2" t="s">
        <v>21</v>
      </c>
      <c r="O775" s="2" t="s">
        <v>22</v>
      </c>
    </row>
    <row r="776" spans="1:15" x14ac:dyDescent="0.3">
      <c r="A776" s="2" t="s">
        <v>910</v>
      </c>
      <c r="B776" s="3">
        <v>45695</v>
      </c>
      <c r="C776" s="2" t="s">
        <v>37</v>
      </c>
      <c r="D776" s="2" t="s">
        <v>68</v>
      </c>
      <c r="E776" s="2" t="s">
        <v>18</v>
      </c>
      <c r="F776" s="2" t="s">
        <v>27</v>
      </c>
      <c r="G776" s="2" t="s">
        <v>28</v>
      </c>
      <c r="H776" s="2">
        <v>5</v>
      </c>
      <c r="I776" s="2">
        <v>28762.74</v>
      </c>
      <c r="J776" s="2">
        <v>0.03</v>
      </c>
      <c r="K776" s="2">
        <v>139499.28</v>
      </c>
      <c r="L776" s="2">
        <v>107407.6</v>
      </c>
      <c r="M776" s="2">
        <v>32091.68</v>
      </c>
      <c r="N776" s="2" t="s">
        <v>58</v>
      </c>
      <c r="O776" s="2" t="s">
        <v>22</v>
      </c>
    </row>
    <row r="777" spans="1:15" x14ac:dyDescent="0.3">
      <c r="A777" s="2" t="s">
        <v>911</v>
      </c>
      <c r="B777" s="3">
        <v>45721</v>
      </c>
      <c r="C777" s="2" t="s">
        <v>16</v>
      </c>
      <c r="D777" s="2" t="s">
        <v>82</v>
      </c>
      <c r="E777" s="2" t="s">
        <v>56</v>
      </c>
      <c r="F777" s="2" t="s">
        <v>27</v>
      </c>
      <c r="G777" s="2" t="s">
        <v>66</v>
      </c>
      <c r="H777" s="2">
        <v>8</v>
      </c>
      <c r="I777" s="2">
        <v>10909.2</v>
      </c>
      <c r="J777" s="2">
        <v>0.03</v>
      </c>
      <c r="K777" s="2">
        <v>84655.37</v>
      </c>
      <c r="L777" s="2">
        <v>67610.91</v>
      </c>
      <c r="M777" s="2">
        <v>17044.46</v>
      </c>
      <c r="N777" s="2" t="s">
        <v>58</v>
      </c>
      <c r="O777" s="2" t="s">
        <v>45</v>
      </c>
    </row>
    <row r="778" spans="1:15" x14ac:dyDescent="0.3">
      <c r="A778" s="2" t="s">
        <v>912</v>
      </c>
      <c r="B778" s="3">
        <v>45867</v>
      </c>
      <c r="C778" s="2" t="s">
        <v>54</v>
      </c>
      <c r="D778" s="2" t="s">
        <v>124</v>
      </c>
      <c r="E778" s="2" t="s">
        <v>49</v>
      </c>
      <c r="F778" s="2" t="s">
        <v>34</v>
      </c>
      <c r="G778" s="2" t="s">
        <v>57</v>
      </c>
      <c r="H778" s="2">
        <v>1</v>
      </c>
      <c r="I778" s="2">
        <v>22047.29</v>
      </c>
      <c r="J778" s="2">
        <v>0.08</v>
      </c>
      <c r="K778" s="2">
        <v>20283.509999999998</v>
      </c>
      <c r="L778" s="2">
        <v>16906.810000000001</v>
      </c>
      <c r="M778" s="2">
        <v>3376.7</v>
      </c>
      <c r="N778" s="2" t="s">
        <v>58</v>
      </c>
      <c r="O778" s="2" t="s">
        <v>22</v>
      </c>
    </row>
    <row r="779" spans="1:15" x14ac:dyDescent="0.3">
      <c r="A779" s="2" t="s">
        <v>913</v>
      </c>
      <c r="B779" s="3">
        <v>45894</v>
      </c>
      <c r="C779" s="2" t="s">
        <v>16</v>
      </c>
      <c r="D779" s="2" t="s">
        <v>17</v>
      </c>
      <c r="E779" s="2" t="s">
        <v>26</v>
      </c>
      <c r="F779" s="2" t="s">
        <v>34</v>
      </c>
      <c r="G779" s="2" t="s">
        <v>57</v>
      </c>
      <c r="H779" s="2">
        <v>5</v>
      </c>
      <c r="I779" s="2">
        <v>22589.08</v>
      </c>
      <c r="J779" s="2">
        <v>0</v>
      </c>
      <c r="K779" s="2">
        <v>112945.38</v>
      </c>
      <c r="L779" s="2">
        <v>78879.839999999997</v>
      </c>
      <c r="M779" s="2">
        <v>34065.54</v>
      </c>
      <c r="N779" s="2" t="s">
        <v>21</v>
      </c>
      <c r="O779" s="2" t="s">
        <v>22</v>
      </c>
    </row>
    <row r="780" spans="1:15" x14ac:dyDescent="0.3">
      <c r="A780" s="2" t="s">
        <v>914</v>
      </c>
      <c r="B780" s="3">
        <v>45872</v>
      </c>
      <c r="C780" s="2" t="s">
        <v>37</v>
      </c>
      <c r="D780" s="2" t="s">
        <v>68</v>
      </c>
      <c r="E780" s="2" t="s">
        <v>65</v>
      </c>
      <c r="F780" s="2" t="s">
        <v>34</v>
      </c>
      <c r="G780" s="2" t="s">
        <v>39</v>
      </c>
      <c r="H780" s="2">
        <v>7</v>
      </c>
      <c r="I780" s="2">
        <v>28860.93</v>
      </c>
      <c r="J780" s="2">
        <v>0.03</v>
      </c>
      <c r="K780" s="2">
        <v>195965.7</v>
      </c>
      <c r="L780" s="2">
        <v>153910.35999999999</v>
      </c>
      <c r="M780" s="2">
        <v>42055.34</v>
      </c>
      <c r="N780" s="2" t="s">
        <v>21</v>
      </c>
      <c r="O780" s="2" t="s">
        <v>30</v>
      </c>
    </row>
    <row r="781" spans="1:15" x14ac:dyDescent="0.3">
      <c r="A781" s="2" t="s">
        <v>915</v>
      </c>
      <c r="B781" s="3">
        <v>45925</v>
      </c>
      <c r="C781" s="2" t="s">
        <v>16</v>
      </c>
      <c r="D781" s="2" t="s">
        <v>52</v>
      </c>
      <c r="E781" s="2" t="s">
        <v>26</v>
      </c>
      <c r="F781" s="2" t="s">
        <v>34</v>
      </c>
      <c r="G781" s="2" t="s">
        <v>80</v>
      </c>
      <c r="H781" s="2">
        <v>3</v>
      </c>
      <c r="I781" s="2">
        <v>4192.74</v>
      </c>
      <c r="J781" s="2">
        <v>0.1</v>
      </c>
      <c r="K781" s="2">
        <v>11320.39</v>
      </c>
      <c r="L781" s="2">
        <v>9062.86</v>
      </c>
      <c r="M781" s="2">
        <v>2257.5300000000002</v>
      </c>
      <c r="N781" s="2" t="s">
        <v>58</v>
      </c>
      <c r="O781" s="2" t="s">
        <v>45</v>
      </c>
    </row>
    <row r="782" spans="1:15" x14ac:dyDescent="0.3">
      <c r="A782" s="2" t="s">
        <v>916</v>
      </c>
      <c r="B782" s="3">
        <v>45865</v>
      </c>
      <c r="C782" s="2" t="s">
        <v>63</v>
      </c>
      <c r="D782" s="2" t="s">
        <v>95</v>
      </c>
      <c r="E782" s="2" t="s">
        <v>69</v>
      </c>
      <c r="F782" s="2" t="s">
        <v>27</v>
      </c>
      <c r="G782" s="2" t="s">
        <v>125</v>
      </c>
      <c r="H782" s="2">
        <v>5</v>
      </c>
      <c r="I782" s="2">
        <v>8500.49</v>
      </c>
      <c r="J782" s="2">
        <v>0.05</v>
      </c>
      <c r="K782" s="2">
        <v>40377.32</v>
      </c>
      <c r="L782" s="2">
        <v>27722.36</v>
      </c>
      <c r="M782" s="2">
        <v>12654.96</v>
      </c>
      <c r="N782" s="2" t="s">
        <v>58</v>
      </c>
      <c r="O782" s="2" t="s">
        <v>59</v>
      </c>
    </row>
    <row r="783" spans="1:15" x14ac:dyDescent="0.3">
      <c r="A783" s="2" t="s">
        <v>917</v>
      </c>
      <c r="B783" s="3">
        <v>45811</v>
      </c>
      <c r="C783" s="2" t="s">
        <v>54</v>
      </c>
      <c r="D783" s="2" t="s">
        <v>174</v>
      </c>
      <c r="E783" s="2" t="s">
        <v>65</v>
      </c>
      <c r="F783" s="2" t="s">
        <v>19</v>
      </c>
      <c r="G783" s="2" t="s">
        <v>20</v>
      </c>
      <c r="H783" s="2">
        <v>7</v>
      </c>
      <c r="I783" s="2">
        <v>742.88</v>
      </c>
      <c r="J783" s="2"/>
      <c r="K783" s="2">
        <v>4940.1400000000003</v>
      </c>
      <c r="L783" s="2">
        <v>3676.61</v>
      </c>
      <c r="M783" s="2">
        <v>1263.53</v>
      </c>
      <c r="N783" s="2" t="s">
        <v>58</v>
      </c>
      <c r="O783" s="2" t="s">
        <v>30</v>
      </c>
    </row>
    <row r="784" spans="1:15" x14ac:dyDescent="0.3">
      <c r="A784" s="2" t="s">
        <v>918</v>
      </c>
      <c r="B784" s="3">
        <v>46006</v>
      </c>
      <c r="C784" s="2" t="s">
        <v>54</v>
      </c>
      <c r="D784" s="2" t="s">
        <v>124</v>
      </c>
      <c r="E784" s="2" t="s">
        <v>56</v>
      </c>
      <c r="F784" s="2" t="s">
        <v>34</v>
      </c>
      <c r="G784" s="2" t="s">
        <v>57</v>
      </c>
      <c r="H784" s="2">
        <v>3</v>
      </c>
      <c r="I784" s="2">
        <v>22105.16</v>
      </c>
      <c r="J784" s="2">
        <v>0.08</v>
      </c>
      <c r="K784" s="2">
        <v>61010.25</v>
      </c>
      <c r="L784" s="2">
        <v>44890.22</v>
      </c>
      <c r="M784" s="2">
        <v>16120.03</v>
      </c>
      <c r="N784" s="2" t="s">
        <v>29</v>
      </c>
      <c r="O784" s="2" t="s">
        <v>59</v>
      </c>
    </row>
    <row r="785" spans="1:15" x14ac:dyDescent="0.3">
      <c r="A785" s="2" t="s">
        <v>919</v>
      </c>
      <c r="B785" s="3">
        <v>45949</v>
      </c>
      <c r="C785" s="2" t="s">
        <v>63</v>
      </c>
      <c r="D785" s="2" t="s">
        <v>95</v>
      </c>
      <c r="E785" s="2" t="s">
        <v>49</v>
      </c>
      <c r="F785" s="2" t="s">
        <v>34</v>
      </c>
      <c r="G785" s="2" t="s">
        <v>70</v>
      </c>
      <c r="H785" s="2">
        <v>5</v>
      </c>
      <c r="I785" s="2">
        <v>60552.52</v>
      </c>
      <c r="J785" s="2">
        <v>0.1</v>
      </c>
      <c r="K785" s="2">
        <v>272486.32</v>
      </c>
      <c r="L785" s="2">
        <v>185726.35</v>
      </c>
      <c r="M785" s="2">
        <v>86759.97</v>
      </c>
      <c r="N785" s="2" t="s">
        <v>29</v>
      </c>
      <c r="O785" s="2" t="s">
        <v>30</v>
      </c>
    </row>
    <row r="786" spans="1:15" x14ac:dyDescent="0.3">
      <c r="A786" s="2" t="s">
        <v>920</v>
      </c>
      <c r="B786" s="3">
        <v>45748</v>
      </c>
      <c r="C786" s="2" t="s">
        <v>63</v>
      </c>
      <c r="D786" s="2" t="s">
        <v>64</v>
      </c>
      <c r="E786" s="2" t="s">
        <v>65</v>
      </c>
      <c r="F786" s="2" t="s">
        <v>19</v>
      </c>
      <c r="G786" s="2" t="s">
        <v>102</v>
      </c>
      <c r="H786" s="2">
        <v>1</v>
      </c>
      <c r="I786" s="2">
        <v>241.09</v>
      </c>
      <c r="J786" s="2">
        <v>0.15</v>
      </c>
      <c r="K786" s="2">
        <v>204.93</v>
      </c>
      <c r="L786" s="2">
        <v>163.98</v>
      </c>
      <c r="M786" s="2">
        <v>40.950000000000003</v>
      </c>
      <c r="N786" s="2" t="s">
        <v>29</v>
      </c>
      <c r="O786" s="2" t="s">
        <v>40</v>
      </c>
    </row>
    <row r="787" spans="1:15" x14ac:dyDescent="0.3">
      <c r="A787" s="2" t="s">
        <v>921</v>
      </c>
      <c r="B787" s="3">
        <v>45973</v>
      </c>
      <c r="C787" s="2" t="s">
        <v>54</v>
      </c>
      <c r="D787" s="2" t="s">
        <v>174</v>
      </c>
      <c r="E787" s="2" t="s">
        <v>18</v>
      </c>
      <c r="F787" s="2" t="s">
        <v>96</v>
      </c>
      <c r="G787" s="2" t="s">
        <v>57</v>
      </c>
      <c r="H787" s="2">
        <v>7</v>
      </c>
      <c r="I787" s="2">
        <v>23199.56</v>
      </c>
      <c r="J787" s="2">
        <v>0</v>
      </c>
      <c r="K787" s="2">
        <v>162396.94</v>
      </c>
      <c r="L787" s="2">
        <v>114980.36</v>
      </c>
      <c r="M787" s="2">
        <v>47416.58</v>
      </c>
      <c r="N787" s="2" t="s">
        <v>21</v>
      </c>
      <c r="O787" s="2" t="s">
        <v>59</v>
      </c>
    </row>
    <row r="788" spans="1:15" x14ac:dyDescent="0.3">
      <c r="A788" s="2" t="s">
        <v>922</v>
      </c>
      <c r="B788" s="3">
        <v>45676</v>
      </c>
      <c r="C788" s="2" t="s">
        <v>37</v>
      </c>
      <c r="D788" s="2" t="s">
        <v>68</v>
      </c>
      <c r="E788" s="2" t="s">
        <v>18</v>
      </c>
      <c r="F788" s="2" t="s">
        <v>34</v>
      </c>
      <c r="G788" s="2" t="s">
        <v>39</v>
      </c>
      <c r="H788" s="2">
        <v>2</v>
      </c>
      <c r="I788" s="2">
        <v>29644.29</v>
      </c>
      <c r="J788" s="2">
        <v>0.15</v>
      </c>
      <c r="K788" s="2">
        <v>50395.29</v>
      </c>
      <c r="L788" s="2">
        <v>37946.339999999997</v>
      </c>
      <c r="M788" s="2">
        <v>12448.95</v>
      </c>
      <c r="N788" s="2" t="s">
        <v>21</v>
      </c>
      <c r="O788" s="2" t="s">
        <v>45</v>
      </c>
    </row>
    <row r="789" spans="1:15" x14ac:dyDescent="0.3">
      <c r="A789" s="2" t="s">
        <v>923</v>
      </c>
      <c r="B789" s="3">
        <v>45988</v>
      </c>
      <c r="C789" s="2" t="s">
        <v>54</v>
      </c>
      <c r="D789" s="2" t="s">
        <v>48</v>
      </c>
      <c r="E789" s="2" t="s">
        <v>26</v>
      </c>
      <c r="F789" s="2" t="s">
        <v>43</v>
      </c>
      <c r="G789" s="2" t="s">
        <v>84</v>
      </c>
      <c r="H789" s="2">
        <v>7</v>
      </c>
      <c r="I789" s="2">
        <v>41749.26</v>
      </c>
      <c r="J789" s="2">
        <v>0.1</v>
      </c>
      <c r="K789" s="2">
        <v>263020.34999999998</v>
      </c>
      <c r="L789" s="2">
        <v>174412.71</v>
      </c>
      <c r="M789" s="2">
        <v>88607.64</v>
      </c>
      <c r="N789" s="2" t="s">
        <v>21</v>
      </c>
      <c r="O789" s="2" t="s">
        <v>59</v>
      </c>
    </row>
    <row r="790" spans="1:15" x14ac:dyDescent="0.3">
      <c r="A790" s="2" t="s">
        <v>924</v>
      </c>
      <c r="B790" s="3">
        <v>45957</v>
      </c>
      <c r="C790" s="2" t="s">
        <v>16</v>
      </c>
      <c r="D790" s="2" t="s">
        <v>32</v>
      </c>
      <c r="E790" s="2" t="s">
        <v>74</v>
      </c>
      <c r="F790" s="2" t="s">
        <v>43</v>
      </c>
      <c r="G790" s="2" t="s">
        <v>75</v>
      </c>
      <c r="H790" s="2">
        <v>3</v>
      </c>
      <c r="I790" s="2">
        <v>37307.39</v>
      </c>
      <c r="J790" s="2">
        <v>0.05</v>
      </c>
      <c r="K790" s="2">
        <v>106326.07</v>
      </c>
      <c r="L790" s="2">
        <v>70069.279999999999</v>
      </c>
      <c r="M790" s="2">
        <v>36256.79</v>
      </c>
      <c r="N790" s="2" t="s">
        <v>21</v>
      </c>
      <c r="O790" s="2" t="s">
        <v>59</v>
      </c>
    </row>
    <row r="791" spans="1:15" x14ac:dyDescent="0.3">
      <c r="A791" s="2" t="s">
        <v>925</v>
      </c>
      <c r="B791" s="3">
        <v>45906</v>
      </c>
      <c r="C791" s="2" t="s">
        <v>54</v>
      </c>
      <c r="D791" s="2" t="s">
        <v>174</v>
      </c>
      <c r="E791" s="2" t="s">
        <v>26</v>
      </c>
      <c r="F791" s="2" t="s">
        <v>43</v>
      </c>
      <c r="G791" s="2" t="s">
        <v>75</v>
      </c>
      <c r="H791" s="2">
        <v>1</v>
      </c>
      <c r="I791" s="2">
        <v>33387.46</v>
      </c>
      <c r="J791" s="2">
        <v>0</v>
      </c>
      <c r="K791" s="2">
        <v>33387.46</v>
      </c>
      <c r="L791" s="2">
        <v>28083.55</v>
      </c>
      <c r="M791" s="2">
        <v>5303.91</v>
      </c>
      <c r="N791" s="2" t="s">
        <v>29</v>
      </c>
      <c r="O791" s="2" t="s">
        <v>40</v>
      </c>
    </row>
    <row r="792" spans="1:15" x14ac:dyDescent="0.3">
      <c r="A792" s="2" t="s">
        <v>926</v>
      </c>
      <c r="B792" s="3">
        <v>45773</v>
      </c>
      <c r="C792" s="2" t="s">
        <v>37</v>
      </c>
      <c r="D792" s="2" t="s">
        <v>42</v>
      </c>
      <c r="E792" s="2" t="s">
        <v>74</v>
      </c>
      <c r="F792" s="2" t="s">
        <v>34</v>
      </c>
      <c r="G792" s="2" t="s">
        <v>80</v>
      </c>
      <c r="H792" s="2">
        <v>6</v>
      </c>
      <c r="I792" s="2">
        <v>4328.67</v>
      </c>
      <c r="J792" s="2">
        <v>0.1</v>
      </c>
      <c r="K792" s="2">
        <v>23374.79</v>
      </c>
      <c r="L792" s="2">
        <v>19495.439999999999</v>
      </c>
      <c r="M792" s="2">
        <v>3879.35</v>
      </c>
      <c r="N792" s="2" t="s">
        <v>21</v>
      </c>
      <c r="O792" s="2" t="s">
        <v>45</v>
      </c>
    </row>
    <row r="793" spans="1:15" x14ac:dyDescent="0.3">
      <c r="A793" s="2" t="s">
        <v>927</v>
      </c>
      <c r="B793" s="3">
        <v>45960</v>
      </c>
      <c r="C793" s="2" t="s">
        <v>16</v>
      </c>
      <c r="D793" s="2" t="s">
        <v>82</v>
      </c>
      <c r="E793" s="2" t="s">
        <v>65</v>
      </c>
      <c r="F793" s="2" t="s">
        <v>19</v>
      </c>
      <c r="G793" s="2" t="s">
        <v>108</v>
      </c>
      <c r="H793" s="2">
        <v>2</v>
      </c>
      <c r="I793" s="2">
        <v>14478.1</v>
      </c>
      <c r="J793" s="2">
        <v>0.05</v>
      </c>
      <c r="K793" s="2">
        <v>27508.39</v>
      </c>
      <c r="L793" s="2">
        <v>17734.849999999999</v>
      </c>
      <c r="M793" s="2">
        <v>9773.5400000000009</v>
      </c>
      <c r="N793" s="2" t="s">
        <v>21</v>
      </c>
      <c r="O793" s="2" t="s">
        <v>45</v>
      </c>
    </row>
    <row r="794" spans="1:15" x14ac:dyDescent="0.3">
      <c r="A794" s="2" t="s">
        <v>928</v>
      </c>
      <c r="B794" s="3">
        <v>45830</v>
      </c>
      <c r="C794" s="2" t="s">
        <v>54</v>
      </c>
      <c r="D794" s="2" t="s">
        <v>124</v>
      </c>
      <c r="E794" s="2" t="s">
        <v>26</v>
      </c>
      <c r="F794" s="2" t="s">
        <v>27</v>
      </c>
      <c r="G794" s="2" t="s">
        <v>66</v>
      </c>
      <c r="H794" s="2">
        <v>7</v>
      </c>
      <c r="I794" s="2">
        <v>11439.15</v>
      </c>
      <c r="J794" s="2">
        <v>0.08</v>
      </c>
      <c r="K794" s="2">
        <v>73668.12</v>
      </c>
      <c r="L794" s="2">
        <v>58927.41</v>
      </c>
      <c r="M794" s="2">
        <v>14740.71</v>
      </c>
      <c r="N794" s="2" t="s">
        <v>29</v>
      </c>
      <c r="O794" s="2" t="s">
        <v>59</v>
      </c>
    </row>
    <row r="795" spans="1:15" x14ac:dyDescent="0.3">
      <c r="A795" s="2" t="s">
        <v>929</v>
      </c>
      <c r="B795" s="3">
        <v>45690</v>
      </c>
      <c r="C795" s="2" t="s">
        <v>63</v>
      </c>
      <c r="D795" s="2" t="s">
        <v>88</v>
      </c>
      <c r="E795" s="2" t="s">
        <v>56</v>
      </c>
      <c r="F795" s="2" t="s">
        <v>19</v>
      </c>
      <c r="G795" s="2" t="s">
        <v>106</v>
      </c>
      <c r="H795" s="2">
        <v>6</v>
      </c>
      <c r="I795" s="2">
        <v>14950.25</v>
      </c>
      <c r="J795" s="2">
        <v>0</v>
      </c>
      <c r="K795" s="2">
        <v>89701.5</v>
      </c>
      <c r="L795" s="2">
        <v>68132.05</v>
      </c>
      <c r="M795" s="2">
        <v>21569.45</v>
      </c>
      <c r="N795" s="2" t="s">
        <v>29</v>
      </c>
      <c r="O795" s="2" t="s">
        <v>22</v>
      </c>
    </row>
    <row r="796" spans="1:15" x14ac:dyDescent="0.3">
      <c r="A796" s="2" t="s">
        <v>930</v>
      </c>
      <c r="B796" s="3">
        <v>45891</v>
      </c>
      <c r="C796" s="2" t="s">
        <v>54</v>
      </c>
      <c r="D796" s="2" t="s">
        <v>124</v>
      </c>
      <c r="E796" s="2" t="s">
        <v>69</v>
      </c>
      <c r="F796" s="2" t="s">
        <v>34</v>
      </c>
      <c r="G796" s="2" t="s">
        <v>70</v>
      </c>
      <c r="H796" s="2">
        <v>4</v>
      </c>
      <c r="I796" s="2">
        <v>61740.42</v>
      </c>
      <c r="J796" s="2">
        <v>0.03</v>
      </c>
      <c r="K796" s="2">
        <v>239552.82</v>
      </c>
      <c r="L796" s="2">
        <v>194555.06</v>
      </c>
      <c r="M796" s="2">
        <v>44997.760000000002</v>
      </c>
      <c r="N796" s="2" t="s">
        <v>21</v>
      </c>
      <c r="O796" s="2" t="s">
        <v>40</v>
      </c>
    </row>
    <row r="797" spans="1:15" x14ac:dyDescent="0.3">
      <c r="A797" s="2" t="s">
        <v>931</v>
      </c>
      <c r="B797" s="3">
        <v>45973</v>
      </c>
      <c r="C797" s="2" t="s">
        <v>633</v>
      </c>
      <c r="D797" s="2" t="s">
        <v>32</v>
      </c>
      <c r="E797" s="2" t="s">
        <v>49</v>
      </c>
      <c r="F797" s="2" t="s">
        <v>34</v>
      </c>
      <c r="G797" s="2" t="s">
        <v>39</v>
      </c>
      <c r="H797" s="2">
        <v>4</v>
      </c>
      <c r="I797" s="2" t="s">
        <v>932</v>
      </c>
      <c r="J797" s="2">
        <v>0.03</v>
      </c>
      <c r="K797" s="2">
        <v>122814.15</v>
      </c>
      <c r="L797" s="2">
        <v>88383.360000000001</v>
      </c>
      <c r="M797" s="2">
        <v>34430.79</v>
      </c>
      <c r="N797" s="2" t="s">
        <v>29</v>
      </c>
      <c r="O797" s="2" t="s">
        <v>30</v>
      </c>
    </row>
    <row r="798" spans="1:15" x14ac:dyDescent="0.3">
      <c r="A798" s="2" t="s">
        <v>933</v>
      </c>
      <c r="B798" s="3">
        <v>45883</v>
      </c>
      <c r="C798" s="2" t="s">
        <v>37</v>
      </c>
      <c r="D798" s="2" t="s">
        <v>68</v>
      </c>
      <c r="E798" s="2" t="s">
        <v>69</v>
      </c>
      <c r="F798" s="2" t="s">
        <v>34</v>
      </c>
      <c r="G798" s="2" t="s">
        <v>70</v>
      </c>
      <c r="H798" s="2">
        <v>7</v>
      </c>
      <c r="I798" s="2">
        <v>69221.820000000007</v>
      </c>
      <c r="J798" s="2">
        <v>0.05</v>
      </c>
      <c r="K798" s="2">
        <v>460325.08</v>
      </c>
      <c r="L798" s="2">
        <v>324557.61</v>
      </c>
      <c r="M798" s="2">
        <v>135767.47</v>
      </c>
      <c r="N798" s="2" t="s">
        <v>21</v>
      </c>
      <c r="O798" s="2" t="s">
        <v>59</v>
      </c>
    </row>
    <row r="799" spans="1:15" x14ac:dyDescent="0.3">
      <c r="A799" s="2" t="s">
        <v>934</v>
      </c>
      <c r="B799" s="3">
        <v>45741</v>
      </c>
      <c r="C799" s="2" t="s">
        <v>63</v>
      </c>
      <c r="D799" s="2" t="s">
        <v>64</v>
      </c>
      <c r="E799" s="2" t="s">
        <v>74</v>
      </c>
      <c r="F799" s="2" t="s">
        <v>27</v>
      </c>
      <c r="G799" s="2" t="s">
        <v>66</v>
      </c>
      <c r="H799" s="2">
        <v>5</v>
      </c>
      <c r="I799" s="2">
        <v>10888.87</v>
      </c>
      <c r="J799" s="2">
        <v>0.05</v>
      </c>
      <c r="K799" s="2">
        <v>51722.15</v>
      </c>
      <c r="L799" s="2">
        <v>37097.800000000003</v>
      </c>
      <c r="M799" s="2">
        <v>14624.35</v>
      </c>
      <c r="N799" s="2" t="s">
        <v>21</v>
      </c>
      <c r="O799" s="2" t="s">
        <v>40</v>
      </c>
    </row>
    <row r="800" spans="1:15" x14ac:dyDescent="0.3">
      <c r="A800" s="2" t="s">
        <v>935</v>
      </c>
      <c r="B800" s="3">
        <v>45762</v>
      </c>
      <c r="C800" s="2" t="s">
        <v>24</v>
      </c>
      <c r="D800" s="2" t="s">
        <v>68</v>
      </c>
      <c r="E800" s="2" t="s">
        <v>18</v>
      </c>
      <c r="F800" s="2" t="s">
        <v>19</v>
      </c>
      <c r="G800" s="2" t="s">
        <v>106</v>
      </c>
      <c r="H800" s="2">
        <v>5</v>
      </c>
      <c r="I800" s="2">
        <v>14909.1</v>
      </c>
      <c r="J800" s="2">
        <v>0.1</v>
      </c>
      <c r="K800" s="2">
        <v>67090.97</v>
      </c>
      <c r="L800" s="2">
        <v>49181.71</v>
      </c>
      <c r="M800" s="2">
        <v>17909.259999999998</v>
      </c>
      <c r="N800" s="2" t="s">
        <v>29</v>
      </c>
      <c r="O800" s="2" t="s">
        <v>59</v>
      </c>
    </row>
    <row r="801" spans="1:15" x14ac:dyDescent="0.3">
      <c r="A801" s="2" t="s">
        <v>936</v>
      </c>
      <c r="B801" s="3">
        <v>45958</v>
      </c>
      <c r="C801" s="2" t="s">
        <v>63</v>
      </c>
      <c r="D801" s="2"/>
      <c r="E801" s="2" t="s">
        <v>33</v>
      </c>
      <c r="F801" s="2" t="s">
        <v>19</v>
      </c>
      <c r="G801" s="2" t="s">
        <v>20</v>
      </c>
      <c r="H801" s="2">
        <v>8</v>
      </c>
      <c r="I801" s="2">
        <v>669.59</v>
      </c>
      <c r="J801" s="2">
        <v>0.1</v>
      </c>
      <c r="K801" s="2">
        <v>4821.04</v>
      </c>
      <c r="L801" s="2">
        <v>3027.6</v>
      </c>
      <c r="M801" s="2">
        <v>1793.44</v>
      </c>
      <c r="N801" s="2" t="s">
        <v>21</v>
      </c>
      <c r="O801" s="2" t="s">
        <v>59</v>
      </c>
    </row>
    <row r="802" spans="1:15" x14ac:dyDescent="0.3">
      <c r="A802" s="2" t="s">
        <v>937</v>
      </c>
      <c r="B802" s="3">
        <v>46018</v>
      </c>
      <c r="C802" s="2" t="s">
        <v>63</v>
      </c>
      <c r="D802" s="2" t="s">
        <v>64</v>
      </c>
      <c r="E802" s="2" t="s">
        <v>49</v>
      </c>
      <c r="F802" s="2" t="s">
        <v>34</v>
      </c>
      <c r="G802" s="2" t="s">
        <v>57</v>
      </c>
      <c r="H802" s="2">
        <v>5</v>
      </c>
      <c r="I802" s="2">
        <v>21722.34</v>
      </c>
      <c r="J802" s="2">
        <v>0.05</v>
      </c>
      <c r="K802" s="2">
        <v>103181.11</v>
      </c>
      <c r="L802" s="2">
        <v>69701.279999999999</v>
      </c>
      <c r="M802" s="2">
        <v>33479.83</v>
      </c>
      <c r="N802" s="2" t="s">
        <v>58</v>
      </c>
      <c r="O802" s="2" t="s">
        <v>59</v>
      </c>
    </row>
    <row r="803" spans="1:15" x14ac:dyDescent="0.3">
      <c r="A803" s="2" t="s">
        <v>938</v>
      </c>
      <c r="B803" s="3">
        <v>45981</v>
      </c>
      <c r="C803" s="2" t="s">
        <v>16</v>
      </c>
      <c r="D803" s="2" t="s">
        <v>52</v>
      </c>
      <c r="E803" s="2" t="s">
        <v>65</v>
      </c>
      <c r="F803" s="2" t="s">
        <v>43</v>
      </c>
      <c r="G803" s="2" t="s">
        <v>84</v>
      </c>
      <c r="H803" s="2">
        <v>6</v>
      </c>
      <c r="I803" s="2">
        <v>41157.64</v>
      </c>
      <c r="J803" s="2">
        <v>0.03</v>
      </c>
      <c r="K803" s="2">
        <v>239537.48</v>
      </c>
      <c r="L803" s="2">
        <v>173236.69</v>
      </c>
      <c r="M803" s="2">
        <v>66300.789999999994</v>
      </c>
      <c r="N803" s="2" t="s">
        <v>21</v>
      </c>
      <c r="O803" s="2" t="s">
        <v>59</v>
      </c>
    </row>
    <row r="804" spans="1:15" x14ac:dyDescent="0.3">
      <c r="A804" s="2" t="s">
        <v>939</v>
      </c>
      <c r="B804" s="3">
        <v>45661</v>
      </c>
      <c r="C804" s="2" t="s">
        <v>54</v>
      </c>
      <c r="D804" s="2" t="s">
        <v>174</v>
      </c>
      <c r="E804" s="2" t="s">
        <v>18</v>
      </c>
      <c r="F804" s="2" t="s">
        <v>27</v>
      </c>
      <c r="G804" s="2" t="s">
        <v>66</v>
      </c>
      <c r="H804" s="2">
        <v>1</v>
      </c>
      <c r="I804" s="2">
        <v>11062.52</v>
      </c>
      <c r="J804" s="2">
        <v>0.05</v>
      </c>
      <c r="K804" s="2">
        <v>10509.39</v>
      </c>
      <c r="L804" s="2">
        <v>8164.82</v>
      </c>
      <c r="M804" s="2">
        <v>2344.5700000000002</v>
      </c>
      <c r="N804" s="2" t="s">
        <v>21</v>
      </c>
      <c r="O804" s="2" t="s">
        <v>59</v>
      </c>
    </row>
    <row r="805" spans="1:15" x14ac:dyDescent="0.3">
      <c r="A805" s="2" t="s">
        <v>940</v>
      </c>
      <c r="B805" s="3">
        <v>45758</v>
      </c>
      <c r="C805" s="2" t="s">
        <v>16</v>
      </c>
      <c r="D805" s="2" t="s">
        <v>17</v>
      </c>
      <c r="E805" s="2" t="s">
        <v>26</v>
      </c>
      <c r="F805" s="2" t="s">
        <v>27</v>
      </c>
      <c r="G805" s="2" t="s">
        <v>125</v>
      </c>
      <c r="H805" s="2">
        <v>6</v>
      </c>
      <c r="I805" s="2">
        <v>8815.35</v>
      </c>
      <c r="J805" s="2">
        <v>0.05</v>
      </c>
      <c r="K805" s="2">
        <v>50247.48</v>
      </c>
      <c r="L805" s="2">
        <v>42549.17</v>
      </c>
      <c r="M805" s="2">
        <v>7698.31</v>
      </c>
      <c r="N805" s="2" t="s">
        <v>21</v>
      </c>
      <c r="O805" s="2" t="s">
        <v>30</v>
      </c>
    </row>
    <row r="806" spans="1:15" x14ac:dyDescent="0.3">
      <c r="A806" s="2" t="s">
        <v>941</v>
      </c>
      <c r="B806" s="3">
        <v>45678</v>
      </c>
      <c r="C806" s="2" t="s">
        <v>16</v>
      </c>
      <c r="D806" s="2" t="s">
        <v>32</v>
      </c>
      <c r="E806" s="2" t="s">
        <v>69</v>
      </c>
      <c r="F806" s="2" t="s">
        <v>43</v>
      </c>
      <c r="G806" s="2" t="s">
        <v>44</v>
      </c>
      <c r="H806" s="2">
        <v>4</v>
      </c>
      <c r="I806" s="2">
        <v>12761.29</v>
      </c>
      <c r="J806" s="2">
        <v>0.15</v>
      </c>
      <c r="K806" s="2">
        <v>43388.38</v>
      </c>
      <c r="L806" s="2">
        <v>31056.81</v>
      </c>
      <c r="M806" s="2">
        <v>12331.57</v>
      </c>
      <c r="N806" s="2" t="s">
        <v>58</v>
      </c>
      <c r="O806" s="2" t="s">
        <v>59</v>
      </c>
    </row>
    <row r="807" spans="1:15" x14ac:dyDescent="0.3">
      <c r="A807" s="2" t="s">
        <v>942</v>
      </c>
      <c r="B807" s="3">
        <v>45872</v>
      </c>
      <c r="C807" s="2" t="s">
        <v>16</v>
      </c>
      <c r="D807" s="2" t="s">
        <v>32</v>
      </c>
      <c r="E807" s="2" t="s">
        <v>18</v>
      </c>
      <c r="F807" s="2" t="s">
        <v>19</v>
      </c>
      <c r="G807" s="2" t="s">
        <v>102</v>
      </c>
      <c r="H807" s="2">
        <v>1</v>
      </c>
      <c r="I807" s="2">
        <v>269.68</v>
      </c>
      <c r="J807" s="2">
        <v>0</v>
      </c>
      <c r="K807" s="2">
        <v>269.68</v>
      </c>
      <c r="L807" s="2">
        <v>218.73</v>
      </c>
      <c r="M807" s="2">
        <v>50.95</v>
      </c>
      <c r="N807" s="2" t="s">
        <v>21</v>
      </c>
      <c r="O807" s="2" t="s">
        <v>22</v>
      </c>
    </row>
    <row r="808" spans="1:15" x14ac:dyDescent="0.3">
      <c r="A808" s="2" t="s">
        <v>943</v>
      </c>
      <c r="B808" s="3">
        <v>45892</v>
      </c>
      <c r="C808" s="2" t="s">
        <v>63</v>
      </c>
      <c r="D808" s="2" t="s">
        <v>64</v>
      </c>
      <c r="E808" s="2" t="s">
        <v>306</v>
      </c>
      <c r="F808" s="2" t="s">
        <v>43</v>
      </c>
      <c r="G808" s="2" t="s">
        <v>84</v>
      </c>
      <c r="H808" s="2" t="s">
        <v>944</v>
      </c>
      <c r="I808" s="2">
        <v>40285.06</v>
      </c>
      <c r="J808" s="2">
        <v>0.08</v>
      </c>
      <c r="K808" s="2">
        <v>37062.25</v>
      </c>
      <c r="L808" s="2">
        <v>24057.24</v>
      </c>
      <c r="M808" s="2">
        <v>13005.01</v>
      </c>
      <c r="N808" s="2" t="s">
        <v>29</v>
      </c>
      <c r="O808" s="2" t="s">
        <v>30</v>
      </c>
    </row>
    <row r="809" spans="1:15" x14ac:dyDescent="0.3">
      <c r="A809" s="2" t="s">
        <v>945</v>
      </c>
      <c r="B809" s="3">
        <v>45768</v>
      </c>
      <c r="C809" s="2" t="s">
        <v>16</v>
      </c>
      <c r="D809" s="2" t="s">
        <v>32</v>
      </c>
      <c r="E809" s="2" t="s">
        <v>707</v>
      </c>
      <c r="F809" s="2" t="s">
        <v>34</v>
      </c>
      <c r="G809" s="2" t="s">
        <v>57</v>
      </c>
      <c r="H809" s="2">
        <v>1</v>
      </c>
      <c r="I809" s="2">
        <v>21157.55</v>
      </c>
      <c r="J809" s="2">
        <v>0.1</v>
      </c>
      <c r="K809" s="2">
        <v>19041.79</v>
      </c>
      <c r="L809" s="2">
        <v>15752.09</v>
      </c>
      <c r="M809" s="2">
        <v>3289.7</v>
      </c>
      <c r="N809" s="2" t="s">
        <v>21</v>
      </c>
      <c r="O809" s="2" t="s">
        <v>40</v>
      </c>
    </row>
    <row r="810" spans="1:15" x14ac:dyDescent="0.3">
      <c r="A810" s="2" t="s">
        <v>946</v>
      </c>
      <c r="B810" s="3">
        <v>45864</v>
      </c>
      <c r="C810" s="2" t="s">
        <v>54</v>
      </c>
      <c r="D810" s="2" t="s">
        <v>124</v>
      </c>
      <c r="E810" s="2" t="s">
        <v>18</v>
      </c>
      <c r="F810" s="2" t="s">
        <v>43</v>
      </c>
      <c r="G810" s="2" t="s">
        <v>84</v>
      </c>
      <c r="H810" s="2">
        <v>7</v>
      </c>
      <c r="I810" s="2">
        <v>39400.269999999997</v>
      </c>
      <c r="J810" s="2">
        <v>0.05</v>
      </c>
      <c r="K810" s="2">
        <v>262011.82</v>
      </c>
      <c r="L810" s="2">
        <v>225218.39</v>
      </c>
      <c r="M810" s="2">
        <v>36793.43</v>
      </c>
      <c r="N810" s="2" t="s">
        <v>29</v>
      </c>
      <c r="O810" s="2" t="s">
        <v>59</v>
      </c>
    </row>
    <row r="811" spans="1:15" x14ac:dyDescent="0.3">
      <c r="A811" s="2" t="s">
        <v>947</v>
      </c>
      <c r="B811" s="3">
        <v>45814</v>
      </c>
      <c r="C811" s="2" t="s">
        <v>63</v>
      </c>
      <c r="D811" s="2" t="s">
        <v>95</v>
      </c>
      <c r="E811" s="2" t="s">
        <v>56</v>
      </c>
      <c r="F811" s="2" t="s">
        <v>34</v>
      </c>
      <c r="G811" s="2" t="s">
        <v>35</v>
      </c>
      <c r="H811" s="2">
        <v>5</v>
      </c>
      <c r="I811" s="2">
        <v>18359.84</v>
      </c>
      <c r="J811" s="2">
        <v>0.08</v>
      </c>
      <c r="K811" s="2">
        <v>84455.26</v>
      </c>
      <c r="L811" s="2">
        <v>71251.44</v>
      </c>
      <c r="M811" s="2">
        <v>13203.82</v>
      </c>
      <c r="N811" s="2" t="s">
        <v>21</v>
      </c>
      <c r="O811" s="2" t="s">
        <v>22</v>
      </c>
    </row>
    <row r="812" spans="1:15" x14ac:dyDescent="0.3">
      <c r="A812" s="2" t="s">
        <v>948</v>
      </c>
      <c r="B812" s="3">
        <v>45828</v>
      </c>
      <c r="C812" s="2" t="s">
        <v>37</v>
      </c>
      <c r="D812" s="2" t="s">
        <v>38</v>
      </c>
      <c r="E812" s="2" t="s">
        <v>18</v>
      </c>
      <c r="F812" s="2" t="s">
        <v>34</v>
      </c>
      <c r="G812" s="2" t="s">
        <v>57</v>
      </c>
      <c r="H812" s="2">
        <v>6</v>
      </c>
      <c r="I812" s="2">
        <v>22104.93</v>
      </c>
      <c r="J812" s="2">
        <v>0.08</v>
      </c>
      <c r="K812" s="2">
        <v>122019.2</v>
      </c>
      <c r="L812" s="2">
        <v>100004.22</v>
      </c>
      <c r="M812" s="2">
        <v>22014.98</v>
      </c>
      <c r="N812" s="2" t="s">
        <v>21</v>
      </c>
      <c r="O812" s="2" t="s">
        <v>40</v>
      </c>
    </row>
    <row r="813" spans="1:15" x14ac:dyDescent="0.3">
      <c r="A813" s="2" t="s">
        <v>949</v>
      </c>
      <c r="B813" s="3">
        <v>45868</v>
      </c>
      <c r="C813" s="2" t="s">
        <v>16</v>
      </c>
      <c r="D813" s="2" t="s">
        <v>82</v>
      </c>
      <c r="E813" s="2" t="s">
        <v>18</v>
      </c>
      <c r="F813" s="2" t="s">
        <v>43</v>
      </c>
      <c r="G813" s="2" t="s">
        <v>121</v>
      </c>
      <c r="H813" s="2">
        <v>4</v>
      </c>
      <c r="I813" s="2">
        <v>4624.78</v>
      </c>
      <c r="J813" s="2">
        <v>0.03</v>
      </c>
      <c r="K813" s="2">
        <v>17944.13</v>
      </c>
      <c r="L813" s="2">
        <v>11266.62</v>
      </c>
      <c r="M813" s="2">
        <v>6677.51</v>
      </c>
      <c r="N813" s="2" t="s">
        <v>58</v>
      </c>
      <c r="O813" s="2" t="s">
        <v>22</v>
      </c>
    </row>
    <row r="814" spans="1:15" x14ac:dyDescent="0.3">
      <c r="A814" s="2" t="s">
        <v>950</v>
      </c>
      <c r="B814" s="3">
        <v>45954</v>
      </c>
      <c r="C814" s="2" t="s">
        <v>37</v>
      </c>
      <c r="D814" s="2" t="s">
        <v>68</v>
      </c>
      <c r="E814" s="2" t="s">
        <v>74</v>
      </c>
      <c r="F814" s="2" t="s">
        <v>34</v>
      </c>
      <c r="G814" s="2" t="s">
        <v>39</v>
      </c>
      <c r="H814" s="2">
        <v>3</v>
      </c>
      <c r="I814" s="2">
        <v>31991.32</v>
      </c>
      <c r="J814" s="2">
        <v>0.05</v>
      </c>
      <c r="K814" s="2">
        <v>91175.25</v>
      </c>
      <c r="L814" s="2">
        <v>65518</v>
      </c>
      <c r="M814" s="2">
        <v>25657.25</v>
      </c>
      <c r="N814" s="2" t="s">
        <v>58</v>
      </c>
      <c r="O814" s="2" t="s">
        <v>45</v>
      </c>
    </row>
    <row r="815" spans="1:15" x14ac:dyDescent="0.3">
      <c r="A815" s="2" t="s">
        <v>951</v>
      </c>
      <c r="B815" s="3">
        <v>45921</v>
      </c>
      <c r="C815" s="2" t="s">
        <v>37</v>
      </c>
      <c r="D815" s="2" t="s">
        <v>38</v>
      </c>
      <c r="E815" s="2" t="s">
        <v>69</v>
      </c>
      <c r="F815" s="2" t="s">
        <v>34</v>
      </c>
      <c r="G815" s="2" t="s">
        <v>35</v>
      </c>
      <c r="H815" s="2">
        <v>8</v>
      </c>
      <c r="I815" s="2">
        <v>18812.169999999998</v>
      </c>
      <c r="J815" s="2">
        <v>0.1</v>
      </c>
      <c r="K815" s="2">
        <v>135447.59</v>
      </c>
      <c r="L815" s="2">
        <v>98711.88</v>
      </c>
      <c r="M815" s="2">
        <v>36735.71</v>
      </c>
      <c r="N815" s="2" t="s">
        <v>58</v>
      </c>
      <c r="O815" s="2" t="s">
        <v>30</v>
      </c>
    </row>
    <row r="816" spans="1:15" x14ac:dyDescent="0.3">
      <c r="A816" s="2" t="s">
        <v>952</v>
      </c>
      <c r="B816" s="3">
        <v>46000</v>
      </c>
      <c r="C816" s="2" t="s">
        <v>63</v>
      </c>
      <c r="D816" s="2" t="s">
        <v>95</v>
      </c>
      <c r="E816" s="2" t="s">
        <v>49</v>
      </c>
      <c r="F816" s="2" t="s">
        <v>43</v>
      </c>
      <c r="G816" s="2" t="s">
        <v>75</v>
      </c>
      <c r="H816" s="2">
        <v>1</v>
      </c>
      <c r="I816" s="2">
        <v>38656.04</v>
      </c>
      <c r="J816" s="2">
        <v>0.08</v>
      </c>
      <c r="K816" s="2">
        <v>35563.56</v>
      </c>
      <c r="L816" s="2">
        <v>24264.74</v>
      </c>
      <c r="M816" s="2">
        <v>11298.82</v>
      </c>
      <c r="N816" s="2" t="s">
        <v>58</v>
      </c>
      <c r="O816" s="2" t="s">
        <v>40</v>
      </c>
    </row>
    <row r="817" spans="1:15" x14ac:dyDescent="0.3">
      <c r="A817" s="2" t="s">
        <v>953</v>
      </c>
      <c r="B817" s="3">
        <v>45933</v>
      </c>
      <c r="C817" s="2" t="s">
        <v>63</v>
      </c>
      <c r="D817" s="2" t="s">
        <v>117</v>
      </c>
      <c r="E817" s="2" t="s">
        <v>33</v>
      </c>
      <c r="F817" s="2" t="s">
        <v>34</v>
      </c>
      <c r="G817" s="2" t="s">
        <v>70</v>
      </c>
      <c r="H817" s="2">
        <v>2</v>
      </c>
      <c r="I817" s="2">
        <v>60860.31</v>
      </c>
      <c r="J817" s="2">
        <v>0.05</v>
      </c>
      <c r="K817" s="2">
        <v>115634.58</v>
      </c>
      <c r="L817" s="2">
        <v>73426.5</v>
      </c>
      <c r="M817" s="2">
        <v>42208.08</v>
      </c>
      <c r="N817" s="2" t="s">
        <v>21</v>
      </c>
      <c r="O817" s="2" t="s">
        <v>22</v>
      </c>
    </row>
    <row r="818" spans="1:15" x14ac:dyDescent="0.3">
      <c r="A818" s="2" t="s">
        <v>954</v>
      </c>
      <c r="B818" s="3">
        <v>45688</v>
      </c>
      <c r="C818" s="2" t="s">
        <v>37</v>
      </c>
      <c r="D818" s="2" t="s">
        <v>25</v>
      </c>
      <c r="E818" s="2" t="s">
        <v>49</v>
      </c>
      <c r="F818" s="2" t="s">
        <v>27</v>
      </c>
      <c r="G818" s="2" t="s">
        <v>50</v>
      </c>
      <c r="H818" s="2">
        <v>3</v>
      </c>
      <c r="I818" s="2">
        <v>30106.21</v>
      </c>
      <c r="J818" s="2">
        <v>0.05</v>
      </c>
      <c r="K818" s="2">
        <v>85802.69</v>
      </c>
      <c r="L818" s="2">
        <v>59385.53</v>
      </c>
      <c r="M818" s="2">
        <v>26417.16</v>
      </c>
      <c r="N818" s="2" t="s">
        <v>21</v>
      </c>
      <c r="O818" s="2" t="s">
        <v>40</v>
      </c>
    </row>
    <row r="819" spans="1:15" x14ac:dyDescent="0.3">
      <c r="A819" s="2" t="s">
        <v>955</v>
      </c>
      <c r="B819" s="3">
        <v>46014</v>
      </c>
      <c r="C819" s="2" t="s">
        <v>54</v>
      </c>
      <c r="D819" s="2" t="s">
        <v>48</v>
      </c>
      <c r="E819" s="2" t="s">
        <v>18</v>
      </c>
      <c r="F819" s="2" t="s">
        <v>27</v>
      </c>
      <c r="G819" s="2" t="s">
        <v>50</v>
      </c>
      <c r="H819" s="2">
        <v>2</v>
      </c>
      <c r="I819" s="2">
        <v>29570.42</v>
      </c>
      <c r="J819" s="2">
        <v>0.03</v>
      </c>
      <c r="K819" s="2">
        <v>57366.62</v>
      </c>
      <c r="L819" s="2">
        <v>41158.239999999998</v>
      </c>
      <c r="M819" s="2">
        <v>16208.38</v>
      </c>
      <c r="N819" s="2" t="s">
        <v>21</v>
      </c>
      <c r="O819" s="2" t="s">
        <v>45</v>
      </c>
    </row>
    <row r="820" spans="1:15" x14ac:dyDescent="0.3">
      <c r="A820" s="2" t="s">
        <v>956</v>
      </c>
      <c r="B820" s="3">
        <v>45739</v>
      </c>
      <c r="C820" s="2" t="s">
        <v>16</v>
      </c>
      <c r="D820" s="2" t="s">
        <v>52</v>
      </c>
      <c r="E820" s="2" t="s">
        <v>69</v>
      </c>
      <c r="F820" s="2" t="s">
        <v>43</v>
      </c>
      <c r="G820" s="2" t="s">
        <v>75</v>
      </c>
      <c r="H820" s="2">
        <v>3</v>
      </c>
      <c r="I820" s="2">
        <v>34534.839999999997</v>
      </c>
      <c r="J820" s="2">
        <v>0</v>
      </c>
      <c r="K820" s="2">
        <v>103604.51</v>
      </c>
      <c r="L820" s="2">
        <v>83987.23</v>
      </c>
      <c r="M820" s="2">
        <v>19617.28</v>
      </c>
      <c r="N820" s="2" t="s">
        <v>21</v>
      </c>
      <c r="O820" s="2" t="s">
        <v>59</v>
      </c>
    </row>
    <row r="821" spans="1:15" x14ac:dyDescent="0.3">
      <c r="A821" s="2" t="s">
        <v>957</v>
      </c>
      <c r="B821" s="3">
        <v>45886</v>
      </c>
      <c r="C821" s="2" t="s">
        <v>16</v>
      </c>
      <c r="D821" s="2" t="s">
        <v>32</v>
      </c>
      <c r="E821" s="2" t="s">
        <v>56</v>
      </c>
      <c r="F821" s="2" t="s">
        <v>43</v>
      </c>
      <c r="G821" s="2" t="s">
        <v>75</v>
      </c>
      <c r="H821" s="2">
        <v>2</v>
      </c>
      <c r="I821" s="2">
        <v>38234.07</v>
      </c>
      <c r="J821" s="2">
        <v>0</v>
      </c>
      <c r="K821" s="2">
        <v>76468.14</v>
      </c>
      <c r="L821" s="2">
        <v>61066.720000000001</v>
      </c>
      <c r="M821" s="2">
        <v>15401.42</v>
      </c>
      <c r="N821" s="2" t="s">
        <v>58</v>
      </c>
      <c r="O821" s="2" t="s">
        <v>22</v>
      </c>
    </row>
    <row r="822" spans="1:15" x14ac:dyDescent="0.3">
      <c r="A822" s="2" t="s">
        <v>958</v>
      </c>
      <c r="B822" s="3">
        <v>45749</v>
      </c>
      <c r="C822" s="2" t="s">
        <v>959</v>
      </c>
      <c r="D822" s="2" t="s">
        <v>82</v>
      </c>
      <c r="E822" s="2" t="s">
        <v>69</v>
      </c>
      <c r="F822" s="2" t="s">
        <v>43</v>
      </c>
      <c r="G822" s="2" t="s">
        <v>44</v>
      </c>
      <c r="H822" s="2">
        <v>1</v>
      </c>
      <c r="I822" s="2">
        <v>12395.29</v>
      </c>
      <c r="J822" s="2">
        <v>0.1</v>
      </c>
      <c r="K822" s="2">
        <v>11155.76</v>
      </c>
      <c r="L822" s="2">
        <v>8663.52</v>
      </c>
      <c r="M822" s="2">
        <v>2492.2399999999998</v>
      </c>
      <c r="N822" s="2" t="s">
        <v>21</v>
      </c>
      <c r="O822" s="2" t="s">
        <v>40</v>
      </c>
    </row>
    <row r="823" spans="1:15" x14ac:dyDescent="0.3">
      <c r="A823" s="2" t="s">
        <v>960</v>
      </c>
      <c r="B823" s="3">
        <v>45762</v>
      </c>
      <c r="C823" s="2" t="s">
        <v>63</v>
      </c>
      <c r="D823" s="2" t="s">
        <v>117</v>
      </c>
      <c r="E823" s="2" t="s">
        <v>49</v>
      </c>
      <c r="F823" s="2" t="s">
        <v>27</v>
      </c>
      <c r="G823" s="2" t="s">
        <v>50</v>
      </c>
      <c r="H823" s="2">
        <v>4</v>
      </c>
      <c r="I823" s="2">
        <v>29680.63</v>
      </c>
      <c r="J823" s="2">
        <v>0.05</v>
      </c>
      <c r="K823" s="2">
        <v>112786.38</v>
      </c>
      <c r="L823" s="2">
        <v>95319.48</v>
      </c>
      <c r="M823" s="2">
        <v>17466.900000000001</v>
      </c>
      <c r="N823" s="2" t="s">
        <v>21</v>
      </c>
      <c r="O823" s="2" t="s">
        <v>30</v>
      </c>
    </row>
    <row r="824" spans="1:15" x14ac:dyDescent="0.3">
      <c r="A824" s="2" t="s">
        <v>961</v>
      </c>
      <c r="B824" s="3">
        <v>45698</v>
      </c>
      <c r="C824" s="2" t="s">
        <v>54</v>
      </c>
      <c r="D824" s="2" t="s">
        <v>55</v>
      </c>
      <c r="E824" s="2" t="s">
        <v>33</v>
      </c>
      <c r="F824" s="2" t="s">
        <v>34</v>
      </c>
      <c r="G824" s="2" t="s">
        <v>57</v>
      </c>
      <c r="H824" s="2">
        <v>2</v>
      </c>
      <c r="I824" s="2">
        <v>22758.34</v>
      </c>
      <c r="J824" s="2">
        <v>0</v>
      </c>
      <c r="K824" s="2">
        <v>45516.67</v>
      </c>
      <c r="L824" s="2">
        <v>31838.46</v>
      </c>
      <c r="M824" s="2">
        <v>13678.21</v>
      </c>
      <c r="N824" s="2" t="s">
        <v>21</v>
      </c>
      <c r="O824" s="2" t="s">
        <v>59</v>
      </c>
    </row>
    <row r="825" spans="1:15" x14ac:dyDescent="0.3">
      <c r="A825" s="2" t="s">
        <v>962</v>
      </c>
      <c r="B825" s="3">
        <v>45949</v>
      </c>
      <c r="C825" s="2" t="s">
        <v>63</v>
      </c>
      <c r="D825" s="2" t="s">
        <v>117</v>
      </c>
      <c r="E825" s="2" t="s">
        <v>18</v>
      </c>
      <c r="F825" s="2" t="s">
        <v>27</v>
      </c>
      <c r="G825" s="2" t="s">
        <v>89</v>
      </c>
      <c r="H825" s="2">
        <v>7</v>
      </c>
      <c r="I825" s="2">
        <v>31290.7</v>
      </c>
      <c r="J825" s="2">
        <v>0.08</v>
      </c>
      <c r="K825" s="2">
        <v>201512.12</v>
      </c>
      <c r="L825" s="2">
        <v>160668.1</v>
      </c>
      <c r="M825" s="2">
        <v>40844.019999999997</v>
      </c>
      <c r="N825" s="2" t="s">
        <v>29</v>
      </c>
      <c r="O825" s="2" t="s">
        <v>30</v>
      </c>
    </row>
    <row r="826" spans="1:15" x14ac:dyDescent="0.3">
      <c r="A826" s="2" t="s">
        <v>963</v>
      </c>
      <c r="B826" s="3">
        <v>46001</v>
      </c>
      <c r="C826" s="2" t="s">
        <v>16</v>
      </c>
      <c r="D826" s="2" t="s">
        <v>52</v>
      </c>
      <c r="E826" s="2" t="s">
        <v>33</v>
      </c>
      <c r="F826" s="2" t="s">
        <v>34</v>
      </c>
      <c r="G826" s="2" t="s">
        <v>80</v>
      </c>
      <c r="H826" s="2">
        <v>8</v>
      </c>
      <c r="I826" s="2">
        <v>4305.8500000000004</v>
      </c>
      <c r="J826" s="2">
        <v>0.05</v>
      </c>
      <c r="K826" s="2">
        <v>32724.44</v>
      </c>
      <c r="L826" s="2">
        <v>21345.42</v>
      </c>
      <c r="M826" s="2">
        <v>11379.02</v>
      </c>
      <c r="N826" s="2" t="s">
        <v>58</v>
      </c>
      <c r="O826" s="2" t="s">
        <v>40</v>
      </c>
    </row>
    <row r="827" spans="1:15" x14ac:dyDescent="0.3">
      <c r="A827" s="2" t="s">
        <v>964</v>
      </c>
      <c r="B827" s="3">
        <v>45892</v>
      </c>
      <c r="C827" s="2" t="s">
        <v>16</v>
      </c>
      <c r="D827" s="2" t="s">
        <v>82</v>
      </c>
      <c r="E827" s="2" t="s">
        <v>74</v>
      </c>
      <c r="F827" s="2" t="s">
        <v>34</v>
      </c>
      <c r="G827" s="2" t="s">
        <v>35</v>
      </c>
      <c r="H827" s="2">
        <v>3</v>
      </c>
      <c r="I827" s="2">
        <v>18885.16</v>
      </c>
      <c r="J827" s="2">
        <v>0.08</v>
      </c>
      <c r="K827" s="2">
        <v>52123.03</v>
      </c>
      <c r="L827" s="2">
        <v>37146.910000000003</v>
      </c>
      <c r="M827" s="2">
        <v>14976.12</v>
      </c>
      <c r="N827" s="2" t="s">
        <v>58</v>
      </c>
      <c r="O827" s="2" t="s">
        <v>59</v>
      </c>
    </row>
    <row r="828" spans="1:15" x14ac:dyDescent="0.3">
      <c r="A828" s="2" t="s">
        <v>965</v>
      </c>
      <c r="B828" s="3">
        <v>45767</v>
      </c>
      <c r="C828" s="2" t="s">
        <v>37</v>
      </c>
      <c r="D828" s="2" t="s">
        <v>25</v>
      </c>
      <c r="E828" s="2" t="s">
        <v>49</v>
      </c>
      <c r="F828" s="2" t="s">
        <v>19</v>
      </c>
      <c r="G828" s="2" t="s">
        <v>20</v>
      </c>
      <c r="H828" s="2">
        <v>2</v>
      </c>
      <c r="I828" s="2">
        <v>699.96</v>
      </c>
      <c r="J828" s="2">
        <v>0.03</v>
      </c>
      <c r="K828" s="2">
        <v>1357.92</v>
      </c>
      <c r="L828" s="2">
        <v>1159.25</v>
      </c>
      <c r="M828" s="2">
        <v>198.67</v>
      </c>
      <c r="N828" s="2" t="s">
        <v>21</v>
      </c>
      <c r="O828" s="2" t="s">
        <v>22</v>
      </c>
    </row>
    <row r="829" spans="1:15" x14ac:dyDescent="0.3">
      <c r="A829" s="2" t="s">
        <v>966</v>
      </c>
      <c r="B829" s="3">
        <v>45762</v>
      </c>
      <c r="C829" s="2" t="s">
        <v>63</v>
      </c>
      <c r="D829" s="2" t="s">
        <v>95</v>
      </c>
      <c r="E829" s="2" t="s">
        <v>49</v>
      </c>
      <c r="F829" s="2" t="s">
        <v>27</v>
      </c>
      <c r="G829" s="2" t="s">
        <v>89</v>
      </c>
      <c r="H829" s="2">
        <v>8</v>
      </c>
      <c r="I829" s="2">
        <v>30924.74</v>
      </c>
      <c r="J829" s="2">
        <v>0.08</v>
      </c>
      <c r="K829" s="2">
        <v>227606.05</v>
      </c>
      <c r="L829" s="2">
        <v>147558.20000000001</v>
      </c>
      <c r="M829" s="2">
        <v>80047.850000000006</v>
      </c>
      <c r="N829" s="2" t="s">
        <v>21</v>
      </c>
      <c r="O829" s="2" t="s">
        <v>45</v>
      </c>
    </row>
    <row r="830" spans="1:15" x14ac:dyDescent="0.3">
      <c r="A830" s="2" t="s">
        <v>967</v>
      </c>
      <c r="B830" s="3">
        <v>45837</v>
      </c>
      <c r="C830" s="2" t="s">
        <v>37</v>
      </c>
      <c r="D830" s="2" t="s">
        <v>68</v>
      </c>
      <c r="E830" s="2" t="s">
        <v>65</v>
      </c>
      <c r="F830" s="2" t="s">
        <v>34</v>
      </c>
      <c r="G830" s="2" t="s">
        <v>39</v>
      </c>
      <c r="H830" s="2">
        <v>1</v>
      </c>
      <c r="I830" s="2">
        <v>30322.22</v>
      </c>
      <c r="J830" s="2">
        <v>0.05</v>
      </c>
      <c r="K830" s="2">
        <v>28806.11</v>
      </c>
      <c r="L830" s="2">
        <v>21145.74</v>
      </c>
      <c r="M830" s="2">
        <v>7660.37</v>
      </c>
      <c r="N830" s="2" t="s">
        <v>29</v>
      </c>
      <c r="O830" s="2" t="s">
        <v>45</v>
      </c>
    </row>
    <row r="831" spans="1:15" x14ac:dyDescent="0.3">
      <c r="A831" s="2" t="s">
        <v>968</v>
      </c>
      <c r="B831" s="3">
        <v>45923</v>
      </c>
      <c r="C831" s="2" t="s">
        <v>16</v>
      </c>
      <c r="D831" s="2" t="s">
        <v>17</v>
      </c>
      <c r="E831" s="2" t="s">
        <v>56</v>
      </c>
      <c r="F831" s="2" t="s">
        <v>19</v>
      </c>
      <c r="G831" s="2" t="s">
        <v>106</v>
      </c>
      <c r="H831" s="2">
        <v>2</v>
      </c>
      <c r="I831" s="2">
        <v>14840.83</v>
      </c>
      <c r="J831" s="2">
        <v>0.05</v>
      </c>
      <c r="K831" s="2">
        <v>28197.58</v>
      </c>
      <c r="L831" s="2">
        <v>20208.25</v>
      </c>
      <c r="M831" s="2">
        <v>7989.33</v>
      </c>
      <c r="N831" s="2" t="s">
        <v>21</v>
      </c>
      <c r="O831" s="2" t="s">
        <v>30</v>
      </c>
    </row>
    <row r="832" spans="1:15" x14ac:dyDescent="0.3">
      <c r="A832" s="2" t="s">
        <v>969</v>
      </c>
      <c r="B832" s="3">
        <v>45789</v>
      </c>
      <c r="C832" s="2" t="s">
        <v>63</v>
      </c>
      <c r="D832" s="2" t="s">
        <v>117</v>
      </c>
      <c r="E832" s="2" t="s">
        <v>18</v>
      </c>
      <c r="F832" s="2" t="s">
        <v>34</v>
      </c>
      <c r="G832" s="2" t="s">
        <v>57</v>
      </c>
      <c r="H832" s="2">
        <v>7</v>
      </c>
      <c r="I832" s="2">
        <v>21528.04</v>
      </c>
      <c r="J832" s="2">
        <v>0.03</v>
      </c>
      <c r="K832" s="2">
        <v>146175.37</v>
      </c>
      <c r="L832" s="2">
        <v>114210.93</v>
      </c>
      <c r="M832" s="2">
        <v>31964.44</v>
      </c>
      <c r="N832" s="2" t="s">
        <v>21</v>
      </c>
      <c r="O832" s="2" t="s">
        <v>22</v>
      </c>
    </row>
    <row r="833" spans="1:15" x14ac:dyDescent="0.3">
      <c r="A833" s="2" t="s">
        <v>970</v>
      </c>
      <c r="B833" s="3">
        <v>45752</v>
      </c>
      <c r="C833" s="2" t="s">
        <v>37</v>
      </c>
      <c r="D833" s="2" t="s">
        <v>25</v>
      </c>
      <c r="E833" s="2" t="s">
        <v>33</v>
      </c>
      <c r="F833" s="2" t="s">
        <v>43</v>
      </c>
      <c r="G833" s="2" t="s">
        <v>44</v>
      </c>
      <c r="H833" s="2">
        <v>6</v>
      </c>
      <c r="I833" s="2">
        <v>12543.92</v>
      </c>
      <c r="J833" s="2">
        <v>0.15</v>
      </c>
      <c r="K833" s="2">
        <v>63973.98</v>
      </c>
      <c r="L833" s="2">
        <v>41608.51</v>
      </c>
      <c r="M833" s="2">
        <v>22365.47</v>
      </c>
      <c r="N833" s="2" t="s">
        <v>58</v>
      </c>
      <c r="O833" s="2" t="s">
        <v>30</v>
      </c>
    </row>
    <row r="834" spans="1:15" x14ac:dyDescent="0.3">
      <c r="A834" s="2" t="s">
        <v>971</v>
      </c>
      <c r="B834" s="3">
        <v>45931</v>
      </c>
      <c r="C834" s="2" t="s">
        <v>16</v>
      </c>
      <c r="D834" s="2" t="s">
        <v>32</v>
      </c>
      <c r="E834" s="2" t="s">
        <v>74</v>
      </c>
      <c r="F834" s="2" t="s">
        <v>34</v>
      </c>
      <c r="G834" s="2" t="s">
        <v>57</v>
      </c>
      <c r="H834" s="2">
        <v>6</v>
      </c>
      <c r="I834" s="2">
        <v>21775.47</v>
      </c>
      <c r="J834" s="2">
        <v>0.03</v>
      </c>
      <c r="K834" s="2">
        <v>126733.26</v>
      </c>
      <c r="L834" s="2">
        <v>103395.08</v>
      </c>
      <c r="M834" s="2">
        <v>23338.18</v>
      </c>
      <c r="N834" s="2" t="s">
        <v>21</v>
      </c>
      <c r="O834" s="2" t="s">
        <v>22</v>
      </c>
    </row>
    <row r="835" spans="1:15" x14ac:dyDescent="0.3">
      <c r="A835" s="2" t="s">
        <v>972</v>
      </c>
      <c r="B835" s="3">
        <v>45849</v>
      </c>
      <c r="C835" s="2" t="s">
        <v>16</v>
      </c>
      <c r="D835" s="2" t="s">
        <v>82</v>
      </c>
      <c r="E835" s="2" t="s">
        <v>56</v>
      </c>
      <c r="F835" s="2" t="s">
        <v>34</v>
      </c>
      <c r="G835" s="2" t="s">
        <v>70</v>
      </c>
      <c r="H835" s="2">
        <v>3</v>
      </c>
      <c r="I835" s="2">
        <v>61194.84</v>
      </c>
      <c r="J835" s="2">
        <v>0</v>
      </c>
      <c r="K835" s="2">
        <v>183584.53</v>
      </c>
      <c r="L835" s="2">
        <v>152079.82</v>
      </c>
      <c r="M835" s="2">
        <v>31504.71</v>
      </c>
      <c r="N835" s="2" t="s">
        <v>21</v>
      </c>
      <c r="O835" s="2" t="s">
        <v>22</v>
      </c>
    </row>
    <row r="836" spans="1:15" x14ac:dyDescent="0.3">
      <c r="A836" s="2" t="s">
        <v>973</v>
      </c>
      <c r="B836" s="3">
        <v>45983</v>
      </c>
      <c r="C836" s="2" t="s">
        <v>37</v>
      </c>
      <c r="D836" s="2" t="s">
        <v>25</v>
      </c>
      <c r="E836" s="2" t="s">
        <v>26</v>
      </c>
      <c r="F836" s="2" t="s">
        <v>27</v>
      </c>
      <c r="G836" s="2" t="s">
        <v>89</v>
      </c>
      <c r="H836" s="2">
        <v>5</v>
      </c>
      <c r="I836" s="2">
        <v>31154.27</v>
      </c>
      <c r="J836" s="2">
        <v>0.05</v>
      </c>
      <c r="K836" s="2">
        <v>147982.78</v>
      </c>
      <c r="L836" s="2">
        <v>92449.9</v>
      </c>
      <c r="M836" s="2">
        <v>55532.88</v>
      </c>
      <c r="N836" s="2" t="s">
        <v>21</v>
      </c>
      <c r="O836" s="2" t="s">
        <v>45</v>
      </c>
    </row>
    <row r="837" spans="1:15" x14ac:dyDescent="0.3">
      <c r="A837" s="2" t="s">
        <v>974</v>
      </c>
      <c r="B837" s="3">
        <v>45692</v>
      </c>
      <c r="C837" s="2" t="s">
        <v>37</v>
      </c>
      <c r="D837" s="2" t="s">
        <v>25</v>
      </c>
      <c r="E837" s="2" t="s">
        <v>56</v>
      </c>
      <c r="F837" s="2" t="s">
        <v>43</v>
      </c>
      <c r="G837" s="2" t="s">
        <v>121</v>
      </c>
      <c r="H837" s="2">
        <v>5</v>
      </c>
      <c r="I837" s="2">
        <v>5151.2</v>
      </c>
      <c r="J837" s="2">
        <v>0.05</v>
      </c>
      <c r="K837" s="2">
        <v>24468.2</v>
      </c>
      <c r="L837" s="2">
        <v>19184.59</v>
      </c>
      <c r="M837" s="2">
        <v>5283.61</v>
      </c>
      <c r="N837" s="2" t="s">
        <v>58</v>
      </c>
      <c r="O837" s="2" t="s">
        <v>45</v>
      </c>
    </row>
    <row r="838" spans="1:15" x14ac:dyDescent="0.3">
      <c r="A838" s="2" t="s">
        <v>975</v>
      </c>
      <c r="B838" s="3">
        <v>45920</v>
      </c>
      <c r="C838" s="2" t="s">
        <v>16</v>
      </c>
      <c r="D838" s="2" t="s">
        <v>17</v>
      </c>
      <c r="E838" s="2" t="s">
        <v>33</v>
      </c>
      <c r="F838" s="2" t="s">
        <v>34</v>
      </c>
      <c r="G838" s="2" t="s">
        <v>70</v>
      </c>
      <c r="H838" s="2">
        <v>7</v>
      </c>
      <c r="I838" s="2">
        <v>64662.93</v>
      </c>
      <c r="J838" s="2">
        <v>0.1</v>
      </c>
      <c r="K838" s="2">
        <v>407376.43</v>
      </c>
      <c r="L838" s="2">
        <v>331848.33</v>
      </c>
      <c r="M838" s="2">
        <v>75528.100000000006</v>
      </c>
      <c r="N838" s="2" t="s">
        <v>58</v>
      </c>
      <c r="O838" s="2" t="s">
        <v>45</v>
      </c>
    </row>
    <row r="839" spans="1:15" x14ac:dyDescent="0.3">
      <c r="A839" s="2" t="s">
        <v>976</v>
      </c>
      <c r="B839" s="3">
        <v>45974</v>
      </c>
      <c r="C839" s="2" t="s">
        <v>54</v>
      </c>
      <c r="D839" s="2" t="s">
        <v>55</v>
      </c>
      <c r="E839" s="2" t="s">
        <v>56</v>
      </c>
      <c r="F839" s="2" t="s">
        <v>43</v>
      </c>
      <c r="G839" s="2" t="s">
        <v>75</v>
      </c>
      <c r="H839" s="2">
        <v>8</v>
      </c>
      <c r="I839" s="2">
        <v>37086.6</v>
      </c>
      <c r="J839" s="2">
        <v>0.15</v>
      </c>
      <c r="K839" s="2" t="s">
        <v>977</v>
      </c>
      <c r="L839" s="2">
        <v>200335.06</v>
      </c>
      <c r="M839" s="2">
        <v>51853.79</v>
      </c>
      <c r="N839" s="2" t="s">
        <v>58</v>
      </c>
      <c r="O839" s="2" t="s">
        <v>59</v>
      </c>
    </row>
    <row r="840" spans="1:15" x14ac:dyDescent="0.3">
      <c r="A840" s="2" t="s">
        <v>978</v>
      </c>
      <c r="B840" s="3">
        <v>45837</v>
      </c>
      <c r="C840" s="2" t="s">
        <v>37</v>
      </c>
      <c r="D840" s="2" t="s">
        <v>38</v>
      </c>
      <c r="E840" s="2" t="s">
        <v>18</v>
      </c>
      <c r="F840" s="2" t="s">
        <v>34</v>
      </c>
      <c r="G840" s="2" t="s">
        <v>57</v>
      </c>
      <c r="H840" s="2" t="s">
        <v>944</v>
      </c>
      <c r="I840" s="2">
        <v>21505.59</v>
      </c>
      <c r="J840" s="2">
        <v>0</v>
      </c>
      <c r="K840" s="2">
        <v>21505.59</v>
      </c>
      <c r="L840" s="2">
        <v>16375.21</v>
      </c>
      <c r="M840" s="2">
        <v>5130.38</v>
      </c>
      <c r="N840" s="2" t="s">
        <v>21</v>
      </c>
      <c r="O840" s="2" t="s">
        <v>45</v>
      </c>
    </row>
    <row r="841" spans="1:15" x14ac:dyDescent="0.3">
      <c r="A841" s="2" t="s">
        <v>979</v>
      </c>
      <c r="B841" s="3">
        <v>45884</v>
      </c>
      <c r="C841" s="2" t="s">
        <v>16</v>
      </c>
      <c r="D841" s="2" t="s">
        <v>17</v>
      </c>
      <c r="E841" s="2" t="s">
        <v>65</v>
      </c>
      <c r="F841" s="2" t="s">
        <v>34</v>
      </c>
      <c r="G841" s="2" t="s">
        <v>80</v>
      </c>
      <c r="H841" s="2">
        <v>3</v>
      </c>
      <c r="I841" s="2">
        <v>4794.6499999999996</v>
      </c>
      <c r="J841" s="2">
        <v>0</v>
      </c>
      <c r="K841" s="2">
        <v>14383.94</v>
      </c>
      <c r="L841" s="2">
        <v>9087.7199999999993</v>
      </c>
      <c r="M841" s="2">
        <v>5296.22</v>
      </c>
      <c r="N841" s="2" t="s">
        <v>58</v>
      </c>
      <c r="O841" s="2" t="s">
        <v>59</v>
      </c>
    </row>
    <row r="842" spans="1:15" x14ac:dyDescent="0.3">
      <c r="A842" s="2" t="s">
        <v>980</v>
      </c>
      <c r="B842" s="3">
        <v>45837</v>
      </c>
      <c r="C842" s="2" t="s">
        <v>63</v>
      </c>
      <c r="D842" s="2" t="s">
        <v>117</v>
      </c>
      <c r="E842" s="2" t="s">
        <v>65</v>
      </c>
      <c r="F842" s="2" t="s">
        <v>43</v>
      </c>
      <c r="G842" s="2" t="s">
        <v>121</v>
      </c>
      <c r="H842" s="2">
        <v>3</v>
      </c>
      <c r="I842" s="2">
        <v>4772.91</v>
      </c>
      <c r="J842" s="2">
        <v>0.08</v>
      </c>
      <c r="K842" s="2">
        <v>13173.23</v>
      </c>
      <c r="L842" s="2">
        <v>11054.57</v>
      </c>
      <c r="M842" s="2">
        <v>2118.66</v>
      </c>
      <c r="N842" s="2" t="s">
        <v>58</v>
      </c>
      <c r="O842" s="2" t="s">
        <v>40</v>
      </c>
    </row>
    <row r="843" spans="1:15" x14ac:dyDescent="0.3">
      <c r="A843" s="2" t="s">
        <v>981</v>
      </c>
      <c r="B843" s="3">
        <v>45970</v>
      </c>
      <c r="C843" s="2" t="s">
        <v>54</v>
      </c>
      <c r="D843" s="2" t="s">
        <v>48</v>
      </c>
      <c r="E843" s="2" t="s">
        <v>33</v>
      </c>
      <c r="F843" s="2" t="s">
        <v>19</v>
      </c>
      <c r="G843" s="2" t="s">
        <v>108</v>
      </c>
      <c r="H843" s="2">
        <v>8</v>
      </c>
      <c r="I843" s="2">
        <v>15863.65</v>
      </c>
      <c r="J843" s="2">
        <v>0.03</v>
      </c>
      <c r="K843" s="2">
        <v>123101.93</v>
      </c>
      <c r="L843" s="2">
        <v>105307.19</v>
      </c>
      <c r="M843" s="2">
        <v>17794.740000000002</v>
      </c>
      <c r="N843" s="2" t="s">
        <v>21</v>
      </c>
      <c r="O843" s="2" t="s">
        <v>45</v>
      </c>
    </row>
    <row r="844" spans="1:15" x14ac:dyDescent="0.3">
      <c r="A844" s="2" t="s">
        <v>982</v>
      </c>
      <c r="B844" s="3">
        <v>45961</v>
      </c>
      <c r="C844" s="2" t="s">
        <v>37</v>
      </c>
      <c r="D844" s="2" t="s">
        <v>38</v>
      </c>
      <c r="E844" s="2" t="s">
        <v>69</v>
      </c>
      <c r="F844" s="2" t="s">
        <v>19</v>
      </c>
      <c r="G844" s="2" t="s">
        <v>102</v>
      </c>
      <c r="H844" s="2">
        <v>3</v>
      </c>
      <c r="I844" s="2">
        <v>230.56</v>
      </c>
      <c r="J844" s="2">
        <v>0.08</v>
      </c>
      <c r="K844" s="2">
        <v>636.34</v>
      </c>
      <c r="L844" s="2">
        <v>450.29</v>
      </c>
      <c r="M844" s="2">
        <v>186.05</v>
      </c>
      <c r="N844" s="2" t="s">
        <v>58</v>
      </c>
      <c r="O844" s="2" t="s">
        <v>40</v>
      </c>
    </row>
    <row r="845" spans="1:15" x14ac:dyDescent="0.3">
      <c r="A845" s="2" t="s">
        <v>983</v>
      </c>
      <c r="B845" s="3">
        <v>45752</v>
      </c>
      <c r="C845" s="2" t="s">
        <v>16</v>
      </c>
      <c r="D845" s="2" t="s">
        <v>52</v>
      </c>
      <c r="E845" s="2" t="s">
        <v>69</v>
      </c>
      <c r="F845" s="2" t="s">
        <v>34</v>
      </c>
      <c r="G845" s="2" t="s">
        <v>39</v>
      </c>
      <c r="H845" s="2">
        <v>5</v>
      </c>
      <c r="I845" s="2">
        <v>30099.15</v>
      </c>
      <c r="J845" s="2">
        <v>0.08</v>
      </c>
      <c r="K845" s="2">
        <v>138456.07</v>
      </c>
      <c r="L845" s="2">
        <v>102781</v>
      </c>
      <c r="M845" s="2">
        <v>35675.07</v>
      </c>
      <c r="N845" s="2" t="s">
        <v>21</v>
      </c>
      <c r="O845" s="2" t="s">
        <v>45</v>
      </c>
    </row>
    <row r="846" spans="1:15" x14ac:dyDescent="0.3">
      <c r="A846" s="2" t="s">
        <v>984</v>
      </c>
      <c r="B846" s="3">
        <v>45718</v>
      </c>
      <c r="C846" s="2" t="s">
        <v>37</v>
      </c>
      <c r="D846" s="2" t="s">
        <v>68</v>
      </c>
      <c r="E846" s="2" t="s">
        <v>26</v>
      </c>
      <c r="F846" s="2" t="s">
        <v>27</v>
      </c>
      <c r="G846" s="2" t="s">
        <v>66</v>
      </c>
      <c r="H846" s="2">
        <v>7</v>
      </c>
      <c r="I846" s="2">
        <v>11546.24</v>
      </c>
      <c r="J846" s="2">
        <v>0.1</v>
      </c>
      <c r="K846" s="2">
        <v>72741.320000000007</v>
      </c>
      <c r="L846" s="2">
        <v>47326.69</v>
      </c>
      <c r="M846" s="2">
        <v>25414.63</v>
      </c>
      <c r="N846" s="2" t="s">
        <v>21</v>
      </c>
      <c r="O846" s="2" t="s">
        <v>45</v>
      </c>
    </row>
    <row r="847" spans="1:15" x14ac:dyDescent="0.3">
      <c r="A847" s="2" t="s">
        <v>985</v>
      </c>
      <c r="B847" s="3">
        <v>46012</v>
      </c>
      <c r="C847" s="2" t="s">
        <v>54</v>
      </c>
      <c r="D847" s="2" t="s">
        <v>124</v>
      </c>
      <c r="E847" s="2" t="s">
        <v>33</v>
      </c>
      <c r="F847" s="2" t="s">
        <v>43</v>
      </c>
      <c r="G847" s="2" t="s">
        <v>91</v>
      </c>
      <c r="H847" s="2">
        <v>4</v>
      </c>
      <c r="I847" s="2">
        <v>44876.53</v>
      </c>
      <c r="J847" s="2">
        <v>0.05</v>
      </c>
      <c r="K847" s="2">
        <v>170530.8</v>
      </c>
      <c r="L847" s="2">
        <v>139960.12</v>
      </c>
      <c r="M847" s="2">
        <v>30570.68</v>
      </c>
      <c r="N847" s="2" t="s">
        <v>58</v>
      </c>
      <c r="O847" s="2" t="s">
        <v>59</v>
      </c>
    </row>
    <row r="848" spans="1:15" x14ac:dyDescent="0.3">
      <c r="A848" s="2" t="s">
        <v>986</v>
      </c>
      <c r="B848" s="3">
        <v>45865</v>
      </c>
      <c r="C848" s="2" t="s">
        <v>37</v>
      </c>
      <c r="D848" s="2" t="s">
        <v>68</v>
      </c>
      <c r="E848" s="2" t="s">
        <v>18</v>
      </c>
      <c r="F848" s="2" t="s">
        <v>43</v>
      </c>
      <c r="G848" s="2" t="s">
        <v>121</v>
      </c>
      <c r="H848" s="2">
        <v>4</v>
      </c>
      <c r="I848" s="2">
        <v>5068.97</v>
      </c>
      <c r="J848" s="2">
        <v>0.08</v>
      </c>
      <c r="K848" s="2">
        <v>18653.8</v>
      </c>
      <c r="L848" s="2">
        <v>16011.62</v>
      </c>
      <c r="M848" s="2">
        <v>2642.18</v>
      </c>
      <c r="N848" s="2" t="s">
        <v>21</v>
      </c>
      <c r="O848" s="2" t="s">
        <v>22</v>
      </c>
    </row>
    <row r="849" spans="1:15" x14ac:dyDescent="0.3">
      <c r="A849" s="2" t="s">
        <v>987</v>
      </c>
      <c r="B849" s="3">
        <v>45746</v>
      </c>
      <c r="C849" s="2" t="s">
        <v>63</v>
      </c>
      <c r="D849" s="2" t="s">
        <v>64</v>
      </c>
      <c r="E849" s="2" t="s">
        <v>33</v>
      </c>
      <c r="F849" s="2" t="s">
        <v>19</v>
      </c>
      <c r="G849" s="2" t="s">
        <v>61</v>
      </c>
      <c r="H849" s="2">
        <v>2</v>
      </c>
      <c r="I849" s="2">
        <v>9641.93</v>
      </c>
      <c r="J849" s="2">
        <v>0.1</v>
      </c>
      <c r="K849" s="2">
        <v>17355.47</v>
      </c>
      <c r="L849" s="2">
        <v>12349.11</v>
      </c>
      <c r="M849" s="2">
        <v>5006.3599999999997</v>
      </c>
      <c r="N849" s="2" t="s">
        <v>58</v>
      </c>
      <c r="O849" s="2" t="s">
        <v>40</v>
      </c>
    </row>
    <row r="850" spans="1:15" x14ac:dyDescent="0.3">
      <c r="A850" s="2" t="s">
        <v>988</v>
      </c>
      <c r="B850" s="3">
        <v>45809</v>
      </c>
      <c r="C850" s="2" t="s">
        <v>37</v>
      </c>
      <c r="D850" s="2" t="s">
        <v>42</v>
      </c>
      <c r="E850" s="2" t="s">
        <v>18</v>
      </c>
      <c r="F850" s="2" t="s">
        <v>34</v>
      </c>
      <c r="G850" s="2" t="s">
        <v>70</v>
      </c>
      <c r="H850" s="2">
        <v>6</v>
      </c>
      <c r="I850" s="2">
        <v>67201.490000000005</v>
      </c>
      <c r="J850" s="2">
        <v>0.03</v>
      </c>
      <c r="K850" s="2">
        <v>391112.69</v>
      </c>
      <c r="L850" s="2">
        <v>305617.56</v>
      </c>
      <c r="M850" s="2">
        <v>85495.13</v>
      </c>
      <c r="N850" s="2" t="s">
        <v>58</v>
      </c>
      <c r="O850" s="2" t="s">
        <v>40</v>
      </c>
    </row>
    <row r="851" spans="1:15" x14ac:dyDescent="0.3">
      <c r="A851" s="2" t="s">
        <v>989</v>
      </c>
      <c r="B851" s="3">
        <v>45917</v>
      </c>
      <c r="C851" s="2" t="s">
        <v>54</v>
      </c>
      <c r="D851" s="2" t="s">
        <v>174</v>
      </c>
      <c r="E851" s="2" t="s">
        <v>74</v>
      </c>
      <c r="F851" s="2" t="s">
        <v>34</v>
      </c>
      <c r="G851" s="2" t="s">
        <v>80</v>
      </c>
      <c r="H851" s="2">
        <v>6</v>
      </c>
      <c r="I851" s="2">
        <v>4231.2299999999996</v>
      </c>
      <c r="J851" s="2">
        <v>0.05</v>
      </c>
      <c r="K851" s="2">
        <v>24118.03</v>
      </c>
      <c r="L851" s="2">
        <v>17259.25</v>
      </c>
      <c r="M851" s="2">
        <v>6858.78</v>
      </c>
      <c r="N851" s="2" t="s">
        <v>58</v>
      </c>
      <c r="O851" s="2" t="s">
        <v>22</v>
      </c>
    </row>
    <row r="852" spans="1:15" x14ac:dyDescent="0.3">
      <c r="A852" s="2" t="s">
        <v>990</v>
      </c>
      <c r="B852" s="3">
        <v>45688</v>
      </c>
      <c r="C852" s="2" t="s">
        <v>16</v>
      </c>
      <c r="D852" s="2" t="s">
        <v>17</v>
      </c>
      <c r="E852" s="2" t="s">
        <v>56</v>
      </c>
      <c r="F852" s="2" t="s">
        <v>43</v>
      </c>
      <c r="G852" s="2" t="s">
        <v>91</v>
      </c>
      <c r="H852" s="2">
        <v>5</v>
      </c>
      <c r="I852" s="2">
        <v>45540.85</v>
      </c>
      <c r="J852" s="2">
        <v>0.05</v>
      </c>
      <c r="K852" s="2">
        <v>216319.02</v>
      </c>
      <c r="L852" s="2">
        <v>184376.79</v>
      </c>
      <c r="M852" s="2">
        <v>31942.23</v>
      </c>
      <c r="N852" s="2" t="s">
        <v>21</v>
      </c>
      <c r="O852" s="2" t="s">
        <v>40</v>
      </c>
    </row>
    <row r="853" spans="1:15" x14ac:dyDescent="0.3">
      <c r="A853" s="2" t="s">
        <v>991</v>
      </c>
      <c r="B853" s="3">
        <v>45983</v>
      </c>
      <c r="C853" s="2" t="s">
        <v>54</v>
      </c>
      <c r="D853" s="2" t="s">
        <v>48</v>
      </c>
      <c r="E853" s="2" t="s">
        <v>434</v>
      </c>
      <c r="F853" s="2" t="s">
        <v>43</v>
      </c>
      <c r="G853" s="2" t="s">
        <v>44</v>
      </c>
      <c r="H853" s="2">
        <v>4</v>
      </c>
      <c r="I853" s="2">
        <v>12676.68</v>
      </c>
      <c r="J853" s="2">
        <v>0.05</v>
      </c>
      <c r="K853" s="2">
        <v>48171.39</v>
      </c>
      <c r="L853" s="2">
        <v>32147.43</v>
      </c>
      <c r="M853" s="2">
        <v>16023.96</v>
      </c>
      <c r="N853" s="2" t="s">
        <v>21</v>
      </c>
      <c r="O853" s="2" t="s">
        <v>30</v>
      </c>
    </row>
    <row r="854" spans="1:15" x14ac:dyDescent="0.3">
      <c r="A854" s="2" t="s">
        <v>992</v>
      </c>
      <c r="B854" s="3">
        <v>46005</v>
      </c>
      <c r="C854" s="2" t="s">
        <v>16</v>
      </c>
      <c r="D854" s="2" t="s">
        <v>52</v>
      </c>
      <c r="E854" s="2" t="s">
        <v>69</v>
      </c>
      <c r="F854" s="2" t="s">
        <v>34</v>
      </c>
      <c r="G854" s="2" t="s">
        <v>70</v>
      </c>
      <c r="H854" s="2">
        <v>8</v>
      </c>
      <c r="I854" s="2">
        <v>62227.32</v>
      </c>
      <c r="J854" s="2">
        <v>0.05</v>
      </c>
      <c r="K854" s="2" t="s">
        <v>993</v>
      </c>
      <c r="L854" s="2">
        <v>351909.72</v>
      </c>
      <c r="M854" s="2">
        <v>121017.92</v>
      </c>
      <c r="N854" s="2" t="s">
        <v>29</v>
      </c>
      <c r="O854" s="2" t="s">
        <v>40</v>
      </c>
    </row>
    <row r="855" spans="1:15" x14ac:dyDescent="0.3">
      <c r="A855" s="2" t="s">
        <v>994</v>
      </c>
      <c r="B855" s="3">
        <v>45899</v>
      </c>
      <c r="C855" s="2" t="s">
        <v>54</v>
      </c>
      <c r="D855" s="2" t="s">
        <v>174</v>
      </c>
      <c r="E855" s="2" t="s">
        <v>74</v>
      </c>
      <c r="F855" s="2" t="s">
        <v>34</v>
      </c>
      <c r="G855" s="2" t="s">
        <v>80</v>
      </c>
      <c r="H855" s="2">
        <v>4</v>
      </c>
      <c r="I855" s="2">
        <v>4636.26</v>
      </c>
      <c r="J855" s="2">
        <v>0.08</v>
      </c>
      <c r="K855" s="2">
        <v>17061.419999999998</v>
      </c>
      <c r="L855" s="2">
        <v>12781.61</v>
      </c>
      <c r="M855" s="2">
        <v>4279.8100000000004</v>
      </c>
      <c r="N855" s="2" t="s">
        <v>21</v>
      </c>
      <c r="O855" s="2" t="s">
        <v>59</v>
      </c>
    </row>
    <row r="856" spans="1:15" x14ac:dyDescent="0.3">
      <c r="A856" s="2" t="s">
        <v>995</v>
      </c>
      <c r="B856" s="3">
        <v>45834</v>
      </c>
      <c r="C856" s="2" t="s">
        <v>37</v>
      </c>
      <c r="D856" s="2" t="s">
        <v>42</v>
      </c>
      <c r="E856" s="2" t="s">
        <v>69</v>
      </c>
      <c r="F856" s="2" t="s">
        <v>34</v>
      </c>
      <c r="G856" s="2" t="s">
        <v>57</v>
      </c>
      <c r="H856" s="2">
        <v>2</v>
      </c>
      <c r="I856" s="2">
        <v>21380.41</v>
      </c>
      <c r="J856" s="2">
        <v>0.08</v>
      </c>
      <c r="K856" s="2">
        <v>39339.949999999997</v>
      </c>
      <c r="L856" s="2">
        <v>25020.36</v>
      </c>
      <c r="M856" s="2">
        <v>14319.59</v>
      </c>
      <c r="N856" s="2" t="s">
        <v>21</v>
      </c>
      <c r="O856" s="2" t="s">
        <v>40</v>
      </c>
    </row>
    <row r="857" spans="1:15" x14ac:dyDescent="0.3">
      <c r="A857" s="2" t="s">
        <v>996</v>
      </c>
      <c r="B857" s="3">
        <v>45740</v>
      </c>
      <c r="C857" s="2" t="s">
        <v>63</v>
      </c>
      <c r="D857" s="2" t="s">
        <v>88</v>
      </c>
      <c r="E857" s="2" t="s">
        <v>26</v>
      </c>
      <c r="F857" s="2" t="s">
        <v>34</v>
      </c>
      <c r="G857" s="2" t="s">
        <v>35</v>
      </c>
      <c r="H857" s="2">
        <v>3</v>
      </c>
      <c r="I857" s="2">
        <v>19313.990000000002</v>
      </c>
      <c r="J857" s="2">
        <v>0.08</v>
      </c>
      <c r="K857" s="2">
        <v>53306.61</v>
      </c>
      <c r="L857" s="2">
        <v>45454.21</v>
      </c>
      <c r="M857" s="2">
        <v>7852.4</v>
      </c>
      <c r="N857" s="2" t="s">
        <v>58</v>
      </c>
      <c r="O857" s="2" t="s">
        <v>30</v>
      </c>
    </row>
    <row r="858" spans="1:15" x14ac:dyDescent="0.3">
      <c r="A858" s="2" t="s">
        <v>997</v>
      </c>
      <c r="B858" s="3">
        <v>45702</v>
      </c>
      <c r="C858" s="2" t="s">
        <v>37</v>
      </c>
      <c r="D858" s="2" t="s">
        <v>42</v>
      </c>
      <c r="E858" s="2" t="s">
        <v>74</v>
      </c>
      <c r="F858" s="2" t="s">
        <v>43</v>
      </c>
      <c r="G858" s="2" t="s">
        <v>121</v>
      </c>
      <c r="H858" s="2">
        <v>8</v>
      </c>
      <c r="I858" s="2">
        <v>5245.77</v>
      </c>
      <c r="J858" s="2">
        <v>0.05</v>
      </c>
      <c r="K858" s="2">
        <v>39867.839999999997</v>
      </c>
      <c r="L858" s="2">
        <v>27751.22</v>
      </c>
      <c r="M858" s="2">
        <v>12116.62</v>
      </c>
      <c r="N858" s="2" t="s">
        <v>58</v>
      </c>
      <c r="O858" s="2" t="s">
        <v>45</v>
      </c>
    </row>
    <row r="859" spans="1:15" x14ac:dyDescent="0.3">
      <c r="A859" s="2" t="s">
        <v>998</v>
      </c>
      <c r="B859" s="3">
        <v>45692</v>
      </c>
      <c r="C859" s="2" t="s">
        <v>37</v>
      </c>
      <c r="D859" s="2" t="s">
        <v>38</v>
      </c>
      <c r="E859" s="2" t="s">
        <v>65</v>
      </c>
      <c r="F859" s="2" t="s">
        <v>34</v>
      </c>
      <c r="G859" s="2" t="s">
        <v>35</v>
      </c>
      <c r="H859" s="2">
        <v>6</v>
      </c>
      <c r="I859" s="2">
        <v>18067.080000000002</v>
      </c>
      <c r="J859" s="2">
        <v>0.05</v>
      </c>
      <c r="K859" s="2">
        <v>102982.37</v>
      </c>
      <c r="L859" s="2">
        <v>88493.95</v>
      </c>
      <c r="M859" s="2">
        <v>14488.42</v>
      </c>
      <c r="N859" s="2" t="s">
        <v>29</v>
      </c>
      <c r="O859" s="2" t="s">
        <v>40</v>
      </c>
    </row>
    <row r="860" spans="1:15" x14ac:dyDescent="0.3">
      <c r="A860" s="2" t="s">
        <v>999</v>
      </c>
      <c r="B860" s="3">
        <v>45909</v>
      </c>
      <c r="C860" s="2" t="s">
        <v>54</v>
      </c>
      <c r="D860" s="2" t="s">
        <v>174</v>
      </c>
      <c r="E860" s="2" t="s">
        <v>49</v>
      </c>
      <c r="F860" s="2" t="s">
        <v>34</v>
      </c>
      <c r="G860" s="2" t="s">
        <v>57</v>
      </c>
      <c r="H860" s="2">
        <v>8</v>
      </c>
      <c r="I860" s="2">
        <v>22865.54</v>
      </c>
      <c r="J860" s="2">
        <v>0.05</v>
      </c>
      <c r="K860" s="2">
        <v>173778.11</v>
      </c>
      <c r="L860" s="2">
        <v>127476.92</v>
      </c>
      <c r="M860" s="2">
        <v>46301.19</v>
      </c>
      <c r="N860" s="2" t="s">
        <v>21</v>
      </c>
      <c r="O860" s="2" t="s">
        <v>22</v>
      </c>
    </row>
    <row r="861" spans="1:15" x14ac:dyDescent="0.3">
      <c r="A861" s="2" t="s">
        <v>1000</v>
      </c>
      <c r="B861" s="3">
        <v>45665</v>
      </c>
      <c r="C861" s="2" t="s">
        <v>54</v>
      </c>
      <c r="D861" s="2" t="s">
        <v>55</v>
      </c>
      <c r="E861" s="2" t="s">
        <v>69</v>
      </c>
      <c r="F861" s="2" t="s">
        <v>19</v>
      </c>
      <c r="G861" s="2" t="s">
        <v>20</v>
      </c>
      <c r="H861" s="2">
        <v>8</v>
      </c>
      <c r="I861" s="2">
        <v>741.61</v>
      </c>
      <c r="J861" s="2">
        <v>0</v>
      </c>
      <c r="K861" s="2">
        <v>5932.87</v>
      </c>
      <c r="L861" s="2">
        <v>4693.26</v>
      </c>
      <c r="M861" s="2">
        <v>1239.6099999999999</v>
      </c>
      <c r="N861" s="2" t="s">
        <v>21</v>
      </c>
      <c r="O861" s="2" t="s">
        <v>40</v>
      </c>
    </row>
    <row r="862" spans="1:15" x14ac:dyDescent="0.3">
      <c r="A862" s="2" t="s">
        <v>1001</v>
      </c>
      <c r="B862" s="3">
        <v>45762</v>
      </c>
      <c r="C862" s="2" t="s">
        <v>37</v>
      </c>
      <c r="D862" s="2" t="s">
        <v>38</v>
      </c>
      <c r="E862" s="2" t="s">
        <v>49</v>
      </c>
      <c r="F862" s="2" t="s">
        <v>634</v>
      </c>
      <c r="G862" s="2" t="s">
        <v>57</v>
      </c>
      <c r="H862" s="2">
        <v>4</v>
      </c>
      <c r="I862" s="2">
        <v>21697.02</v>
      </c>
      <c r="J862" s="2">
        <v>0.03</v>
      </c>
      <c r="K862" s="2">
        <v>84184.44</v>
      </c>
      <c r="L862" s="2">
        <v>56373.34</v>
      </c>
      <c r="M862" s="2">
        <v>27811.1</v>
      </c>
      <c r="N862" s="2" t="s">
        <v>29</v>
      </c>
      <c r="O862" s="2" t="s">
        <v>59</v>
      </c>
    </row>
    <row r="863" spans="1:15" x14ac:dyDescent="0.3">
      <c r="A863" s="2" t="s">
        <v>1002</v>
      </c>
      <c r="B863" s="3">
        <v>45900</v>
      </c>
      <c r="C863" s="2" t="s">
        <v>37</v>
      </c>
      <c r="D863" s="2" t="s">
        <v>25</v>
      </c>
      <c r="E863" s="2" t="s">
        <v>56</v>
      </c>
      <c r="F863" s="2" t="s">
        <v>43</v>
      </c>
      <c r="G863" s="2" t="s">
        <v>84</v>
      </c>
      <c r="H863" s="2">
        <v>8</v>
      </c>
      <c r="I863" s="2">
        <v>40511.29</v>
      </c>
      <c r="J863" s="2">
        <v>0.1</v>
      </c>
      <c r="K863" s="2">
        <v>291681.26</v>
      </c>
      <c r="L863" s="2">
        <v>225379.93</v>
      </c>
      <c r="M863" s="2">
        <v>66301.33</v>
      </c>
      <c r="N863" s="2" t="s">
        <v>29</v>
      </c>
      <c r="O863" s="2" t="s">
        <v>30</v>
      </c>
    </row>
    <row r="864" spans="1:15" x14ac:dyDescent="0.3">
      <c r="A864" s="2" t="s">
        <v>1003</v>
      </c>
      <c r="B864" s="3">
        <v>45839</v>
      </c>
      <c r="C864" s="2" t="s">
        <v>54</v>
      </c>
      <c r="D864" s="2" t="s">
        <v>174</v>
      </c>
      <c r="E864" s="2" t="s">
        <v>56</v>
      </c>
      <c r="F864" s="2" t="s">
        <v>34</v>
      </c>
      <c r="G864" s="2" t="s">
        <v>70</v>
      </c>
      <c r="H864" s="2">
        <v>8</v>
      </c>
      <c r="I864" s="2">
        <v>63231.74</v>
      </c>
      <c r="J864" s="2">
        <v>0.15</v>
      </c>
      <c r="K864" s="2">
        <v>429975.82</v>
      </c>
      <c r="L864" s="2">
        <v>359613.12</v>
      </c>
      <c r="M864" s="2">
        <v>70362.7</v>
      </c>
      <c r="N864" s="2" t="s">
        <v>58</v>
      </c>
      <c r="O864" s="2" t="s">
        <v>22</v>
      </c>
    </row>
    <row r="865" spans="1:15" x14ac:dyDescent="0.3">
      <c r="A865" s="2" t="s">
        <v>1004</v>
      </c>
      <c r="B865" s="3">
        <v>45958</v>
      </c>
      <c r="C865" s="2" t="s">
        <v>54</v>
      </c>
      <c r="D865" s="2" t="s">
        <v>124</v>
      </c>
      <c r="E865" s="2" t="s">
        <v>18</v>
      </c>
      <c r="F865" s="2" t="s">
        <v>34</v>
      </c>
      <c r="G865" s="2" t="s">
        <v>57</v>
      </c>
      <c r="H865" s="2">
        <v>6</v>
      </c>
      <c r="I865" s="2">
        <v>20576.419999999998</v>
      </c>
      <c r="J865" s="2">
        <v>0</v>
      </c>
      <c r="K865" s="2">
        <v>123458.53</v>
      </c>
      <c r="L865" s="2">
        <v>78196.149999999994</v>
      </c>
      <c r="M865" s="2">
        <v>45262.38</v>
      </c>
      <c r="N865" s="2" t="s">
        <v>58</v>
      </c>
      <c r="O865" s="2" t="s">
        <v>22</v>
      </c>
    </row>
    <row r="866" spans="1:15" x14ac:dyDescent="0.3">
      <c r="A866" s="2" t="s">
        <v>1005</v>
      </c>
      <c r="B866" s="3">
        <v>45666</v>
      </c>
      <c r="C866" s="2" t="s">
        <v>63</v>
      </c>
      <c r="D866" s="2" t="s">
        <v>117</v>
      </c>
      <c r="E866" s="2" t="s">
        <v>74</v>
      </c>
      <c r="F866" s="2" t="s">
        <v>19</v>
      </c>
      <c r="G866" s="2" t="s">
        <v>20</v>
      </c>
      <c r="H866" s="2">
        <v>7</v>
      </c>
      <c r="I866" s="2">
        <v>751.1</v>
      </c>
      <c r="J866" s="2">
        <v>0</v>
      </c>
      <c r="K866" s="2">
        <v>5257.68</v>
      </c>
      <c r="L866" s="2">
        <v>3572.61</v>
      </c>
      <c r="M866" s="2">
        <v>1685.07</v>
      </c>
      <c r="N866" s="2" t="s">
        <v>21</v>
      </c>
      <c r="O866" s="2" t="s">
        <v>40</v>
      </c>
    </row>
    <row r="867" spans="1:15" x14ac:dyDescent="0.3">
      <c r="A867" s="2" t="s">
        <v>1006</v>
      </c>
      <c r="B867" s="3">
        <v>45902</v>
      </c>
      <c r="C867" s="2" t="s">
        <v>63</v>
      </c>
      <c r="D867" s="2" t="s">
        <v>88</v>
      </c>
      <c r="E867" s="2" t="s">
        <v>65</v>
      </c>
      <c r="F867" s="2" t="s">
        <v>34</v>
      </c>
      <c r="G867" s="2" t="s">
        <v>80</v>
      </c>
      <c r="H867" s="2">
        <v>1</v>
      </c>
      <c r="I867" s="2">
        <v>4306.74</v>
      </c>
      <c r="J867" s="2">
        <v>0.03</v>
      </c>
      <c r="K867" s="2">
        <v>4177.54</v>
      </c>
      <c r="L867" s="2">
        <v>3402.49</v>
      </c>
      <c r="M867" s="2">
        <v>775.05</v>
      </c>
      <c r="N867" s="2" t="s">
        <v>58</v>
      </c>
      <c r="O867" s="2" t="s">
        <v>22</v>
      </c>
    </row>
    <row r="868" spans="1:15" x14ac:dyDescent="0.3">
      <c r="A868" s="2" t="s">
        <v>1007</v>
      </c>
      <c r="B868" s="3">
        <v>45752</v>
      </c>
      <c r="C868" s="2" t="s">
        <v>16</v>
      </c>
      <c r="D868" s="2" t="s">
        <v>52</v>
      </c>
      <c r="E868" s="2" t="s">
        <v>49</v>
      </c>
      <c r="F868" s="2" t="s">
        <v>43</v>
      </c>
      <c r="G868" s="2" t="s">
        <v>84</v>
      </c>
      <c r="H868" s="2">
        <v>7</v>
      </c>
      <c r="I868" s="2">
        <v>38789.67</v>
      </c>
      <c r="J868" s="2">
        <v>0.1</v>
      </c>
      <c r="K868" s="2">
        <v>244374.93</v>
      </c>
      <c r="L868" s="2">
        <v>184012.1</v>
      </c>
      <c r="M868" s="2">
        <v>60362.83</v>
      </c>
      <c r="N868" s="2" t="s">
        <v>21</v>
      </c>
      <c r="O868" s="2" t="s">
        <v>59</v>
      </c>
    </row>
    <row r="869" spans="1:15" x14ac:dyDescent="0.3">
      <c r="A869" s="2" t="s">
        <v>1008</v>
      </c>
      <c r="B869" s="3">
        <v>45708</v>
      </c>
      <c r="C869" s="2" t="s">
        <v>63</v>
      </c>
      <c r="D869" s="2" t="s">
        <v>64</v>
      </c>
      <c r="E869" s="2" t="s">
        <v>69</v>
      </c>
      <c r="F869" s="2" t="s">
        <v>19</v>
      </c>
      <c r="G869" s="2" t="s">
        <v>108</v>
      </c>
      <c r="H869" s="2">
        <v>5</v>
      </c>
      <c r="I869" s="2">
        <v>14664.39</v>
      </c>
      <c r="J869" s="2">
        <v>0.15</v>
      </c>
      <c r="K869" s="2">
        <v>62323.65</v>
      </c>
      <c r="L869" s="2">
        <v>52445.55</v>
      </c>
      <c r="M869" s="2">
        <v>9878.1</v>
      </c>
      <c r="N869" s="2" t="s">
        <v>29</v>
      </c>
      <c r="O869" s="2" t="s">
        <v>59</v>
      </c>
    </row>
    <row r="870" spans="1:15" x14ac:dyDescent="0.3">
      <c r="A870" s="2" t="s">
        <v>1009</v>
      </c>
      <c r="B870" s="3">
        <v>45989</v>
      </c>
      <c r="C870" s="2" t="s">
        <v>37</v>
      </c>
      <c r="D870" s="2" t="s">
        <v>42</v>
      </c>
      <c r="E870" s="2" t="s">
        <v>26</v>
      </c>
      <c r="F870" s="2" t="s">
        <v>43</v>
      </c>
      <c r="G870" s="2" t="s">
        <v>121</v>
      </c>
      <c r="H870" s="2">
        <v>2</v>
      </c>
      <c r="I870" s="2">
        <v>4810.8100000000004</v>
      </c>
      <c r="J870" s="2">
        <v>0.05</v>
      </c>
      <c r="K870" s="2">
        <v>9140.5300000000007</v>
      </c>
      <c r="L870" s="2">
        <v>6024.21</v>
      </c>
      <c r="M870" s="2">
        <v>3116.32</v>
      </c>
      <c r="N870" s="2" t="s">
        <v>29</v>
      </c>
      <c r="O870" s="2" t="s">
        <v>45</v>
      </c>
    </row>
    <row r="871" spans="1:15" x14ac:dyDescent="0.3">
      <c r="A871" s="2" t="s">
        <v>1010</v>
      </c>
      <c r="B871" s="3">
        <v>45800</v>
      </c>
      <c r="C871" s="2" t="s">
        <v>63</v>
      </c>
      <c r="D871" s="2" t="s">
        <v>64</v>
      </c>
      <c r="E871" s="2" t="s">
        <v>33</v>
      </c>
      <c r="F871" s="2" t="s">
        <v>43</v>
      </c>
      <c r="G871" s="2" t="s">
        <v>84</v>
      </c>
      <c r="H871" s="2">
        <v>3</v>
      </c>
      <c r="I871" s="2">
        <v>43890.71</v>
      </c>
      <c r="J871" s="2">
        <v>0.08</v>
      </c>
      <c r="K871" s="2">
        <v>121138.37</v>
      </c>
      <c r="L871" s="2">
        <v>93571.839999999997</v>
      </c>
      <c r="M871" s="2">
        <v>27566.53</v>
      </c>
      <c r="N871" s="2" t="s">
        <v>21</v>
      </c>
      <c r="O871" s="2" t="s">
        <v>30</v>
      </c>
    </row>
    <row r="872" spans="1:15" x14ac:dyDescent="0.3">
      <c r="A872" s="2" t="s">
        <v>1011</v>
      </c>
      <c r="B872" s="3">
        <v>46010</v>
      </c>
      <c r="C872" s="2" t="s">
        <v>16</v>
      </c>
      <c r="D872" s="2" t="s">
        <v>17</v>
      </c>
      <c r="E872" s="2" t="s">
        <v>56</v>
      </c>
      <c r="F872" s="2" t="s">
        <v>34</v>
      </c>
      <c r="G872" s="2" t="s">
        <v>35</v>
      </c>
      <c r="H872" s="2">
        <v>5</v>
      </c>
      <c r="I872" s="2">
        <v>17381.84</v>
      </c>
      <c r="J872" s="2">
        <v>0.15</v>
      </c>
      <c r="K872" s="2">
        <v>73872.820000000007</v>
      </c>
      <c r="L872" s="2">
        <v>58816.51</v>
      </c>
      <c r="M872" s="2">
        <v>15056.31</v>
      </c>
      <c r="N872" s="2" t="s">
        <v>29</v>
      </c>
      <c r="O872" s="2" t="s">
        <v>45</v>
      </c>
    </row>
    <row r="873" spans="1:15" x14ac:dyDescent="0.3">
      <c r="A873" s="2" t="s">
        <v>1012</v>
      </c>
      <c r="B873" s="3">
        <v>45878</v>
      </c>
      <c r="C873" s="2" t="s">
        <v>37</v>
      </c>
      <c r="D873" s="2" t="s">
        <v>42</v>
      </c>
      <c r="E873" s="2" t="s">
        <v>69</v>
      </c>
      <c r="F873" s="2" t="s">
        <v>43</v>
      </c>
      <c r="G873" s="2" t="s">
        <v>91</v>
      </c>
      <c r="H873" s="2">
        <v>6</v>
      </c>
      <c r="I873" s="2">
        <v>50425.77</v>
      </c>
      <c r="J873" s="2">
        <v>0.1</v>
      </c>
      <c r="K873" s="2">
        <v>272299.15000000002</v>
      </c>
      <c r="L873" s="2">
        <v>224094.05</v>
      </c>
      <c r="M873" s="2">
        <v>48205.1</v>
      </c>
      <c r="N873" s="2" t="s">
        <v>21</v>
      </c>
      <c r="O873" s="2" t="s">
        <v>45</v>
      </c>
    </row>
    <row r="874" spans="1:15" x14ac:dyDescent="0.3">
      <c r="A874" s="2" t="s">
        <v>1013</v>
      </c>
      <c r="B874" s="3">
        <v>45720</v>
      </c>
      <c r="C874" s="2" t="s">
        <v>37</v>
      </c>
      <c r="D874" s="2" t="s">
        <v>25</v>
      </c>
      <c r="E874" s="2" t="s">
        <v>56</v>
      </c>
      <c r="F874" s="2" t="s">
        <v>43</v>
      </c>
      <c r="G874" s="2" t="s">
        <v>75</v>
      </c>
      <c r="H874" s="2">
        <v>4</v>
      </c>
      <c r="I874" s="2">
        <v>36362.949999999997</v>
      </c>
      <c r="J874" s="2">
        <v>0.05</v>
      </c>
      <c r="K874" s="2">
        <v>138179.23000000001</v>
      </c>
      <c r="L874" s="2">
        <v>95228.79</v>
      </c>
      <c r="M874" s="2">
        <v>42950.44</v>
      </c>
      <c r="N874" s="2" t="s">
        <v>29</v>
      </c>
      <c r="O874" s="2" t="s">
        <v>40</v>
      </c>
    </row>
    <row r="875" spans="1:15" x14ac:dyDescent="0.3">
      <c r="A875" s="2" t="s">
        <v>87</v>
      </c>
      <c r="B875" s="3">
        <v>45820</v>
      </c>
      <c r="C875" s="2" t="s">
        <v>63</v>
      </c>
      <c r="D875" s="2" t="s">
        <v>88</v>
      </c>
      <c r="E875" s="2" t="s">
        <v>74</v>
      </c>
      <c r="F875" s="2" t="s">
        <v>198</v>
      </c>
      <c r="G875" s="2" t="s">
        <v>89</v>
      </c>
      <c r="H875" s="2">
        <v>5</v>
      </c>
      <c r="I875" s="2">
        <v>30893.68</v>
      </c>
      <c r="J875" s="2">
        <v>0.03</v>
      </c>
      <c r="K875" s="2">
        <v>149834.32999999999</v>
      </c>
      <c r="L875" s="2">
        <v>110360.07</v>
      </c>
      <c r="M875" s="2">
        <v>39474.26</v>
      </c>
      <c r="N875" s="2" t="s">
        <v>29</v>
      </c>
      <c r="O875" s="2" t="s">
        <v>30</v>
      </c>
    </row>
    <row r="876" spans="1:15" x14ac:dyDescent="0.3">
      <c r="A876" s="2" t="s">
        <v>1014</v>
      </c>
      <c r="B876" s="3">
        <v>45869</v>
      </c>
      <c r="C876" s="2" t="s">
        <v>16</v>
      </c>
      <c r="D876" s="2" t="s">
        <v>82</v>
      </c>
      <c r="E876" s="2" t="s">
        <v>18</v>
      </c>
      <c r="F876" s="2" t="s">
        <v>34</v>
      </c>
      <c r="G876" s="2" t="s">
        <v>57</v>
      </c>
      <c r="H876" s="2">
        <v>2</v>
      </c>
      <c r="I876" s="2">
        <v>20485.91</v>
      </c>
      <c r="J876" s="2">
        <v>0.08</v>
      </c>
      <c r="K876" s="2">
        <v>37694.080000000002</v>
      </c>
      <c r="L876" s="2">
        <v>24933.759999999998</v>
      </c>
      <c r="M876" s="2">
        <v>12760.32</v>
      </c>
      <c r="N876" s="2" t="s">
        <v>21</v>
      </c>
      <c r="O876" s="2" t="s">
        <v>59</v>
      </c>
    </row>
    <row r="877" spans="1:15" x14ac:dyDescent="0.3">
      <c r="A877" s="2" t="s">
        <v>1015</v>
      </c>
      <c r="B877" s="3">
        <v>45982</v>
      </c>
      <c r="C877" s="2" t="s">
        <v>63</v>
      </c>
      <c r="D877" s="2" t="s">
        <v>95</v>
      </c>
      <c r="E877" s="2" t="s">
        <v>49</v>
      </c>
      <c r="F877" s="2" t="s">
        <v>34</v>
      </c>
      <c r="G877" s="2" t="s">
        <v>70</v>
      </c>
      <c r="H877" s="2">
        <v>1</v>
      </c>
      <c r="I877" s="2">
        <v>64691.37</v>
      </c>
      <c r="J877" s="2">
        <v>0.1</v>
      </c>
      <c r="K877" s="2">
        <v>58222.23</v>
      </c>
      <c r="L877" s="2">
        <v>46756.63</v>
      </c>
      <c r="M877" s="2">
        <v>11465.6</v>
      </c>
      <c r="N877" s="2" t="s">
        <v>29</v>
      </c>
      <c r="O877" s="2" t="s">
        <v>22</v>
      </c>
    </row>
    <row r="878" spans="1:15" x14ac:dyDescent="0.3">
      <c r="A878" s="2" t="s">
        <v>1016</v>
      </c>
      <c r="B878" s="3">
        <v>45722</v>
      </c>
      <c r="C878" s="2" t="s">
        <v>54</v>
      </c>
      <c r="D878" s="2" t="s">
        <v>174</v>
      </c>
      <c r="E878" s="2" t="s">
        <v>74</v>
      </c>
      <c r="F878" s="2" t="s">
        <v>43</v>
      </c>
      <c r="G878" s="2" t="s">
        <v>121</v>
      </c>
      <c r="H878" s="2">
        <v>3</v>
      </c>
      <c r="I878" s="2">
        <v>4606.9399999999996</v>
      </c>
      <c r="J878" s="2">
        <v>0.1</v>
      </c>
      <c r="K878" s="2">
        <v>12438.73</v>
      </c>
      <c r="L878" s="2">
        <v>7909.91</v>
      </c>
      <c r="M878" s="2">
        <v>4528.82</v>
      </c>
      <c r="N878" s="2" t="s">
        <v>29</v>
      </c>
      <c r="O878" s="2" t="s">
        <v>59</v>
      </c>
    </row>
    <row r="879" spans="1:15" x14ac:dyDescent="0.3">
      <c r="A879" s="2" t="s">
        <v>1017</v>
      </c>
      <c r="B879" s="3">
        <v>45987</v>
      </c>
      <c r="C879" s="2" t="s">
        <v>16</v>
      </c>
      <c r="D879" s="2" t="s">
        <v>52</v>
      </c>
      <c r="E879" s="2" t="s">
        <v>18</v>
      </c>
      <c r="F879" s="2" t="s">
        <v>27</v>
      </c>
      <c r="G879" s="2" t="s">
        <v>50</v>
      </c>
      <c r="H879" s="2">
        <v>1</v>
      </c>
      <c r="I879" s="2">
        <v>29558.5</v>
      </c>
      <c r="J879" s="2">
        <v>0.08</v>
      </c>
      <c r="K879" s="2">
        <v>27193.82</v>
      </c>
      <c r="L879" s="2">
        <v>18490.93</v>
      </c>
      <c r="M879" s="2">
        <v>8702.89</v>
      </c>
      <c r="N879" s="2" t="s">
        <v>58</v>
      </c>
      <c r="O879" s="2" t="s">
        <v>45</v>
      </c>
    </row>
    <row r="880" spans="1:15" x14ac:dyDescent="0.3">
      <c r="A880" s="2" t="s">
        <v>1018</v>
      </c>
      <c r="B880" s="3">
        <v>45717</v>
      </c>
      <c r="C880" s="2" t="s">
        <v>16</v>
      </c>
      <c r="D880" s="2" t="s">
        <v>52</v>
      </c>
      <c r="E880" s="2" t="s">
        <v>33</v>
      </c>
      <c r="F880" s="2" t="s">
        <v>27</v>
      </c>
      <c r="G880" s="2" t="s">
        <v>50</v>
      </c>
      <c r="H880" s="2">
        <v>2</v>
      </c>
      <c r="I880" s="2">
        <v>28068.99</v>
      </c>
      <c r="J880" s="2">
        <v>0</v>
      </c>
      <c r="K880" s="2">
        <v>56137.99</v>
      </c>
      <c r="L880" s="2">
        <v>36976.07</v>
      </c>
      <c r="M880" s="2">
        <v>19161.919999999998</v>
      </c>
      <c r="N880" s="2" t="s">
        <v>21</v>
      </c>
      <c r="O880" s="2" t="s">
        <v>30</v>
      </c>
    </row>
    <row r="881" spans="1:15" x14ac:dyDescent="0.3">
      <c r="A881" s="2" t="s">
        <v>1019</v>
      </c>
      <c r="B881" s="3">
        <v>45768</v>
      </c>
      <c r="C881" s="2" t="s">
        <v>54</v>
      </c>
      <c r="D881" s="2" t="s">
        <v>48</v>
      </c>
      <c r="E881" s="2" t="s">
        <v>49</v>
      </c>
      <c r="F881" s="2" t="s">
        <v>27</v>
      </c>
      <c r="G881" s="2" t="s">
        <v>125</v>
      </c>
      <c r="H881" s="2">
        <v>1</v>
      </c>
      <c r="I881" s="2">
        <v>8992.7800000000007</v>
      </c>
      <c r="J881" s="2">
        <v>0.03</v>
      </c>
      <c r="K881" s="2">
        <v>8722.99</v>
      </c>
      <c r="L881" s="2">
        <v>6845.99</v>
      </c>
      <c r="M881" s="2">
        <v>1877</v>
      </c>
      <c r="N881" s="2" t="s">
        <v>21</v>
      </c>
      <c r="O881" s="2" t="s">
        <v>45</v>
      </c>
    </row>
    <row r="882" spans="1:15" x14ac:dyDescent="0.3">
      <c r="A882" s="2" t="s">
        <v>1020</v>
      </c>
      <c r="B882" s="3">
        <v>45768</v>
      </c>
      <c r="C882" s="2" t="s">
        <v>37</v>
      </c>
      <c r="D882" s="2" t="s">
        <v>42</v>
      </c>
      <c r="E882" s="2" t="s">
        <v>65</v>
      </c>
      <c r="F882" s="2" t="s">
        <v>34</v>
      </c>
      <c r="G882" s="2" t="s">
        <v>57</v>
      </c>
      <c r="H882" s="2">
        <v>8</v>
      </c>
      <c r="I882" s="2">
        <v>23057.279999999999</v>
      </c>
      <c r="J882" s="2">
        <v>0.05</v>
      </c>
      <c r="K882" s="2">
        <v>175235.34</v>
      </c>
      <c r="L882" s="2">
        <v>134153.68</v>
      </c>
      <c r="M882" s="2">
        <v>41081.660000000003</v>
      </c>
      <c r="N882" s="2" t="s">
        <v>21</v>
      </c>
      <c r="O882" s="2" t="s">
        <v>45</v>
      </c>
    </row>
    <row r="883" spans="1:15" x14ac:dyDescent="0.3">
      <c r="A883" s="2" t="s">
        <v>1021</v>
      </c>
      <c r="B883" s="3">
        <v>45907</v>
      </c>
      <c r="C883" s="2" t="s">
        <v>16</v>
      </c>
      <c r="D883" s="2" t="s">
        <v>82</v>
      </c>
      <c r="E883" s="2" t="s">
        <v>65</v>
      </c>
      <c r="F883" s="2" t="s">
        <v>43</v>
      </c>
      <c r="G883" s="2" t="s">
        <v>84</v>
      </c>
      <c r="H883" s="2">
        <v>2</v>
      </c>
      <c r="I883" s="2">
        <v>40696.33</v>
      </c>
      <c r="J883" s="2">
        <v>0.1</v>
      </c>
      <c r="K883" s="2">
        <v>73253.39</v>
      </c>
      <c r="L883" s="2">
        <v>55764.92</v>
      </c>
      <c r="M883" s="2">
        <v>17488.47</v>
      </c>
      <c r="N883" s="2" t="s">
        <v>21</v>
      </c>
      <c r="O883" s="2" t="s">
        <v>22</v>
      </c>
    </row>
    <row r="884" spans="1:15" x14ac:dyDescent="0.3">
      <c r="A884" s="2" t="s">
        <v>1022</v>
      </c>
      <c r="B884" s="3">
        <v>45801</v>
      </c>
      <c r="C884" s="2" t="s">
        <v>63</v>
      </c>
      <c r="D884" s="2" t="s">
        <v>117</v>
      </c>
      <c r="E884" s="2" t="s">
        <v>49</v>
      </c>
      <c r="F884" s="2" t="s">
        <v>43</v>
      </c>
      <c r="G884" s="2" t="s">
        <v>75</v>
      </c>
      <c r="H884" s="2">
        <v>2</v>
      </c>
      <c r="I884" s="2">
        <v>35658.81</v>
      </c>
      <c r="J884" s="2">
        <v>0.05</v>
      </c>
      <c r="K884" s="2">
        <v>67751.740000000005</v>
      </c>
      <c r="L884" s="2">
        <v>56591.58</v>
      </c>
      <c r="M884" s="2">
        <v>11160.16</v>
      </c>
      <c r="N884" s="2" t="s">
        <v>58</v>
      </c>
      <c r="O884" s="2" t="s">
        <v>59</v>
      </c>
    </row>
    <row r="885" spans="1:15" x14ac:dyDescent="0.3">
      <c r="A885" s="2" t="s">
        <v>1023</v>
      </c>
      <c r="B885" s="3">
        <v>45928</v>
      </c>
      <c r="C885" s="2" t="s">
        <v>16</v>
      </c>
      <c r="D885" s="2" t="s">
        <v>52</v>
      </c>
      <c r="E885" s="2" t="s">
        <v>69</v>
      </c>
      <c r="F885" s="2" t="s">
        <v>34</v>
      </c>
      <c r="G885" s="2" t="s">
        <v>35</v>
      </c>
      <c r="H885" s="2">
        <v>3</v>
      </c>
      <c r="I885" s="2">
        <v>18156.009999999998</v>
      </c>
      <c r="J885" s="2">
        <v>0.05</v>
      </c>
      <c r="K885" s="2">
        <v>51744.63</v>
      </c>
      <c r="L885" s="2">
        <v>40862.089999999997</v>
      </c>
      <c r="M885" s="2">
        <v>10882.54</v>
      </c>
      <c r="N885" s="2" t="s">
        <v>29</v>
      </c>
      <c r="O885" s="2" t="s">
        <v>59</v>
      </c>
    </row>
    <row r="886" spans="1:15" x14ac:dyDescent="0.3">
      <c r="A886" s="2" t="s">
        <v>1024</v>
      </c>
      <c r="B886" s="3">
        <v>45731</v>
      </c>
      <c r="C886" s="2" t="s">
        <v>54</v>
      </c>
      <c r="D886" s="2" t="s">
        <v>55</v>
      </c>
      <c r="E886" s="2" t="s">
        <v>33</v>
      </c>
      <c r="F886" s="2" t="s">
        <v>34</v>
      </c>
      <c r="G886" s="2" t="s">
        <v>35</v>
      </c>
      <c r="H886" s="2">
        <v>7</v>
      </c>
      <c r="I886" s="2">
        <v>17176.830000000002</v>
      </c>
      <c r="J886" s="2">
        <v>0</v>
      </c>
      <c r="K886" s="2">
        <v>120237.79</v>
      </c>
      <c r="L886" s="2">
        <v>83940.5</v>
      </c>
      <c r="M886" s="2">
        <v>36297.29</v>
      </c>
      <c r="N886" s="2" t="s">
        <v>29</v>
      </c>
      <c r="O886" s="2" t="s">
        <v>30</v>
      </c>
    </row>
    <row r="887" spans="1:15" x14ac:dyDescent="0.3">
      <c r="A887" s="2" t="s">
        <v>1025</v>
      </c>
      <c r="B887" s="3">
        <v>45685</v>
      </c>
      <c r="C887" s="2" t="s">
        <v>16</v>
      </c>
      <c r="D887" s="2" t="s">
        <v>17</v>
      </c>
      <c r="E887" s="2" t="s">
        <v>18</v>
      </c>
      <c r="F887" s="2" t="s">
        <v>34</v>
      </c>
      <c r="G887" s="2" t="s">
        <v>80</v>
      </c>
      <c r="H887" s="2">
        <v>3</v>
      </c>
      <c r="I887" s="2">
        <v>4266.8599999999997</v>
      </c>
      <c r="J887" s="2">
        <v>0.08</v>
      </c>
      <c r="K887" s="2">
        <v>11776.53</v>
      </c>
      <c r="L887" s="2">
        <v>8253.7099999999991</v>
      </c>
      <c r="M887" s="2">
        <v>3522.82</v>
      </c>
      <c r="N887" s="2" t="s">
        <v>21</v>
      </c>
      <c r="O887" s="2" t="s">
        <v>45</v>
      </c>
    </row>
    <row r="888" spans="1:15" x14ac:dyDescent="0.3">
      <c r="A888" s="2" t="s">
        <v>1026</v>
      </c>
      <c r="B888" s="3">
        <v>45747</v>
      </c>
      <c r="C888" s="2" t="s">
        <v>63</v>
      </c>
      <c r="D888" s="2" t="s">
        <v>95</v>
      </c>
      <c r="E888" s="2" t="s">
        <v>49</v>
      </c>
      <c r="F888" s="2" t="s">
        <v>34</v>
      </c>
      <c r="G888" s="2" t="s">
        <v>70</v>
      </c>
      <c r="H888" s="2">
        <v>4</v>
      </c>
      <c r="I888" s="2">
        <v>59923.74</v>
      </c>
      <c r="J888" s="2">
        <v>0.03</v>
      </c>
      <c r="K888" s="2">
        <v>232504.1</v>
      </c>
      <c r="L888" s="2">
        <v>144483.10999999999</v>
      </c>
      <c r="M888" s="2">
        <v>88020.99</v>
      </c>
      <c r="N888" s="2" t="s">
        <v>58</v>
      </c>
      <c r="O888" s="2" t="s">
        <v>40</v>
      </c>
    </row>
    <row r="889" spans="1:15" x14ac:dyDescent="0.3">
      <c r="A889" s="2" t="s">
        <v>1027</v>
      </c>
      <c r="B889" s="3">
        <v>45765</v>
      </c>
      <c r="C889" s="2" t="s">
        <v>54</v>
      </c>
      <c r="D889" s="2" t="s">
        <v>55</v>
      </c>
      <c r="E889" s="2" t="s">
        <v>69</v>
      </c>
      <c r="F889" s="2" t="s">
        <v>43</v>
      </c>
      <c r="G889" s="2" t="s">
        <v>84</v>
      </c>
      <c r="H889" s="2">
        <v>2</v>
      </c>
      <c r="I889" s="2">
        <v>42856.84</v>
      </c>
      <c r="J889" s="2">
        <v>0.1</v>
      </c>
      <c r="K889" s="2">
        <v>77142.31</v>
      </c>
      <c r="L889" s="2">
        <v>59828.12</v>
      </c>
      <c r="M889" s="2">
        <v>17314.189999999999</v>
      </c>
      <c r="N889" s="2" t="s">
        <v>29</v>
      </c>
      <c r="O889" s="2" t="s">
        <v>22</v>
      </c>
    </row>
    <row r="890" spans="1:15" x14ac:dyDescent="0.3">
      <c r="A890" s="2" t="s">
        <v>1028</v>
      </c>
      <c r="B890" s="3">
        <v>45884</v>
      </c>
      <c r="C890" s="2" t="s">
        <v>54</v>
      </c>
      <c r="D890" s="2" t="s">
        <v>48</v>
      </c>
      <c r="E890" s="2" t="s">
        <v>74</v>
      </c>
      <c r="F890" s="2" t="s">
        <v>34</v>
      </c>
      <c r="G890" s="2" t="s">
        <v>80</v>
      </c>
      <c r="H890" s="2">
        <v>2</v>
      </c>
      <c r="I890" s="2">
        <v>4504.38</v>
      </c>
      <c r="J890" s="2">
        <v>0.08</v>
      </c>
      <c r="K890" s="2">
        <v>8288.06</v>
      </c>
      <c r="L890" s="2">
        <v>6795.41</v>
      </c>
      <c r="M890" s="2">
        <v>1492.65</v>
      </c>
      <c r="N890" s="2" t="s">
        <v>58</v>
      </c>
      <c r="O890" s="2" t="s">
        <v>30</v>
      </c>
    </row>
    <row r="891" spans="1:15" x14ac:dyDescent="0.3">
      <c r="A891" s="2" t="s">
        <v>1029</v>
      </c>
      <c r="B891" s="3">
        <v>45943</v>
      </c>
      <c r="C891" s="2" t="s">
        <v>37</v>
      </c>
      <c r="D891" s="2" t="s">
        <v>42</v>
      </c>
      <c r="E891" s="2" t="s">
        <v>65</v>
      </c>
      <c r="F891" s="2" t="s">
        <v>27</v>
      </c>
      <c r="G891" s="2" t="s">
        <v>50</v>
      </c>
      <c r="H891" s="2">
        <v>1</v>
      </c>
      <c r="I891" s="2">
        <v>30877.09</v>
      </c>
      <c r="J891" s="2">
        <v>0.08</v>
      </c>
      <c r="K891" s="2">
        <v>28406.92</v>
      </c>
      <c r="L891" s="2">
        <v>22566.48</v>
      </c>
      <c r="M891" s="2">
        <v>5840.44</v>
      </c>
      <c r="N891" s="2" t="s">
        <v>58</v>
      </c>
      <c r="O891" s="2" t="s">
        <v>40</v>
      </c>
    </row>
    <row r="892" spans="1:15" x14ac:dyDescent="0.3">
      <c r="A892" s="2" t="s">
        <v>1030</v>
      </c>
      <c r="B892" s="3">
        <v>45933</v>
      </c>
      <c r="C892" s="2" t="s">
        <v>63</v>
      </c>
      <c r="D892" s="2" t="s">
        <v>95</v>
      </c>
      <c r="E892" s="2" t="s">
        <v>49</v>
      </c>
      <c r="F892" s="2" t="s">
        <v>34</v>
      </c>
      <c r="G892" s="2" t="s">
        <v>39</v>
      </c>
      <c r="H892" s="2">
        <v>4</v>
      </c>
      <c r="I892" s="2">
        <v>29638.46</v>
      </c>
      <c r="J892" s="2">
        <v>0.03</v>
      </c>
      <c r="K892" s="2">
        <v>114997.22</v>
      </c>
      <c r="L892" s="2">
        <v>93554.46</v>
      </c>
      <c r="M892" s="2">
        <v>21442.76</v>
      </c>
      <c r="N892" s="2" t="s">
        <v>21</v>
      </c>
      <c r="O892" s="2" t="s">
        <v>40</v>
      </c>
    </row>
    <row r="893" spans="1:15" x14ac:dyDescent="0.3">
      <c r="A893" s="2" t="s">
        <v>1031</v>
      </c>
      <c r="B893" s="3">
        <v>45772</v>
      </c>
      <c r="C893" s="2" t="s">
        <v>16</v>
      </c>
      <c r="D893" s="2" t="s">
        <v>32</v>
      </c>
      <c r="E893" s="2" t="s">
        <v>26</v>
      </c>
      <c r="F893" s="2" t="s">
        <v>43</v>
      </c>
      <c r="G893" s="2" t="s">
        <v>91</v>
      </c>
      <c r="H893" s="2">
        <v>3</v>
      </c>
      <c r="I893" s="2">
        <v>47376.07</v>
      </c>
      <c r="J893" s="2">
        <v>0.05</v>
      </c>
      <c r="K893" s="2">
        <v>135021.79999999999</v>
      </c>
      <c r="L893" s="2">
        <v>85461.21</v>
      </c>
      <c r="M893" s="2">
        <v>49560.59</v>
      </c>
      <c r="N893" s="2" t="s">
        <v>21</v>
      </c>
      <c r="O893" s="2" t="s">
        <v>30</v>
      </c>
    </row>
    <row r="894" spans="1:15" x14ac:dyDescent="0.3">
      <c r="A894" s="2" t="s">
        <v>1032</v>
      </c>
      <c r="B894" s="3">
        <v>45941</v>
      </c>
      <c r="C894" s="2" t="s">
        <v>37</v>
      </c>
      <c r="D894" s="2" t="s">
        <v>38</v>
      </c>
      <c r="E894" s="2" t="s">
        <v>65</v>
      </c>
      <c r="F894" s="2" t="s">
        <v>34</v>
      </c>
      <c r="G894" s="2" t="s">
        <v>57</v>
      </c>
      <c r="H894" s="2">
        <v>2</v>
      </c>
      <c r="I894" s="2">
        <v>22872.69</v>
      </c>
      <c r="J894" s="2">
        <v>0.03</v>
      </c>
      <c r="K894" s="2">
        <v>44373.02</v>
      </c>
      <c r="L894" s="2">
        <v>35789.1</v>
      </c>
      <c r="M894" s="2">
        <v>8583.92</v>
      </c>
      <c r="N894" s="2" t="s">
        <v>58</v>
      </c>
      <c r="O894" s="2" t="s">
        <v>59</v>
      </c>
    </row>
    <row r="895" spans="1:15" x14ac:dyDescent="0.3">
      <c r="A895" s="2" t="s">
        <v>1033</v>
      </c>
      <c r="B895" s="3">
        <v>45807</v>
      </c>
      <c r="C895" s="2" t="s">
        <v>37</v>
      </c>
      <c r="D895" s="2" t="s">
        <v>25</v>
      </c>
      <c r="E895" s="2" t="s">
        <v>26</v>
      </c>
      <c r="F895" s="2" t="s">
        <v>19</v>
      </c>
      <c r="G895" s="2" t="s">
        <v>20</v>
      </c>
      <c r="H895" s="2">
        <v>6</v>
      </c>
      <c r="I895" s="2">
        <v>702.59</v>
      </c>
      <c r="J895" s="2">
        <v>0.1</v>
      </c>
      <c r="K895" s="2">
        <v>3794.01</v>
      </c>
      <c r="L895" s="2">
        <v>2501.98</v>
      </c>
      <c r="M895" s="2">
        <v>1292.03</v>
      </c>
      <c r="N895" s="2" t="s">
        <v>21</v>
      </c>
      <c r="O895" s="2" t="s">
        <v>45</v>
      </c>
    </row>
    <row r="896" spans="1:15" x14ac:dyDescent="0.3">
      <c r="A896" s="2" t="s">
        <v>1034</v>
      </c>
      <c r="B896" s="3">
        <v>45663</v>
      </c>
      <c r="C896" s="2" t="s">
        <v>37</v>
      </c>
      <c r="D896" s="2" t="s">
        <v>25</v>
      </c>
      <c r="E896" s="2" t="s">
        <v>56</v>
      </c>
      <c r="F896" s="2" t="s">
        <v>34</v>
      </c>
      <c r="G896" s="2" t="s">
        <v>80</v>
      </c>
      <c r="H896" s="2">
        <v>7</v>
      </c>
      <c r="I896" s="2">
        <v>4329.54</v>
      </c>
      <c r="J896" s="2">
        <v>0.05</v>
      </c>
      <c r="K896" s="2" t="s">
        <v>1035</v>
      </c>
      <c r="L896" s="2">
        <v>20693.509999999998</v>
      </c>
      <c r="M896" s="2">
        <v>8097.91</v>
      </c>
      <c r="N896" s="2" t="s">
        <v>21</v>
      </c>
      <c r="O896" s="2" t="s">
        <v>59</v>
      </c>
    </row>
    <row r="897" spans="1:15" x14ac:dyDescent="0.3">
      <c r="A897" s="2" t="s">
        <v>1036</v>
      </c>
      <c r="B897" s="3">
        <v>45676</v>
      </c>
      <c r="C897" s="2" t="s">
        <v>37</v>
      </c>
      <c r="D897" s="2" t="s">
        <v>25</v>
      </c>
      <c r="E897" s="2" t="s">
        <v>26</v>
      </c>
      <c r="F897" s="2" t="s">
        <v>19</v>
      </c>
      <c r="G897" s="2" t="s">
        <v>61</v>
      </c>
      <c r="H897" s="2">
        <v>6</v>
      </c>
      <c r="I897" s="2">
        <v>9515.36</v>
      </c>
      <c r="J897" s="2">
        <v>0.03</v>
      </c>
      <c r="K897" s="2">
        <v>55379.4</v>
      </c>
      <c r="L897" s="2">
        <v>43092.11</v>
      </c>
      <c r="M897" s="2">
        <v>12287.29</v>
      </c>
      <c r="N897" s="2" t="s">
        <v>29</v>
      </c>
      <c r="O897" s="2" t="s">
        <v>45</v>
      </c>
    </row>
    <row r="898" spans="1:15" x14ac:dyDescent="0.3">
      <c r="A898" s="2" t="s">
        <v>1037</v>
      </c>
      <c r="B898" s="3">
        <v>45913</v>
      </c>
      <c r="C898" s="2" t="s">
        <v>37</v>
      </c>
      <c r="D898" s="2" t="s">
        <v>38</v>
      </c>
      <c r="E898" s="2" t="s">
        <v>65</v>
      </c>
      <c r="F898" s="2" t="s">
        <v>34</v>
      </c>
      <c r="G898" s="2" t="s">
        <v>39</v>
      </c>
      <c r="H898" s="2">
        <v>5</v>
      </c>
      <c r="I898" s="2">
        <v>32230.19</v>
      </c>
      <c r="J898" s="2">
        <v>0.05</v>
      </c>
      <c r="K898" s="2">
        <v>153093.4</v>
      </c>
      <c r="L898" s="2">
        <v>117975.83</v>
      </c>
      <c r="M898" s="2">
        <v>35117.57</v>
      </c>
      <c r="N898" s="2" t="s">
        <v>29</v>
      </c>
      <c r="O898" s="2" t="s">
        <v>59</v>
      </c>
    </row>
    <row r="899" spans="1:15" x14ac:dyDescent="0.3">
      <c r="A899" s="2" t="s">
        <v>1038</v>
      </c>
      <c r="B899" s="3">
        <v>45767</v>
      </c>
      <c r="C899" s="2" t="s">
        <v>16</v>
      </c>
      <c r="D899" s="2" t="s">
        <v>52</v>
      </c>
      <c r="E899" s="2" t="s">
        <v>56</v>
      </c>
      <c r="F899" s="2" t="s">
        <v>34</v>
      </c>
      <c r="G899" s="2" t="s">
        <v>80</v>
      </c>
      <c r="H899" s="2">
        <v>3</v>
      </c>
      <c r="I899" s="2">
        <v>4494.7299999999996</v>
      </c>
      <c r="J899" s="2">
        <v>0.05</v>
      </c>
      <c r="K899" s="2">
        <v>12809.97</v>
      </c>
      <c r="L899" s="2">
        <v>8393.84</v>
      </c>
      <c r="M899" s="2">
        <v>4416.13</v>
      </c>
      <c r="N899" s="2" t="s">
        <v>58</v>
      </c>
      <c r="O899" s="2" t="s">
        <v>40</v>
      </c>
    </row>
    <row r="900" spans="1:15" x14ac:dyDescent="0.3">
      <c r="A900" s="2" t="s">
        <v>1039</v>
      </c>
      <c r="B900" s="3">
        <v>45735</v>
      </c>
      <c r="C900" s="2" t="s">
        <v>16</v>
      </c>
      <c r="D900" s="2" t="s">
        <v>17</v>
      </c>
      <c r="E900" s="2" t="s">
        <v>56</v>
      </c>
      <c r="F900" s="2" t="s">
        <v>34</v>
      </c>
      <c r="G900" s="2" t="s">
        <v>35</v>
      </c>
      <c r="H900" s="2">
        <v>8</v>
      </c>
      <c r="I900" s="2">
        <v>17144.84</v>
      </c>
      <c r="J900" s="2">
        <v>0.05</v>
      </c>
      <c r="K900" s="2">
        <v>130300.81</v>
      </c>
      <c r="L900" s="2">
        <v>107234.8</v>
      </c>
      <c r="M900" s="2">
        <v>23066.01</v>
      </c>
      <c r="N900" s="2" t="s">
        <v>29</v>
      </c>
      <c r="O900" s="2" t="s">
        <v>30</v>
      </c>
    </row>
    <row r="901" spans="1:15" x14ac:dyDescent="0.3">
      <c r="A901" s="2" t="s">
        <v>1040</v>
      </c>
      <c r="B901" s="3">
        <v>45761</v>
      </c>
      <c r="C901" s="2" t="s">
        <v>63</v>
      </c>
      <c r="D901" s="2" t="s">
        <v>95</v>
      </c>
      <c r="E901" s="2" t="s">
        <v>18</v>
      </c>
      <c r="F901" s="2" t="s">
        <v>43</v>
      </c>
      <c r="G901" s="2" t="s">
        <v>44</v>
      </c>
      <c r="H901" s="2">
        <v>7</v>
      </c>
      <c r="I901" s="2">
        <v>11201.04</v>
      </c>
      <c r="J901" s="2">
        <v>0.15</v>
      </c>
      <c r="K901" s="2">
        <v>66646.17</v>
      </c>
      <c r="L901" s="2">
        <v>43354.92</v>
      </c>
      <c r="M901" s="2">
        <v>23291.25</v>
      </c>
      <c r="N901" s="2" t="s">
        <v>58</v>
      </c>
      <c r="O901" s="2" t="s">
        <v>59</v>
      </c>
    </row>
    <row r="902" spans="1:15" x14ac:dyDescent="0.3">
      <c r="A902" s="2" t="s">
        <v>1041</v>
      </c>
      <c r="B902" s="3">
        <v>45975</v>
      </c>
      <c r="C902" s="2" t="s">
        <v>16</v>
      </c>
      <c r="D902" s="2" t="s">
        <v>82</v>
      </c>
      <c r="E902" s="2" t="s">
        <v>65</v>
      </c>
      <c r="F902" s="2" t="s">
        <v>43</v>
      </c>
      <c r="G902" s="2" t="s">
        <v>84</v>
      </c>
      <c r="H902" s="2">
        <v>5</v>
      </c>
      <c r="I902" s="2">
        <v>40945.26</v>
      </c>
      <c r="J902" s="2">
        <v>0.05</v>
      </c>
      <c r="K902" s="2">
        <v>194489.96</v>
      </c>
      <c r="L902" s="2">
        <v>154211.06</v>
      </c>
      <c r="M902" s="2">
        <v>40278.9</v>
      </c>
      <c r="N902" s="2" t="s">
        <v>58</v>
      </c>
      <c r="O902" s="2" t="s">
        <v>45</v>
      </c>
    </row>
    <row r="903" spans="1:15" x14ac:dyDescent="0.3">
      <c r="A903" s="2" t="s">
        <v>1042</v>
      </c>
      <c r="B903" s="3">
        <v>45782</v>
      </c>
      <c r="C903" s="2" t="s">
        <v>37</v>
      </c>
      <c r="D903" s="2" t="s">
        <v>38</v>
      </c>
      <c r="E903" s="2" t="s">
        <v>65</v>
      </c>
      <c r="F903" s="2" t="s">
        <v>43</v>
      </c>
      <c r="G903" s="2" t="s">
        <v>121</v>
      </c>
      <c r="H903" s="2">
        <v>1</v>
      </c>
      <c r="I903" s="2">
        <v>4881.84</v>
      </c>
      <c r="J903" s="2">
        <v>0.03</v>
      </c>
      <c r="K903" s="2" t="s">
        <v>1043</v>
      </c>
      <c r="L903" s="2">
        <v>3572.18</v>
      </c>
      <c r="M903" s="2">
        <v>1163.21</v>
      </c>
      <c r="N903" s="2" t="s">
        <v>58</v>
      </c>
      <c r="O903" s="2" t="s">
        <v>40</v>
      </c>
    </row>
    <row r="904" spans="1:15" x14ac:dyDescent="0.3">
      <c r="A904" s="2" t="s">
        <v>1044</v>
      </c>
      <c r="B904" s="3">
        <v>45840</v>
      </c>
      <c r="C904" s="2" t="s">
        <v>63</v>
      </c>
      <c r="D904" s="2" t="s">
        <v>64</v>
      </c>
      <c r="E904" s="2" t="s">
        <v>33</v>
      </c>
      <c r="F904" s="2" t="s">
        <v>19</v>
      </c>
      <c r="G904" s="2" t="s">
        <v>108</v>
      </c>
      <c r="H904" s="2">
        <v>8</v>
      </c>
      <c r="I904" s="2">
        <v>13907.71</v>
      </c>
      <c r="J904" s="2">
        <v>0.1</v>
      </c>
      <c r="K904" s="2">
        <v>100135.54</v>
      </c>
      <c r="L904" s="2">
        <v>73386.44</v>
      </c>
      <c r="M904" s="2">
        <v>26749.1</v>
      </c>
      <c r="N904" s="2" t="s">
        <v>21</v>
      </c>
      <c r="O904" s="2" t="s">
        <v>40</v>
      </c>
    </row>
    <row r="905" spans="1:15" x14ac:dyDescent="0.3">
      <c r="A905" s="2" t="s">
        <v>1045</v>
      </c>
      <c r="B905" s="3">
        <v>45889</v>
      </c>
      <c r="C905" s="2" t="s">
        <v>16</v>
      </c>
      <c r="D905" s="2" t="s">
        <v>82</v>
      </c>
      <c r="E905" s="2" t="s">
        <v>18</v>
      </c>
      <c r="F905" s="2" t="s">
        <v>43</v>
      </c>
      <c r="G905" s="2" t="s">
        <v>91</v>
      </c>
      <c r="H905" s="2">
        <v>6</v>
      </c>
      <c r="I905" s="2">
        <v>48937.19</v>
      </c>
      <c r="J905" s="2">
        <v>0.05</v>
      </c>
      <c r="K905" s="2">
        <v>278941.96000000002</v>
      </c>
      <c r="L905" s="2">
        <v>227645.79</v>
      </c>
      <c r="M905" s="2">
        <v>51296.17</v>
      </c>
      <c r="N905" s="2" t="s">
        <v>58</v>
      </c>
      <c r="O905" s="2" t="s">
        <v>40</v>
      </c>
    </row>
    <row r="906" spans="1:15" x14ac:dyDescent="0.3">
      <c r="A906" s="2" t="s">
        <v>1046</v>
      </c>
      <c r="B906" s="3">
        <v>45990</v>
      </c>
      <c r="C906" s="2" t="s">
        <v>37</v>
      </c>
      <c r="D906" s="2" t="s">
        <v>25</v>
      </c>
      <c r="E906" s="2" t="s">
        <v>65</v>
      </c>
      <c r="F906" s="2" t="s">
        <v>43</v>
      </c>
      <c r="G906" s="2" t="s">
        <v>44</v>
      </c>
      <c r="H906" s="2">
        <v>4</v>
      </c>
      <c r="I906" s="2">
        <v>12286.23</v>
      </c>
      <c r="J906" s="2">
        <v>0.05</v>
      </c>
      <c r="K906" s="2">
        <v>46687.69</v>
      </c>
      <c r="L906" s="2">
        <v>39222.5</v>
      </c>
      <c r="M906" s="2">
        <v>7465.19</v>
      </c>
      <c r="N906" s="2" t="s">
        <v>21</v>
      </c>
      <c r="O906" s="2" t="s">
        <v>59</v>
      </c>
    </row>
    <row r="907" spans="1:15" x14ac:dyDescent="0.3">
      <c r="A907" s="2" t="s">
        <v>1047</v>
      </c>
      <c r="B907" s="3">
        <v>45770</v>
      </c>
      <c r="C907" s="2" t="s">
        <v>37</v>
      </c>
      <c r="D907" s="2" t="s">
        <v>38</v>
      </c>
      <c r="E907" s="2" t="s">
        <v>33</v>
      </c>
      <c r="F907" s="2" t="s">
        <v>34</v>
      </c>
      <c r="G907" s="2" t="s">
        <v>57</v>
      </c>
      <c r="H907" s="2">
        <v>7</v>
      </c>
      <c r="I907" s="2">
        <v>21412.19</v>
      </c>
      <c r="J907" s="2">
        <v>0.05</v>
      </c>
      <c r="K907" s="2">
        <v>142391.04000000001</v>
      </c>
      <c r="L907" s="2">
        <v>95605.9</v>
      </c>
      <c r="M907" s="2">
        <v>46785.14</v>
      </c>
      <c r="N907" s="2" t="s">
        <v>58</v>
      </c>
      <c r="O907" s="2" t="s">
        <v>30</v>
      </c>
    </row>
    <row r="908" spans="1:15" x14ac:dyDescent="0.3">
      <c r="A908" s="2" t="s">
        <v>1048</v>
      </c>
      <c r="B908" s="3">
        <v>45969</v>
      </c>
      <c r="C908" s="2" t="s">
        <v>37</v>
      </c>
      <c r="D908" s="2" t="s">
        <v>25</v>
      </c>
      <c r="E908" s="2" t="s">
        <v>18</v>
      </c>
      <c r="F908" s="2" t="s">
        <v>19</v>
      </c>
      <c r="G908" s="2" t="s">
        <v>61</v>
      </c>
      <c r="H908" s="2">
        <v>8</v>
      </c>
      <c r="I908" s="2">
        <v>9323.81</v>
      </c>
      <c r="J908" s="2">
        <v>0.08</v>
      </c>
      <c r="K908" s="2">
        <v>68623.27</v>
      </c>
      <c r="L908" s="2">
        <v>47668.02</v>
      </c>
      <c r="M908" s="2">
        <v>20955.25</v>
      </c>
      <c r="N908" s="2" t="s">
        <v>21</v>
      </c>
      <c r="O908" s="2" t="s">
        <v>59</v>
      </c>
    </row>
    <row r="909" spans="1:15" x14ac:dyDescent="0.3">
      <c r="A909" s="2" t="s">
        <v>1049</v>
      </c>
      <c r="B909" s="3">
        <v>45678</v>
      </c>
      <c r="C909" s="2" t="s">
        <v>37</v>
      </c>
      <c r="D909" s="2" t="s">
        <v>42</v>
      </c>
      <c r="E909" s="2" t="s">
        <v>26</v>
      </c>
      <c r="F909" s="2" t="s">
        <v>34</v>
      </c>
      <c r="G909" s="2" t="s">
        <v>35</v>
      </c>
      <c r="H909" s="2">
        <v>1</v>
      </c>
      <c r="I909" s="2">
        <v>18008.189999999999</v>
      </c>
      <c r="J909" s="2">
        <v>0</v>
      </c>
      <c r="K909" s="2">
        <v>18008.189999999999</v>
      </c>
      <c r="L909" s="2">
        <v>15237.38</v>
      </c>
      <c r="M909" s="2">
        <v>2770.81</v>
      </c>
      <c r="N909" s="2" t="s">
        <v>58</v>
      </c>
      <c r="O909" s="2" t="s">
        <v>30</v>
      </c>
    </row>
    <row r="910" spans="1:15" x14ac:dyDescent="0.3">
      <c r="A910" s="2" t="s">
        <v>1050</v>
      </c>
      <c r="B910" s="3">
        <v>45797</v>
      </c>
      <c r="C910" s="2" t="s">
        <v>37</v>
      </c>
      <c r="D910" s="2" t="s">
        <v>25</v>
      </c>
      <c r="E910" s="2" t="s">
        <v>69</v>
      </c>
      <c r="F910" s="2" t="s">
        <v>34</v>
      </c>
      <c r="G910" s="2" t="s">
        <v>39</v>
      </c>
      <c r="H910" s="2">
        <v>3</v>
      </c>
      <c r="I910" s="2">
        <v>30151.13</v>
      </c>
      <c r="J910" s="2">
        <v>0.1</v>
      </c>
      <c r="K910" s="2">
        <v>81408.06</v>
      </c>
      <c r="L910" s="2">
        <v>63902.87</v>
      </c>
      <c r="M910" s="2">
        <v>17505.189999999999</v>
      </c>
      <c r="N910" s="2" t="s">
        <v>29</v>
      </c>
      <c r="O910" s="2" t="s">
        <v>59</v>
      </c>
    </row>
    <row r="911" spans="1:15" x14ac:dyDescent="0.3">
      <c r="A911" s="2" t="s">
        <v>1051</v>
      </c>
      <c r="B911" s="3">
        <v>45925</v>
      </c>
      <c r="C911" s="2" t="s">
        <v>16</v>
      </c>
      <c r="D911" s="2" t="s">
        <v>32</v>
      </c>
      <c r="E911" s="2" t="s">
        <v>26</v>
      </c>
      <c r="F911" s="2" t="s">
        <v>34</v>
      </c>
      <c r="G911" s="2" t="s">
        <v>39</v>
      </c>
      <c r="H911" s="2">
        <v>8</v>
      </c>
      <c r="I911" s="2">
        <v>28002.26</v>
      </c>
      <c r="J911" s="2">
        <v>0.05</v>
      </c>
      <c r="K911" s="2">
        <v>212817.18</v>
      </c>
      <c r="L911" s="2">
        <v>158203.9</v>
      </c>
      <c r="M911" s="2">
        <v>54613.279999999999</v>
      </c>
      <c r="N911" s="2" t="s">
        <v>29</v>
      </c>
      <c r="O911" s="2" t="s">
        <v>22</v>
      </c>
    </row>
    <row r="912" spans="1:15" x14ac:dyDescent="0.3">
      <c r="A912" s="2" t="s">
        <v>1052</v>
      </c>
      <c r="B912" s="3">
        <v>45799</v>
      </c>
      <c r="C912" s="2" t="s">
        <v>37</v>
      </c>
      <c r="D912" s="2" t="s">
        <v>68</v>
      </c>
      <c r="E912" s="2" t="s">
        <v>18</v>
      </c>
      <c r="F912" s="2" t="s">
        <v>27</v>
      </c>
      <c r="G912" s="2" t="s">
        <v>89</v>
      </c>
      <c r="H912" s="2">
        <v>8</v>
      </c>
      <c r="I912" s="2">
        <v>32011.65</v>
      </c>
      <c r="J912" s="2">
        <v>0.08</v>
      </c>
      <c r="K912" s="2">
        <v>235605.72</v>
      </c>
      <c r="L912" s="2">
        <v>146410.76</v>
      </c>
      <c r="M912" s="2">
        <v>89194.96</v>
      </c>
      <c r="N912" s="2" t="s">
        <v>21</v>
      </c>
      <c r="O912" s="2" t="s">
        <v>40</v>
      </c>
    </row>
    <row r="913" spans="1:15" x14ac:dyDescent="0.3">
      <c r="A913" s="2" t="s">
        <v>1053</v>
      </c>
      <c r="B913" s="3">
        <v>45882</v>
      </c>
      <c r="C913" s="2" t="s">
        <v>37</v>
      </c>
      <c r="D913" s="2" t="s">
        <v>68</v>
      </c>
      <c r="E913" s="2" t="s">
        <v>49</v>
      </c>
      <c r="F913" s="2" t="s">
        <v>19</v>
      </c>
      <c r="G913" s="2" t="s">
        <v>61</v>
      </c>
      <c r="H913" s="2">
        <v>6</v>
      </c>
      <c r="I913" s="2">
        <v>9427.6</v>
      </c>
      <c r="J913" s="2">
        <v>0</v>
      </c>
      <c r="K913" s="2">
        <v>56565.63</v>
      </c>
      <c r="L913" s="2">
        <v>44391.62</v>
      </c>
      <c r="M913" s="2">
        <v>12174.01</v>
      </c>
      <c r="N913" s="2" t="s">
        <v>21</v>
      </c>
      <c r="O913" s="2" t="s">
        <v>40</v>
      </c>
    </row>
    <row r="914" spans="1:15" x14ac:dyDescent="0.3">
      <c r="A914" s="2" t="s">
        <v>1054</v>
      </c>
      <c r="B914" s="3">
        <v>45741</v>
      </c>
      <c r="C914" s="2" t="s">
        <v>16</v>
      </c>
      <c r="D914" s="2" t="s">
        <v>32</v>
      </c>
      <c r="E914" s="2" t="s">
        <v>74</v>
      </c>
      <c r="F914" s="2" t="s">
        <v>198</v>
      </c>
      <c r="G914" s="2" t="s">
        <v>125</v>
      </c>
      <c r="H914" s="2">
        <v>7</v>
      </c>
      <c r="I914" s="2">
        <v>8112.56</v>
      </c>
      <c r="J914" s="2">
        <v>0.1</v>
      </c>
      <c r="K914" s="2">
        <v>51109.15</v>
      </c>
      <c r="L914" s="2">
        <v>43795.42</v>
      </c>
      <c r="M914" s="2">
        <v>7313.73</v>
      </c>
      <c r="N914" s="2" t="s">
        <v>21</v>
      </c>
      <c r="O914" s="2" t="s">
        <v>45</v>
      </c>
    </row>
    <row r="915" spans="1:15" x14ac:dyDescent="0.3">
      <c r="A915" s="2" t="s">
        <v>1055</v>
      </c>
      <c r="B915" s="3">
        <v>45912</v>
      </c>
      <c r="C915" s="2" t="s">
        <v>37</v>
      </c>
      <c r="D915" s="2" t="s">
        <v>25</v>
      </c>
      <c r="E915" s="2"/>
      <c r="F915" s="2" t="s">
        <v>19</v>
      </c>
      <c r="G915" s="2" t="s">
        <v>20</v>
      </c>
      <c r="H915" s="2">
        <v>4</v>
      </c>
      <c r="I915" s="2">
        <v>646.98</v>
      </c>
      <c r="J915" s="2">
        <v>0.05</v>
      </c>
      <c r="K915" s="2">
        <v>2458.52</v>
      </c>
      <c r="L915" s="2">
        <v>1650.7</v>
      </c>
      <c r="M915" s="2">
        <v>807.82</v>
      </c>
      <c r="N915" s="2" t="s">
        <v>58</v>
      </c>
      <c r="O915" s="2" t="s">
        <v>22</v>
      </c>
    </row>
    <row r="916" spans="1:15" x14ac:dyDescent="0.3">
      <c r="A916" s="2" t="s">
        <v>1056</v>
      </c>
      <c r="B916" s="3">
        <v>46020</v>
      </c>
      <c r="C916" s="2" t="s">
        <v>601</v>
      </c>
      <c r="D916" s="2" t="s">
        <v>52</v>
      </c>
      <c r="E916" s="2" t="s">
        <v>65</v>
      </c>
      <c r="F916" s="2" t="s">
        <v>43</v>
      </c>
      <c r="G916" s="2" t="s">
        <v>121</v>
      </c>
      <c r="H916" s="2">
        <v>1</v>
      </c>
      <c r="I916" s="2">
        <v>5073.53</v>
      </c>
      <c r="J916" s="2">
        <v>0.08</v>
      </c>
      <c r="K916" s="2">
        <v>4667.6499999999996</v>
      </c>
      <c r="L916" s="2">
        <v>3533.98</v>
      </c>
      <c r="M916" s="2">
        <v>1133.67</v>
      </c>
      <c r="N916" s="2" t="s">
        <v>29</v>
      </c>
      <c r="O916" s="2" t="s">
        <v>40</v>
      </c>
    </row>
    <row r="917" spans="1:15" x14ac:dyDescent="0.3">
      <c r="A917" s="2" t="s">
        <v>1057</v>
      </c>
      <c r="B917" s="3">
        <v>45792</v>
      </c>
      <c r="C917" s="2" t="s">
        <v>63</v>
      </c>
      <c r="D917" s="2" t="s">
        <v>95</v>
      </c>
      <c r="E917" s="2" t="s">
        <v>74</v>
      </c>
      <c r="F917" s="2" t="s">
        <v>634</v>
      </c>
      <c r="G917" s="2" t="s">
        <v>35</v>
      </c>
      <c r="H917" s="2">
        <v>1</v>
      </c>
      <c r="I917" s="2">
        <v>18156.45</v>
      </c>
      <c r="J917" s="2">
        <v>0.03</v>
      </c>
      <c r="K917" s="2">
        <v>17611.759999999998</v>
      </c>
      <c r="L917" s="2">
        <v>13964.44</v>
      </c>
      <c r="M917" s="2">
        <v>3647.32</v>
      </c>
      <c r="N917" s="2" t="s">
        <v>21</v>
      </c>
      <c r="O917" s="2" t="s">
        <v>45</v>
      </c>
    </row>
    <row r="918" spans="1:15" x14ac:dyDescent="0.3">
      <c r="A918" s="2" t="s">
        <v>1058</v>
      </c>
      <c r="B918" s="3">
        <v>45829</v>
      </c>
      <c r="C918" s="2" t="s">
        <v>63</v>
      </c>
      <c r="D918" s="2" t="s">
        <v>95</v>
      </c>
      <c r="E918" s="2" t="s">
        <v>26</v>
      </c>
      <c r="F918" s="2" t="s">
        <v>19</v>
      </c>
      <c r="G918" s="2" t="s">
        <v>106</v>
      </c>
      <c r="H918" s="2">
        <v>7</v>
      </c>
      <c r="I918" s="2">
        <v>12905.51</v>
      </c>
      <c r="J918" s="2">
        <v>0.08</v>
      </c>
      <c r="K918" s="2">
        <v>83111.5</v>
      </c>
      <c r="L918" s="2">
        <v>59029.95</v>
      </c>
      <c r="M918" s="2">
        <v>24081.55</v>
      </c>
      <c r="N918" s="2" t="s">
        <v>29</v>
      </c>
      <c r="O918" s="2" t="s">
        <v>45</v>
      </c>
    </row>
    <row r="919" spans="1:15" x14ac:dyDescent="0.3">
      <c r="A919" s="2" t="s">
        <v>1059</v>
      </c>
      <c r="B919" s="3">
        <v>45998</v>
      </c>
      <c r="C919" s="2" t="s">
        <v>63</v>
      </c>
      <c r="D919" s="2" t="s">
        <v>95</v>
      </c>
      <c r="E919" s="2" t="s">
        <v>65</v>
      </c>
      <c r="F919" s="2" t="s">
        <v>34</v>
      </c>
      <c r="G919" s="2" t="s">
        <v>80</v>
      </c>
      <c r="H919" s="2">
        <v>4</v>
      </c>
      <c r="I919" s="2">
        <v>4483.13</v>
      </c>
      <c r="J919" s="2">
        <v>0.03</v>
      </c>
      <c r="K919" s="2">
        <v>17394.54</v>
      </c>
      <c r="L919" s="2">
        <v>12934.29</v>
      </c>
      <c r="M919" s="2">
        <v>4460.25</v>
      </c>
      <c r="N919" s="2" t="s">
        <v>58</v>
      </c>
      <c r="O919" s="2" t="s">
        <v>45</v>
      </c>
    </row>
    <row r="920" spans="1:15" x14ac:dyDescent="0.3">
      <c r="A920" s="2" t="s">
        <v>1060</v>
      </c>
      <c r="B920" s="3">
        <v>45677</v>
      </c>
      <c r="C920" s="2" t="s">
        <v>63</v>
      </c>
      <c r="D920" s="2" t="s">
        <v>88</v>
      </c>
      <c r="E920" s="2" t="s">
        <v>65</v>
      </c>
      <c r="F920" s="2" t="s">
        <v>34</v>
      </c>
      <c r="G920" s="2" t="s">
        <v>35</v>
      </c>
      <c r="H920" s="2">
        <v>5</v>
      </c>
      <c r="I920" s="2">
        <v>18546.34</v>
      </c>
      <c r="J920" s="2">
        <v>0.1</v>
      </c>
      <c r="K920" s="2">
        <v>83458.53</v>
      </c>
      <c r="L920" s="2">
        <v>62944.81</v>
      </c>
      <c r="M920" s="2">
        <v>20513.72</v>
      </c>
      <c r="N920" s="2" t="s">
        <v>21</v>
      </c>
      <c r="O920" s="2" t="s">
        <v>45</v>
      </c>
    </row>
    <row r="921" spans="1:15" x14ac:dyDescent="0.3">
      <c r="A921" s="2" t="s">
        <v>1061</v>
      </c>
      <c r="B921" s="3">
        <v>45844</v>
      </c>
      <c r="C921" s="2" t="s">
        <v>63</v>
      </c>
      <c r="D921" s="2" t="s">
        <v>117</v>
      </c>
      <c r="E921" s="2" t="s">
        <v>26</v>
      </c>
      <c r="F921" s="2" t="s">
        <v>43</v>
      </c>
      <c r="G921" s="2" t="s">
        <v>84</v>
      </c>
      <c r="H921" s="2">
        <v>3</v>
      </c>
      <c r="I921" s="2">
        <v>38991.300000000003</v>
      </c>
      <c r="J921" s="2">
        <v>0.03</v>
      </c>
      <c r="K921" s="2">
        <v>113464.67</v>
      </c>
      <c r="L921" s="2">
        <v>72369.95</v>
      </c>
      <c r="M921" s="2">
        <v>41094.720000000001</v>
      </c>
      <c r="N921" s="2" t="s">
        <v>29</v>
      </c>
      <c r="O921" s="2" t="s">
        <v>22</v>
      </c>
    </row>
    <row r="922" spans="1:15" x14ac:dyDescent="0.3">
      <c r="A922" s="2" t="s">
        <v>1062</v>
      </c>
      <c r="B922" s="3">
        <v>45905</v>
      </c>
      <c r="C922" s="2" t="s">
        <v>63</v>
      </c>
      <c r="D922" s="2" t="s">
        <v>64</v>
      </c>
      <c r="E922" s="2" t="s">
        <v>69</v>
      </c>
      <c r="F922" s="2" t="s">
        <v>27</v>
      </c>
      <c r="G922" s="2" t="s">
        <v>50</v>
      </c>
      <c r="H922" s="2">
        <v>4</v>
      </c>
      <c r="I922" s="2">
        <v>28086.07</v>
      </c>
      <c r="J922" s="2">
        <v>0.1</v>
      </c>
      <c r="K922" s="2">
        <v>101109.86</v>
      </c>
      <c r="L922" s="2">
        <v>75006.61</v>
      </c>
      <c r="M922" s="2">
        <v>26103.25</v>
      </c>
      <c r="N922" s="2" t="s">
        <v>21</v>
      </c>
      <c r="O922" s="2" t="s">
        <v>45</v>
      </c>
    </row>
    <row r="923" spans="1:15" x14ac:dyDescent="0.3">
      <c r="A923" s="2" t="s">
        <v>1063</v>
      </c>
      <c r="B923" s="3">
        <v>45903</v>
      </c>
      <c r="C923" s="2" t="s">
        <v>37</v>
      </c>
      <c r="D923" s="2" t="s">
        <v>42</v>
      </c>
      <c r="E923" s="2" t="s">
        <v>33</v>
      </c>
      <c r="F923" s="2" t="s">
        <v>34</v>
      </c>
      <c r="G923" s="2" t="s">
        <v>57</v>
      </c>
      <c r="H923" s="2" t="s">
        <v>944</v>
      </c>
      <c r="I923" s="2">
        <v>20316.52</v>
      </c>
      <c r="J923" s="2">
        <v>0.05</v>
      </c>
      <c r="K923" s="2">
        <v>19300.689999999999</v>
      </c>
      <c r="L923" s="2">
        <v>13781.18</v>
      </c>
      <c r="M923" s="2">
        <v>5519.51</v>
      </c>
      <c r="N923" s="2" t="s">
        <v>58</v>
      </c>
      <c r="O923" s="2" t="s">
        <v>45</v>
      </c>
    </row>
    <row r="924" spans="1:15" x14ac:dyDescent="0.3">
      <c r="A924" s="2" t="s">
        <v>1064</v>
      </c>
      <c r="B924" s="3">
        <v>45967</v>
      </c>
      <c r="C924" s="2" t="s">
        <v>63</v>
      </c>
      <c r="D924" s="2" t="s">
        <v>95</v>
      </c>
      <c r="E924" s="2" t="s">
        <v>26</v>
      </c>
      <c r="F924" s="2" t="s">
        <v>34</v>
      </c>
      <c r="G924" s="2" t="s">
        <v>80</v>
      </c>
      <c r="H924" s="2">
        <v>6</v>
      </c>
      <c r="I924" s="2">
        <v>4445.88</v>
      </c>
      <c r="J924" s="2">
        <v>0.05</v>
      </c>
      <c r="K924" s="2">
        <v>25341.51</v>
      </c>
      <c r="L924" s="2">
        <v>19748.93</v>
      </c>
      <c r="M924" s="2">
        <v>5592.58</v>
      </c>
      <c r="N924" s="2" t="s">
        <v>21</v>
      </c>
      <c r="O924" s="2" t="s">
        <v>40</v>
      </c>
    </row>
    <row r="925" spans="1:15" x14ac:dyDescent="0.3">
      <c r="A925" s="2" t="s">
        <v>1065</v>
      </c>
      <c r="B925" s="3">
        <v>45902</v>
      </c>
      <c r="C925" s="2" t="s">
        <v>54</v>
      </c>
      <c r="D925" s="2" t="s">
        <v>48</v>
      </c>
      <c r="E925" s="2" t="s">
        <v>26</v>
      </c>
      <c r="F925" s="2" t="s">
        <v>19</v>
      </c>
      <c r="G925" s="2" t="s">
        <v>106</v>
      </c>
      <c r="H925" s="2">
        <v>2</v>
      </c>
      <c r="I925" s="2">
        <v>14761.07</v>
      </c>
      <c r="J925" s="2">
        <v>0.15</v>
      </c>
      <c r="K925" s="2">
        <v>25093.82</v>
      </c>
      <c r="L925" s="2">
        <v>17320.41</v>
      </c>
      <c r="M925" s="2">
        <v>7773.41</v>
      </c>
      <c r="N925" s="2" t="s">
        <v>58</v>
      </c>
      <c r="O925" s="2" t="s">
        <v>22</v>
      </c>
    </row>
    <row r="926" spans="1:15" x14ac:dyDescent="0.3">
      <c r="A926" s="2" t="s">
        <v>1066</v>
      </c>
      <c r="B926" s="3">
        <v>45798</v>
      </c>
      <c r="C926" s="2" t="s">
        <v>54</v>
      </c>
      <c r="D926" s="2" t="s">
        <v>124</v>
      </c>
      <c r="E926" s="2" t="s">
        <v>26</v>
      </c>
      <c r="F926" s="2" t="s">
        <v>19</v>
      </c>
      <c r="G926" s="2" t="s">
        <v>102</v>
      </c>
      <c r="H926" s="2">
        <v>8</v>
      </c>
      <c r="I926" s="2">
        <v>250.18</v>
      </c>
      <c r="J926" s="2">
        <v>0.05</v>
      </c>
      <c r="K926" s="2">
        <v>1901.33</v>
      </c>
      <c r="L926" s="2">
        <v>1294.46</v>
      </c>
      <c r="M926" s="2">
        <v>606.87</v>
      </c>
      <c r="N926" s="2" t="s">
        <v>58</v>
      </c>
      <c r="O926" s="2" t="s">
        <v>22</v>
      </c>
    </row>
    <row r="927" spans="1:15" x14ac:dyDescent="0.3">
      <c r="A927" s="2" t="s">
        <v>1067</v>
      </c>
      <c r="B927" s="3">
        <v>45925</v>
      </c>
      <c r="C927" s="2" t="s">
        <v>37</v>
      </c>
      <c r="D927" s="2" t="s">
        <v>25</v>
      </c>
      <c r="E927" s="2" t="s">
        <v>56</v>
      </c>
      <c r="F927" s="2" t="s">
        <v>19</v>
      </c>
      <c r="G927" s="2" t="s">
        <v>20</v>
      </c>
      <c r="H927" s="2">
        <v>3</v>
      </c>
      <c r="I927" s="2">
        <v>701.92</v>
      </c>
      <c r="J927" s="2">
        <v>0.05</v>
      </c>
      <c r="K927" s="2">
        <v>2000.47</v>
      </c>
      <c r="L927" s="2">
        <v>1595.95</v>
      </c>
      <c r="M927" s="2">
        <v>404.52</v>
      </c>
      <c r="N927" s="2" t="s">
        <v>58</v>
      </c>
      <c r="O927" s="2" t="s">
        <v>30</v>
      </c>
    </row>
    <row r="928" spans="1:15" x14ac:dyDescent="0.3">
      <c r="A928" s="2" t="s">
        <v>1068</v>
      </c>
      <c r="B928" s="3">
        <v>45775</v>
      </c>
      <c r="C928" s="2" t="s">
        <v>37</v>
      </c>
      <c r="D928" s="2" t="s">
        <v>38</v>
      </c>
      <c r="E928" s="2" t="s">
        <v>74</v>
      </c>
      <c r="F928" s="2" t="s">
        <v>43</v>
      </c>
      <c r="G928" s="2" t="s">
        <v>75</v>
      </c>
      <c r="H928" s="2">
        <v>3</v>
      </c>
      <c r="I928" s="2">
        <v>37468.46</v>
      </c>
      <c r="J928" s="2"/>
      <c r="K928" s="2">
        <v>109033.21</v>
      </c>
      <c r="L928" s="2">
        <v>71217.84</v>
      </c>
      <c r="M928" s="2">
        <v>37815.370000000003</v>
      </c>
      <c r="N928" s="2" t="s">
        <v>58</v>
      </c>
      <c r="O928" s="2" t="s">
        <v>22</v>
      </c>
    </row>
    <row r="929" spans="1:15" x14ac:dyDescent="0.3">
      <c r="A929" s="2" t="s">
        <v>1069</v>
      </c>
      <c r="B929" s="3">
        <v>45714</v>
      </c>
      <c r="C929" s="2" t="s">
        <v>63</v>
      </c>
      <c r="D929" s="2" t="s">
        <v>88</v>
      </c>
      <c r="E929" s="2" t="s">
        <v>49</v>
      </c>
      <c r="F929" s="2" t="s">
        <v>34</v>
      </c>
      <c r="G929" s="2" t="s">
        <v>39</v>
      </c>
      <c r="H929" s="2">
        <v>8</v>
      </c>
      <c r="I929" s="2">
        <v>31794.34</v>
      </c>
      <c r="J929" s="2">
        <v>0</v>
      </c>
      <c r="K929" s="2">
        <v>254354.76</v>
      </c>
      <c r="L929" s="2">
        <v>185236.76</v>
      </c>
      <c r="M929" s="2">
        <v>69118</v>
      </c>
      <c r="N929" s="2" t="s">
        <v>21</v>
      </c>
      <c r="O929" s="2" t="s">
        <v>40</v>
      </c>
    </row>
    <row r="930" spans="1:15" x14ac:dyDescent="0.3">
      <c r="A930" s="2" t="s">
        <v>1070</v>
      </c>
      <c r="B930" s="3">
        <v>45722</v>
      </c>
      <c r="C930" s="2" t="s">
        <v>54</v>
      </c>
      <c r="D930" s="2" t="s">
        <v>48</v>
      </c>
      <c r="E930" s="2" t="s">
        <v>49</v>
      </c>
      <c r="F930" s="2" t="s">
        <v>34</v>
      </c>
      <c r="G930" s="2" t="s">
        <v>39</v>
      </c>
      <c r="H930" s="2">
        <v>7</v>
      </c>
      <c r="I930" s="2">
        <v>28250.01</v>
      </c>
      <c r="J930" s="2">
        <v>0.03</v>
      </c>
      <c r="K930" s="2">
        <v>191817.57</v>
      </c>
      <c r="L930" s="2">
        <v>125588.82</v>
      </c>
      <c r="M930" s="2">
        <v>66228.75</v>
      </c>
      <c r="N930" s="2" t="s">
        <v>29</v>
      </c>
      <c r="O930" s="2" t="s">
        <v>30</v>
      </c>
    </row>
    <row r="931" spans="1:15" x14ac:dyDescent="0.3">
      <c r="A931" s="2" t="s">
        <v>1071</v>
      </c>
      <c r="B931" s="3">
        <v>45793</v>
      </c>
      <c r="C931" s="2" t="s">
        <v>63</v>
      </c>
      <c r="D931" s="2" t="s">
        <v>64</v>
      </c>
      <c r="E931" s="2" t="s">
        <v>33</v>
      </c>
      <c r="F931" s="2" t="s">
        <v>43</v>
      </c>
      <c r="G931" s="2" t="s">
        <v>44</v>
      </c>
      <c r="H931" s="2">
        <v>8</v>
      </c>
      <c r="I931" s="2">
        <v>11665.71</v>
      </c>
      <c r="J931" s="2">
        <v>0.05</v>
      </c>
      <c r="K931" s="2">
        <v>88659.39</v>
      </c>
      <c r="L931" s="2">
        <v>67795.509999999995</v>
      </c>
      <c r="M931" s="2">
        <v>20863.88</v>
      </c>
      <c r="N931" s="2" t="s">
        <v>29</v>
      </c>
      <c r="O931" s="2" t="s">
        <v>59</v>
      </c>
    </row>
    <row r="932" spans="1:15" x14ac:dyDescent="0.3">
      <c r="A932" s="2" t="s">
        <v>1072</v>
      </c>
      <c r="B932" s="3">
        <v>45905</v>
      </c>
      <c r="C932" s="2" t="s">
        <v>16</v>
      </c>
      <c r="D932" s="2" t="s">
        <v>52</v>
      </c>
      <c r="E932" s="2" t="s">
        <v>56</v>
      </c>
      <c r="F932" s="2" t="s">
        <v>27</v>
      </c>
      <c r="G932" s="2" t="s">
        <v>89</v>
      </c>
      <c r="H932" s="2">
        <v>6</v>
      </c>
      <c r="I932" s="2">
        <v>34364.22</v>
      </c>
      <c r="J932" s="2">
        <v>0.05</v>
      </c>
      <c r="K932" s="2">
        <v>195876.08</v>
      </c>
      <c r="L932" s="2">
        <v>149700.22</v>
      </c>
      <c r="M932" s="2">
        <v>46175.86</v>
      </c>
      <c r="N932" s="2" t="s">
        <v>58</v>
      </c>
      <c r="O932" s="2" t="s">
        <v>30</v>
      </c>
    </row>
    <row r="933" spans="1:15" x14ac:dyDescent="0.3">
      <c r="A933" s="2" t="s">
        <v>1073</v>
      </c>
      <c r="B933" s="3">
        <v>45899</v>
      </c>
      <c r="C933" s="2" t="s">
        <v>37</v>
      </c>
      <c r="D933" s="2" t="s">
        <v>68</v>
      </c>
      <c r="E933" s="2" t="s">
        <v>49</v>
      </c>
      <c r="F933" s="2" t="s">
        <v>43</v>
      </c>
      <c r="G933" s="2" t="s">
        <v>91</v>
      </c>
      <c r="H933" s="2">
        <v>2</v>
      </c>
      <c r="I933" s="2">
        <v>50124.34</v>
      </c>
      <c r="J933" s="2">
        <v>0.05</v>
      </c>
      <c r="K933" s="2">
        <v>95236.25</v>
      </c>
      <c r="L933" s="2">
        <v>74154.16</v>
      </c>
      <c r="M933" s="2">
        <v>21082.09</v>
      </c>
      <c r="N933" s="2" t="s">
        <v>58</v>
      </c>
      <c r="O933" s="2" t="s">
        <v>22</v>
      </c>
    </row>
    <row r="934" spans="1:15" x14ac:dyDescent="0.3">
      <c r="A934" s="2" t="s">
        <v>1074</v>
      </c>
      <c r="B934" s="3">
        <v>45752</v>
      </c>
      <c r="C934" s="2" t="s">
        <v>63</v>
      </c>
      <c r="D934" s="2" t="s">
        <v>88</v>
      </c>
      <c r="E934" s="2" t="s">
        <v>33</v>
      </c>
      <c r="F934" s="2" t="s">
        <v>34</v>
      </c>
      <c r="G934" s="2" t="s">
        <v>80</v>
      </c>
      <c r="H934" s="2">
        <v>2</v>
      </c>
      <c r="I934" s="2">
        <v>4508.26</v>
      </c>
      <c r="J934" s="2">
        <v>0.08</v>
      </c>
      <c r="K934" s="2">
        <v>8295.19</v>
      </c>
      <c r="L934" s="2">
        <v>5961.35</v>
      </c>
      <c r="M934" s="2">
        <v>2333.84</v>
      </c>
      <c r="N934" s="2" t="s">
        <v>29</v>
      </c>
      <c r="O934" s="2" t="s">
        <v>45</v>
      </c>
    </row>
    <row r="935" spans="1:15" x14ac:dyDescent="0.3">
      <c r="A935" s="2" t="s">
        <v>1075</v>
      </c>
      <c r="B935" s="3">
        <v>45988</v>
      </c>
      <c r="C935" s="2" t="s">
        <v>16</v>
      </c>
      <c r="D935" s="2" t="s">
        <v>52</v>
      </c>
      <c r="E935" s="2" t="s">
        <v>18</v>
      </c>
      <c r="F935" s="2" t="s">
        <v>43</v>
      </c>
      <c r="G935" s="2" t="s">
        <v>91</v>
      </c>
      <c r="H935" s="2">
        <v>2</v>
      </c>
      <c r="I935" s="2">
        <v>45195.15</v>
      </c>
      <c r="J935" s="2">
        <v>0.05</v>
      </c>
      <c r="K935" s="2">
        <v>85870.79</v>
      </c>
      <c r="L935" s="2">
        <v>56724.95</v>
      </c>
      <c r="M935" s="2">
        <v>29145.84</v>
      </c>
      <c r="N935" s="2" t="s">
        <v>29</v>
      </c>
      <c r="O935" s="2" t="s">
        <v>45</v>
      </c>
    </row>
    <row r="936" spans="1:15" x14ac:dyDescent="0.3">
      <c r="A936" s="2" t="s">
        <v>1076</v>
      </c>
      <c r="B936" s="3">
        <v>45750</v>
      </c>
      <c r="C936" s="2" t="s">
        <v>16</v>
      </c>
      <c r="D936" s="2" t="s">
        <v>82</v>
      </c>
      <c r="E936" s="2"/>
      <c r="F936" s="2" t="s">
        <v>43</v>
      </c>
      <c r="G936" s="2" t="s">
        <v>75</v>
      </c>
      <c r="H936" s="2">
        <v>6</v>
      </c>
      <c r="I936" s="2">
        <v>37550.42</v>
      </c>
      <c r="J936" s="2">
        <v>0.05</v>
      </c>
      <c r="K936" s="2">
        <v>214037.39</v>
      </c>
      <c r="L936" s="2">
        <v>182018.01</v>
      </c>
      <c r="M936" s="2">
        <v>32019.38</v>
      </c>
      <c r="N936" s="2" t="s">
        <v>21</v>
      </c>
      <c r="O936" s="2" t="s">
        <v>22</v>
      </c>
    </row>
    <row r="937" spans="1:15" x14ac:dyDescent="0.3">
      <c r="A937" s="2" t="s">
        <v>1077</v>
      </c>
      <c r="B937" s="3">
        <v>45660</v>
      </c>
      <c r="C937" s="2" t="s">
        <v>37</v>
      </c>
      <c r="D937" s="2" t="s">
        <v>68</v>
      </c>
      <c r="E937" s="2" t="s">
        <v>65</v>
      </c>
      <c r="F937" s="2" t="s">
        <v>34</v>
      </c>
      <c r="G937" s="2" t="s">
        <v>80</v>
      </c>
      <c r="H937" s="2">
        <v>8</v>
      </c>
      <c r="I937" s="2">
        <v>4162.96</v>
      </c>
      <c r="J937" s="2">
        <v>0</v>
      </c>
      <c r="K937" s="2">
        <v>33303.660000000003</v>
      </c>
      <c r="L937" s="2">
        <v>22837.64</v>
      </c>
      <c r="M937" s="2">
        <v>10466.02</v>
      </c>
      <c r="N937" s="2" t="s">
        <v>29</v>
      </c>
      <c r="O937" s="2" t="s">
        <v>22</v>
      </c>
    </row>
    <row r="938" spans="1:15" x14ac:dyDescent="0.3">
      <c r="A938" s="2" t="s">
        <v>1078</v>
      </c>
      <c r="B938" s="3">
        <v>45794</v>
      </c>
      <c r="C938" s="2" t="s">
        <v>54</v>
      </c>
      <c r="D938" s="2" t="s">
        <v>124</v>
      </c>
      <c r="E938" s="2" t="s">
        <v>26</v>
      </c>
      <c r="F938" s="2" t="s">
        <v>34</v>
      </c>
      <c r="G938" s="2" t="s">
        <v>70</v>
      </c>
      <c r="H938" s="2">
        <v>7</v>
      </c>
      <c r="I938" s="2">
        <v>61539.93</v>
      </c>
      <c r="J938" s="2">
        <v>0.03</v>
      </c>
      <c r="K938" s="2">
        <v>417856.15</v>
      </c>
      <c r="L938" s="2">
        <v>326457.03000000003</v>
      </c>
      <c r="M938" s="2">
        <v>91399.12</v>
      </c>
      <c r="N938" s="2" t="s">
        <v>58</v>
      </c>
      <c r="O938" s="2" t="s">
        <v>22</v>
      </c>
    </row>
    <row r="939" spans="1:15" x14ac:dyDescent="0.3">
      <c r="A939" s="2" t="s">
        <v>1079</v>
      </c>
      <c r="B939" s="3">
        <v>45791</v>
      </c>
      <c r="C939" s="2" t="s">
        <v>37</v>
      </c>
      <c r="D939" s="2" t="s">
        <v>68</v>
      </c>
      <c r="E939" s="2" t="s">
        <v>65</v>
      </c>
      <c r="F939" s="2" t="s">
        <v>27</v>
      </c>
      <c r="G939" s="2" t="s">
        <v>50</v>
      </c>
      <c r="H939" s="2">
        <v>4</v>
      </c>
      <c r="I939" s="2">
        <v>30262.07</v>
      </c>
      <c r="J939" s="2">
        <v>0.1</v>
      </c>
      <c r="K939" s="2">
        <v>108943.43</v>
      </c>
      <c r="L939" s="2">
        <v>80120.84</v>
      </c>
      <c r="M939" s="2">
        <v>28822.59</v>
      </c>
      <c r="N939" s="2" t="s">
        <v>21</v>
      </c>
      <c r="O939" s="2" t="s">
        <v>40</v>
      </c>
    </row>
    <row r="940" spans="1:15" x14ac:dyDescent="0.3">
      <c r="A940" s="2" t="s">
        <v>1080</v>
      </c>
      <c r="B940" s="3">
        <v>45863</v>
      </c>
      <c r="C940" s="2" t="s">
        <v>16</v>
      </c>
      <c r="D940" s="2" t="s">
        <v>82</v>
      </c>
      <c r="E940" s="2" t="s">
        <v>69</v>
      </c>
      <c r="F940" s="2" t="s">
        <v>287</v>
      </c>
      <c r="G940" s="2" t="s">
        <v>75</v>
      </c>
      <c r="H940" s="2">
        <v>7</v>
      </c>
      <c r="I940" s="2">
        <v>38170.61</v>
      </c>
      <c r="J940" s="2">
        <v>0</v>
      </c>
      <c r="K940" s="2">
        <v>267194.28999999998</v>
      </c>
      <c r="L940" s="2">
        <v>221784.71</v>
      </c>
      <c r="M940" s="2">
        <v>45409.58</v>
      </c>
      <c r="N940" s="2" t="s">
        <v>58</v>
      </c>
      <c r="O940" s="2" t="s">
        <v>45</v>
      </c>
    </row>
    <row r="941" spans="1:15" x14ac:dyDescent="0.3">
      <c r="A941" s="2" t="s">
        <v>1081</v>
      </c>
      <c r="B941" s="3">
        <v>46012</v>
      </c>
      <c r="C941" s="2" t="s">
        <v>37</v>
      </c>
      <c r="D941" s="2" t="s">
        <v>38</v>
      </c>
      <c r="E941" s="2" t="s">
        <v>74</v>
      </c>
      <c r="F941" s="2" t="s">
        <v>27</v>
      </c>
      <c r="G941" s="2" t="s">
        <v>66</v>
      </c>
      <c r="H941" s="2">
        <v>4</v>
      </c>
      <c r="I941" s="2">
        <v>10545.19</v>
      </c>
      <c r="J941" s="2">
        <v>0.05</v>
      </c>
      <c r="K941" s="2">
        <v>40071.72</v>
      </c>
      <c r="L941" s="2">
        <v>32501.56</v>
      </c>
      <c r="M941" s="2">
        <v>7570.16</v>
      </c>
      <c r="N941" s="2" t="s">
        <v>29</v>
      </c>
      <c r="O941" s="2" t="s">
        <v>22</v>
      </c>
    </row>
    <row r="942" spans="1:15" x14ac:dyDescent="0.3">
      <c r="A942" s="2" t="s">
        <v>1082</v>
      </c>
      <c r="B942" s="3">
        <v>45969</v>
      </c>
      <c r="C942" s="2" t="s">
        <v>16</v>
      </c>
      <c r="D942" s="2" t="s">
        <v>82</v>
      </c>
      <c r="E942" s="2" t="s">
        <v>69</v>
      </c>
      <c r="F942" s="2" t="s">
        <v>27</v>
      </c>
      <c r="G942" s="2" t="s">
        <v>125</v>
      </c>
      <c r="H942" s="2">
        <v>4</v>
      </c>
      <c r="I942" s="2">
        <v>7946.52</v>
      </c>
      <c r="J942" s="2">
        <v>0.08</v>
      </c>
      <c r="K942" s="2">
        <v>29243.200000000001</v>
      </c>
      <c r="L942" s="2">
        <v>21865.38</v>
      </c>
      <c r="M942" s="2">
        <v>7377.82</v>
      </c>
      <c r="N942" s="2" t="s">
        <v>58</v>
      </c>
      <c r="O942" s="2" t="s">
        <v>22</v>
      </c>
    </row>
    <row r="943" spans="1:15" x14ac:dyDescent="0.3">
      <c r="A943" s="2" t="s">
        <v>1083</v>
      </c>
      <c r="B943" s="3">
        <v>45813</v>
      </c>
      <c r="C943" s="2" t="s">
        <v>54</v>
      </c>
      <c r="D943" s="2" t="s">
        <v>55</v>
      </c>
      <c r="E943" s="2" t="s">
        <v>69</v>
      </c>
      <c r="F943" s="2" t="s">
        <v>203</v>
      </c>
      <c r="G943" s="2" t="s">
        <v>50</v>
      </c>
      <c r="H943" s="2">
        <v>3</v>
      </c>
      <c r="I943" s="2">
        <v>31136.720000000001</v>
      </c>
      <c r="J943" s="2">
        <v>0.05</v>
      </c>
      <c r="K943" s="2">
        <v>88739.65</v>
      </c>
      <c r="L943" s="2">
        <v>57629.3</v>
      </c>
      <c r="M943" s="2">
        <v>31110.35</v>
      </c>
      <c r="N943" s="2" t="s">
        <v>21</v>
      </c>
      <c r="O943" s="2" t="s">
        <v>22</v>
      </c>
    </row>
    <row r="944" spans="1:15" x14ac:dyDescent="0.3">
      <c r="A944" s="2" t="s">
        <v>1084</v>
      </c>
      <c r="B944" s="3">
        <v>45670</v>
      </c>
      <c r="C944" s="2" t="s">
        <v>63</v>
      </c>
      <c r="D944" s="2" t="s">
        <v>64</v>
      </c>
      <c r="E944" s="2" t="s">
        <v>26</v>
      </c>
      <c r="F944" s="2" t="s">
        <v>34</v>
      </c>
      <c r="G944" s="2" t="s">
        <v>57</v>
      </c>
      <c r="H944" s="2">
        <v>8</v>
      </c>
      <c r="I944" s="2">
        <v>21986.69</v>
      </c>
      <c r="J944" s="2">
        <v>0.08</v>
      </c>
      <c r="K944" s="2">
        <v>161822.06</v>
      </c>
      <c r="L944" s="2">
        <v>113329.89</v>
      </c>
      <c r="M944" s="2">
        <v>48492.17</v>
      </c>
      <c r="N944" s="2" t="s">
        <v>58</v>
      </c>
      <c r="O944" s="2" t="s">
        <v>40</v>
      </c>
    </row>
    <row r="945" spans="1:15" x14ac:dyDescent="0.3">
      <c r="A945" s="2" t="s">
        <v>1085</v>
      </c>
      <c r="B945" s="3">
        <v>45936</v>
      </c>
      <c r="C945" s="2" t="s">
        <v>16</v>
      </c>
      <c r="D945" s="2" t="s">
        <v>52</v>
      </c>
      <c r="E945" s="2" t="s">
        <v>18</v>
      </c>
      <c r="F945" s="2" t="s">
        <v>43</v>
      </c>
      <c r="G945" s="2" t="s">
        <v>121</v>
      </c>
      <c r="H945" s="2">
        <v>5</v>
      </c>
      <c r="I945" s="2">
        <v>5027.51</v>
      </c>
      <c r="J945" s="2">
        <v>0.1</v>
      </c>
      <c r="K945" s="2">
        <v>22623.79</v>
      </c>
      <c r="L945" s="2">
        <v>16208.62</v>
      </c>
      <c r="M945" s="2">
        <v>6415.17</v>
      </c>
      <c r="N945" s="2" t="s">
        <v>21</v>
      </c>
      <c r="O945" s="2" t="s">
        <v>40</v>
      </c>
    </row>
    <row r="946" spans="1:15" x14ac:dyDescent="0.3">
      <c r="A946" s="2" t="s">
        <v>1086</v>
      </c>
      <c r="B946" s="3">
        <v>45672</v>
      </c>
      <c r="C946" s="2" t="s">
        <v>37</v>
      </c>
      <c r="D946" s="2" t="s">
        <v>25</v>
      </c>
      <c r="E946" s="2" t="s">
        <v>69</v>
      </c>
      <c r="F946" s="2" t="s">
        <v>19</v>
      </c>
      <c r="G946" s="2" t="s">
        <v>106</v>
      </c>
      <c r="H946" s="2">
        <v>3</v>
      </c>
      <c r="I946" s="2">
        <v>14615.68</v>
      </c>
      <c r="J946" s="2">
        <v>0</v>
      </c>
      <c r="K946" s="2">
        <v>43847.05</v>
      </c>
      <c r="L946" s="2">
        <v>31960.15</v>
      </c>
      <c r="M946" s="2">
        <v>11886.9</v>
      </c>
      <c r="N946" s="2" t="s">
        <v>29</v>
      </c>
      <c r="O946" s="2" t="s">
        <v>59</v>
      </c>
    </row>
    <row r="947" spans="1:15" x14ac:dyDescent="0.3">
      <c r="A947" s="2" t="s">
        <v>1087</v>
      </c>
      <c r="B947" s="3">
        <v>45729</v>
      </c>
      <c r="C947" s="2" t="s">
        <v>63</v>
      </c>
      <c r="D947" s="2" t="s">
        <v>88</v>
      </c>
      <c r="E947" s="2" t="s">
        <v>56</v>
      </c>
      <c r="F947" s="2" t="s">
        <v>34</v>
      </c>
      <c r="G947" s="2" t="s">
        <v>57</v>
      </c>
      <c r="H947" s="2">
        <v>8</v>
      </c>
      <c r="I947" s="2">
        <v>21226.07</v>
      </c>
      <c r="J947" s="2">
        <v>0</v>
      </c>
      <c r="K947" s="2">
        <v>169808.58</v>
      </c>
      <c r="L947" s="2">
        <v>117066.51</v>
      </c>
      <c r="M947" s="2">
        <v>52742.07</v>
      </c>
      <c r="N947" s="2" t="s">
        <v>29</v>
      </c>
      <c r="O947" s="2" t="s">
        <v>45</v>
      </c>
    </row>
    <row r="948" spans="1:15" x14ac:dyDescent="0.3">
      <c r="A948" s="2" t="s">
        <v>1088</v>
      </c>
      <c r="B948" s="3">
        <v>46014</v>
      </c>
      <c r="C948" s="2" t="s">
        <v>54</v>
      </c>
      <c r="D948" s="2" t="s">
        <v>55</v>
      </c>
      <c r="E948" s="2" t="s">
        <v>49</v>
      </c>
      <c r="F948" s="2" t="s">
        <v>19</v>
      </c>
      <c r="G948" s="2" t="s">
        <v>108</v>
      </c>
      <c r="H948" s="2" t="s">
        <v>264</v>
      </c>
      <c r="I948" s="2">
        <v>16192.01</v>
      </c>
      <c r="J948" s="2">
        <v>0.1</v>
      </c>
      <c r="K948" s="2">
        <v>102009.69</v>
      </c>
      <c r="L948" s="2">
        <v>75814.759999999995</v>
      </c>
      <c r="M948" s="2">
        <v>26194.93</v>
      </c>
      <c r="N948" s="2" t="s">
        <v>58</v>
      </c>
      <c r="O948" s="2" t="s">
        <v>30</v>
      </c>
    </row>
    <row r="949" spans="1:15" x14ac:dyDescent="0.3">
      <c r="A949" s="2" t="s">
        <v>1089</v>
      </c>
      <c r="B949" s="3">
        <v>45831</v>
      </c>
      <c r="C949" s="2" t="s">
        <v>54</v>
      </c>
      <c r="D949" s="2" t="s">
        <v>124</v>
      </c>
      <c r="E949" s="2" t="s">
        <v>49</v>
      </c>
      <c r="F949" s="2" t="s">
        <v>19</v>
      </c>
      <c r="G949" s="2" t="s">
        <v>102</v>
      </c>
      <c r="H949" s="2">
        <v>4</v>
      </c>
      <c r="I949" s="2">
        <v>248.69</v>
      </c>
      <c r="J949" s="2">
        <v>0.08</v>
      </c>
      <c r="K949" s="2">
        <v>915.19</v>
      </c>
      <c r="L949" s="2">
        <v>742.08</v>
      </c>
      <c r="M949" s="2">
        <v>173.11</v>
      </c>
      <c r="N949" s="2" t="s">
        <v>29</v>
      </c>
      <c r="O949" s="2" t="s">
        <v>30</v>
      </c>
    </row>
    <row r="950" spans="1:15" x14ac:dyDescent="0.3">
      <c r="A950" s="2" t="s">
        <v>1090</v>
      </c>
      <c r="B950" s="3">
        <v>45693</v>
      </c>
      <c r="C950" s="2" t="s">
        <v>63</v>
      </c>
      <c r="D950" s="2" t="s">
        <v>64</v>
      </c>
      <c r="E950" s="2" t="s">
        <v>74</v>
      </c>
      <c r="F950" s="2" t="s">
        <v>27</v>
      </c>
      <c r="G950" s="2" t="s">
        <v>125</v>
      </c>
      <c r="H950" s="2">
        <v>6</v>
      </c>
      <c r="I950" s="2">
        <v>8909.93</v>
      </c>
      <c r="J950" s="2">
        <v>0.1</v>
      </c>
      <c r="K950" s="2">
        <v>48113.61</v>
      </c>
      <c r="L950" s="2">
        <v>30967.78</v>
      </c>
      <c r="M950" s="2">
        <v>17145.830000000002</v>
      </c>
      <c r="N950" s="2" t="s">
        <v>58</v>
      </c>
      <c r="O950" s="2" t="s">
        <v>45</v>
      </c>
    </row>
    <row r="951" spans="1:15" x14ac:dyDescent="0.3">
      <c r="A951" s="2" t="s">
        <v>1091</v>
      </c>
      <c r="B951" s="3">
        <v>45785</v>
      </c>
      <c r="C951" s="2" t="s">
        <v>1092</v>
      </c>
      <c r="D951" s="2" t="s">
        <v>55</v>
      </c>
      <c r="E951" s="2" t="s">
        <v>26</v>
      </c>
      <c r="F951" s="2" t="s">
        <v>19</v>
      </c>
      <c r="G951" s="2" t="s">
        <v>61</v>
      </c>
      <c r="H951" s="2">
        <v>2</v>
      </c>
      <c r="I951" s="2">
        <v>9333.76</v>
      </c>
      <c r="J951" s="2">
        <v>0.03</v>
      </c>
      <c r="K951" s="2">
        <v>18107.490000000002</v>
      </c>
      <c r="L951" s="2">
        <v>12753.57</v>
      </c>
      <c r="M951" s="2">
        <v>5353.92</v>
      </c>
      <c r="N951" s="2" t="s">
        <v>21</v>
      </c>
      <c r="O951" s="2" t="s">
        <v>22</v>
      </c>
    </row>
    <row r="952" spans="1:15" x14ac:dyDescent="0.3">
      <c r="A952" s="2" t="s">
        <v>1093</v>
      </c>
      <c r="B952" s="3">
        <v>45965</v>
      </c>
      <c r="C952" s="2" t="s">
        <v>63</v>
      </c>
      <c r="D952" s="2" t="s">
        <v>117</v>
      </c>
      <c r="E952" s="2" t="s">
        <v>49</v>
      </c>
      <c r="F952" s="2" t="s">
        <v>43</v>
      </c>
      <c r="G952" s="2" t="s">
        <v>44</v>
      </c>
      <c r="H952" s="2">
        <v>8</v>
      </c>
      <c r="I952" s="2" t="s">
        <v>1094</v>
      </c>
      <c r="J952" s="2">
        <v>0.1</v>
      </c>
      <c r="K952" s="2">
        <v>90350.25</v>
      </c>
      <c r="L952" s="2">
        <v>63733.34</v>
      </c>
      <c r="M952" s="2">
        <v>26616.91</v>
      </c>
      <c r="N952" s="2" t="s">
        <v>21</v>
      </c>
      <c r="O952" s="2" t="s">
        <v>59</v>
      </c>
    </row>
    <row r="953" spans="1:15" x14ac:dyDescent="0.3">
      <c r="A953" s="2" t="s">
        <v>1095</v>
      </c>
      <c r="B953" s="3">
        <v>45960</v>
      </c>
      <c r="C953" s="2" t="s">
        <v>54</v>
      </c>
      <c r="D953" s="2" t="s">
        <v>174</v>
      </c>
      <c r="E953" s="2" t="s">
        <v>69</v>
      </c>
      <c r="F953" s="2" t="s">
        <v>34</v>
      </c>
      <c r="G953" s="2" t="s">
        <v>57</v>
      </c>
      <c r="H953" s="2">
        <v>7</v>
      </c>
      <c r="I953" s="2">
        <v>20867.439999999999</v>
      </c>
      <c r="J953" s="2">
        <v>0.1</v>
      </c>
      <c r="K953" s="2">
        <v>131464.88</v>
      </c>
      <c r="L953" s="2">
        <v>92256.8</v>
      </c>
      <c r="M953" s="2">
        <v>39208.080000000002</v>
      </c>
      <c r="N953" s="2" t="s">
        <v>58</v>
      </c>
      <c r="O953" s="2" t="s">
        <v>22</v>
      </c>
    </row>
    <row r="954" spans="1:15" x14ac:dyDescent="0.3">
      <c r="A954" s="2" t="s">
        <v>1096</v>
      </c>
      <c r="B954" s="3">
        <v>45789</v>
      </c>
      <c r="C954" s="2" t="s">
        <v>16</v>
      </c>
      <c r="D954" s="2" t="s">
        <v>82</v>
      </c>
      <c r="E954" s="2" t="s">
        <v>56</v>
      </c>
      <c r="F954" s="2" t="s">
        <v>43</v>
      </c>
      <c r="G954" s="2" t="s">
        <v>121</v>
      </c>
      <c r="H954" s="2">
        <v>8</v>
      </c>
      <c r="I954" s="2">
        <v>4739.3500000000004</v>
      </c>
      <c r="J954" s="2">
        <v>0.08</v>
      </c>
      <c r="K954" s="2">
        <v>34881.599999999999</v>
      </c>
      <c r="L954" s="2">
        <v>27447.14</v>
      </c>
      <c r="M954" s="2">
        <v>7434.46</v>
      </c>
      <c r="N954" s="2" t="s">
        <v>29</v>
      </c>
      <c r="O954" s="2" t="s">
        <v>22</v>
      </c>
    </row>
    <row r="955" spans="1:15" x14ac:dyDescent="0.3">
      <c r="A955" s="2" t="s">
        <v>1097</v>
      </c>
      <c r="B955" s="3">
        <v>45801</v>
      </c>
      <c r="C955" s="2" t="s">
        <v>54</v>
      </c>
      <c r="D955" s="2" t="s">
        <v>55</v>
      </c>
      <c r="E955" s="2" t="s">
        <v>69</v>
      </c>
      <c r="F955" s="2" t="s">
        <v>34</v>
      </c>
      <c r="G955" s="2" t="s">
        <v>57</v>
      </c>
      <c r="H955" s="2">
        <v>3</v>
      </c>
      <c r="I955" s="2">
        <v>22888.46</v>
      </c>
      <c r="J955" s="2">
        <v>0.1</v>
      </c>
      <c r="K955" s="2">
        <v>61798.83</v>
      </c>
      <c r="L955" s="2">
        <v>47973.66</v>
      </c>
      <c r="M955" s="2">
        <v>13825.17</v>
      </c>
      <c r="N955" s="2" t="s">
        <v>21</v>
      </c>
      <c r="O955" s="2" t="s">
        <v>22</v>
      </c>
    </row>
    <row r="956" spans="1:15" x14ac:dyDescent="0.3">
      <c r="A956" s="2" t="s">
        <v>1098</v>
      </c>
      <c r="B956" s="3">
        <v>45921</v>
      </c>
      <c r="C956" s="2" t="s">
        <v>16</v>
      </c>
      <c r="D956" s="2" t="s">
        <v>32</v>
      </c>
      <c r="E956" s="2" t="s">
        <v>18</v>
      </c>
      <c r="F956" s="2" t="s">
        <v>34</v>
      </c>
      <c r="G956" s="2" t="s">
        <v>35</v>
      </c>
      <c r="H956" s="2">
        <v>5</v>
      </c>
      <c r="I956" s="2">
        <v>18829.78</v>
      </c>
      <c r="J956" s="2">
        <v>0.1</v>
      </c>
      <c r="K956" s="2">
        <v>84734.02</v>
      </c>
      <c r="L956" s="2">
        <v>55842.81</v>
      </c>
      <c r="M956" s="2">
        <v>28891.21</v>
      </c>
      <c r="N956" s="2" t="s">
        <v>58</v>
      </c>
      <c r="O956" s="2" t="s">
        <v>59</v>
      </c>
    </row>
    <row r="957" spans="1:15" x14ac:dyDescent="0.3">
      <c r="A957" s="2" t="s">
        <v>1099</v>
      </c>
      <c r="B957" s="3">
        <v>45763</v>
      </c>
      <c r="C957" s="2" t="s">
        <v>16</v>
      </c>
      <c r="D957" s="2" t="s">
        <v>32</v>
      </c>
      <c r="E957" s="2" t="s">
        <v>56</v>
      </c>
      <c r="F957" s="2" t="s">
        <v>43</v>
      </c>
      <c r="G957" s="2" t="s">
        <v>91</v>
      </c>
      <c r="H957" s="2">
        <v>4</v>
      </c>
      <c r="I957" s="2">
        <v>48039.66</v>
      </c>
      <c r="J957" s="2">
        <v>0.05</v>
      </c>
      <c r="K957" s="2">
        <v>182550.71</v>
      </c>
      <c r="L957" s="2">
        <v>148475.68</v>
      </c>
      <c r="M957" s="2">
        <v>34075.03</v>
      </c>
      <c r="N957" s="2" t="s">
        <v>29</v>
      </c>
      <c r="O957" s="2" t="s">
        <v>59</v>
      </c>
    </row>
    <row r="958" spans="1:15" x14ac:dyDescent="0.3">
      <c r="A958" s="2" t="s">
        <v>1100</v>
      </c>
      <c r="B958" s="3">
        <v>46013</v>
      </c>
      <c r="C958" s="2" t="s">
        <v>37</v>
      </c>
      <c r="D958" s="2" t="s">
        <v>68</v>
      </c>
      <c r="E958" s="2" t="s">
        <v>49</v>
      </c>
      <c r="F958" s="2" t="s">
        <v>34</v>
      </c>
      <c r="G958" s="2" t="s">
        <v>39</v>
      </c>
      <c r="H958" s="2">
        <v>4</v>
      </c>
      <c r="I958" s="2">
        <v>30937.53</v>
      </c>
      <c r="J958" s="2">
        <v>0.05</v>
      </c>
      <c r="K958" s="2">
        <v>117562.62</v>
      </c>
      <c r="L958" s="2">
        <v>97614.05</v>
      </c>
      <c r="M958" s="2">
        <v>19948.57</v>
      </c>
      <c r="N958" s="2" t="s">
        <v>21</v>
      </c>
      <c r="O958" s="2" t="s">
        <v>22</v>
      </c>
    </row>
    <row r="959" spans="1:15" x14ac:dyDescent="0.3">
      <c r="A959" s="2" t="s">
        <v>1101</v>
      </c>
      <c r="B959" s="3">
        <v>45795</v>
      </c>
      <c r="C959" s="2" t="s">
        <v>16</v>
      </c>
      <c r="D959" s="2" t="s">
        <v>32</v>
      </c>
      <c r="E959" s="2" t="s">
        <v>18</v>
      </c>
      <c r="F959" s="2" t="s">
        <v>43</v>
      </c>
      <c r="G959" s="2" t="s">
        <v>75</v>
      </c>
      <c r="H959" s="2">
        <v>7</v>
      </c>
      <c r="I959" s="2">
        <v>38169.21</v>
      </c>
      <c r="J959" s="2">
        <v>0.1</v>
      </c>
      <c r="K959" s="2">
        <v>240465.99</v>
      </c>
      <c r="L959" s="2">
        <v>164438.76999999999</v>
      </c>
      <c r="M959" s="2">
        <v>76027.22</v>
      </c>
      <c r="N959" s="2" t="s">
        <v>21</v>
      </c>
      <c r="O959" s="2" t="s">
        <v>45</v>
      </c>
    </row>
    <row r="960" spans="1:15" x14ac:dyDescent="0.3">
      <c r="A960" s="2" t="s">
        <v>1102</v>
      </c>
      <c r="B960" s="3">
        <v>45661</v>
      </c>
      <c r="C960" s="2" t="s">
        <v>54</v>
      </c>
      <c r="D960" s="2" t="s">
        <v>124</v>
      </c>
      <c r="E960" s="2" t="s">
        <v>18</v>
      </c>
      <c r="F960" s="2" t="s">
        <v>34</v>
      </c>
      <c r="G960" s="2" t="s">
        <v>57</v>
      </c>
      <c r="H960" s="2">
        <v>8</v>
      </c>
      <c r="I960" s="2">
        <v>21570.67</v>
      </c>
      <c r="J960" s="2">
        <v>0</v>
      </c>
      <c r="K960" s="2">
        <v>172565.35</v>
      </c>
      <c r="L960" s="2">
        <v>107373.72</v>
      </c>
      <c r="M960" s="2">
        <v>65191.63</v>
      </c>
      <c r="N960" s="2" t="s">
        <v>29</v>
      </c>
      <c r="O960" s="2" t="s">
        <v>22</v>
      </c>
    </row>
    <row r="961" spans="1:15" x14ac:dyDescent="0.3">
      <c r="A961" s="2" t="s">
        <v>1103</v>
      </c>
      <c r="B961" s="3">
        <v>46013</v>
      </c>
      <c r="C961" s="2" t="s">
        <v>63</v>
      </c>
      <c r="D961" s="2" t="s">
        <v>64</v>
      </c>
      <c r="E961" s="2" t="s">
        <v>69</v>
      </c>
      <c r="F961" s="2" t="s">
        <v>43</v>
      </c>
      <c r="G961" s="2" t="s">
        <v>84</v>
      </c>
      <c r="H961" s="2">
        <v>7</v>
      </c>
      <c r="I961" s="2">
        <v>39763.14</v>
      </c>
      <c r="J961" s="2">
        <v>0.05</v>
      </c>
      <c r="K961" s="2">
        <v>264424.90000000002</v>
      </c>
      <c r="L961" s="2">
        <v>178683.96</v>
      </c>
      <c r="M961" s="2">
        <v>85740.94</v>
      </c>
      <c r="N961" s="2" t="s">
        <v>21</v>
      </c>
      <c r="O961" s="2" t="s">
        <v>40</v>
      </c>
    </row>
    <row r="962" spans="1:15" x14ac:dyDescent="0.3">
      <c r="A962" s="2" t="s">
        <v>1104</v>
      </c>
      <c r="B962" s="3">
        <v>45673</v>
      </c>
      <c r="C962" s="2" t="s">
        <v>37</v>
      </c>
      <c r="D962" s="2" t="s">
        <v>68</v>
      </c>
      <c r="E962" s="2" t="s">
        <v>49</v>
      </c>
      <c r="F962" s="2" t="s">
        <v>19</v>
      </c>
      <c r="G962" s="2" t="s">
        <v>61</v>
      </c>
      <c r="H962" s="2">
        <v>7</v>
      </c>
      <c r="I962" s="2">
        <v>8953.64</v>
      </c>
      <c r="J962" s="2">
        <v>0</v>
      </c>
      <c r="K962" s="2">
        <v>62675.45</v>
      </c>
      <c r="L962" s="2">
        <v>47856.7</v>
      </c>
      <c r="M962" s="2">
        <v>14818.75</v>
      </c>
      <c r="N962" s="2" t="s">
        <v>21</v>
      </c>
      <c r="O962" s="2" t="s">
        <v>45</v>
      </c>
    </row>
    <row r="963" spans="1:15" x14ac:dyDescent="0.3">
      <c r="A963" s="2" t="s">
        <v>1105</v>
      </c>
      <c r="B963" s="3">
        <v>45813</v>
      </c>
      <c r="C963" s="2" t="s">
        <v>37</v>
      </c>
      <c r="D963" s="2" t="s">
        <v>42</v>
      </c>
      <c r="E963" s="2" t="s">
        <v>18</v>
      </c>
      <c r="F963" s="2" t="s">
        <v>43</v>
      </c>
      <c r="G963" s="2" t="s">
        <v>84</v>
      </c>
      <c r="H963" s="2">
        <v>5</v>
      </c>
      <c r="I963" s="2">
        <v>45017.81</v>
      </c>
      <c r="J963" s="2">
        <v>0.08</v>
      </c>
      <c r="K963" s="2">
        <v>207081.95</v>
      </c>
      <c r="L963" s="2">
        <v>142575.35999999999</v>
      </c>
      <c r="M963" s="2">
        <v>64506.59</v>
      </c>
      <c r="N963" s="2" t="s">
        <v>29</v>
      </c>
      <c r="O963" s="2" t="s">
        <v>40</v>
      </c>
    </row>
    <row r="964" spans="1:15" x14ac:dyDescent="0.3">
      <c r="A964" s="2" t="s">
        <v>1106</v>
      </c>
      <c r="B964" s="3">
        <v>45950</v>
      </c>
      <c r="C964" s="2" t="s">
        <v>54</v>
      </c>
      <c r="D964" s="2" t="s">
        <v>48</v>
      </c>
      <c r="E964" s="2" t="s">
        <v>49</v>
      </c>
      <c r="F964" s="2" t="s">
        <v>34</v>
      </c>
      <c r="G964" s="2" t="s">
        <v>70</v>
      </c>
      <c r="H964" s="2">
        <v>1</v>
      </c>
      <c r="I964" s="2">
        <v>62822.69</v>
      </c>
      <c r="J964" s="2">
        <v>0.03</v>
      </c>
      <c r="K964" s="2">
        <v>60938.01</v>
      </c>
      <c r="L964" s="2">
        <v>42115.69</v>
      </c>
      <c r="M964" s="2">
        <v>18822.32</v>
      </c>
      <c r="N964" s="2" t="s">
        <v>29</v>
      </c>
      <c r="O964" s="2" t="s">
        <v>40</v>
      </c>
    </row>
    <row r="965" spans="1:15" x14ac:dyDescent="0.3">
      <c r="A965" s="2" t="s">
        <v>1107</v>
      </c>
      <c r="B965" s="3">
        <v>45960</v>
      </c>
      <c r="C965" s="2" t="s">
        <v>37</v>
      </c>
      <c r="D965" s="2" t="s">
        <v>42</v>
      </c>
      <c r="E965" s="2" t="s">
        <v>26</v>
      </c>
      <c r="F965" s="2" t="s">
        <v>34</v>
      </c>
      <c r="G965" s="2" t="s">
        <v>39</v>
      </c>
      <c r="H965" s="2">
        <v>7</v>
      </c>
      <c r="I965" s="2">
        <v>28740.080000000002</v>
      </c>
      <c r="J965" s="2">
        <v>0.05</v>
      </c>
      <c r="K965" s="2">
        <v>191121.51</v>
      </c>
      <c r="L965" s="2">
        <v>140324.76</v>
      </c>
      <c r="M965" s="2">
        <v>50796.75</v>
      </c>
      <c r="N965" s="2" t="s">
        <v>29</v>
      </c>
      <c r="O965" s="2" t="s">
        <v>59</v>
      </c>
    </row>
    <row r="966" spans="1:15" x14ac:dyDescent="0.3">
      <c r="A966" s="2" t="s">
        <v>1108</v>
      </c>
      <c r="B966" s="3">
        <v>45678</v>
      </c>
      <c r="C966" s="2" t="s">
        <v>271</v>
      </c>
      <c r="D966" s="2" t="s">
        <v>25</v>
      </c>
      <c r="E966" s="2" t="s">
        <v>49</v>
      </c>
      <c r="F966" s="2" t="s">
        <v>19</v>
      </c>
      <c r="G966" s="2" t="s">
        <v>106</v>
      </c>
      <c r="H966" s="2">
        <v>8</v>
      </c>
      <c r="I966" s="2">
        <v>14805.13</v>
      </c>
      <c r="J966" s="2">
        <v>0.03</v>
      </c>
      <c r="K966" s="2">
        <v>114887.84</v>
      </c>
      <c r="L966" s="2">
        <v>81713.61</v>
      </c>
      <c r="M966" s="2">
        <v>33174.230000000003</v>
      </c>
      <c r="N966" s="2" t="s">
        <v>21</v>
      </c>
      <c r="O966" s="2" t="s">
        <v>30</v>
      </c>
    </row>
    <row r="967" spans="1:15" x14ac:dyDescent="0.3">
      <c r="A967" s="2" t="s">
        <v>1109</v>
      </c>
      <c r="B967" s="3">
        <v>45772</v>
      </c>
      <c r="C967" s="2" t="s">
        <v>16</v>
      </c>
      <c r="D967" s="2" t="s">
        <v>52</v>
      </c>
      <c r="E967" s="2" t="s">
        <v>33</v>
      </c>
      <c r="F967" s="2" t="s">
        <v>34</v>
      </c>
      <c r="G967" s="2" t="s">
        <v>70</v>
      </c>
      <c r="H967" s="2">
        <v>4</v>
      </c>
      <c r="I967" s="2">
        <v>64864.97</v>
      </c>
      <c r="J967" s="2">
        <v>0.1</v>
      </c>
      <c r="K967" s="2">
        <v>233513.88</v>
      </c>
      <c r="L967" s="2">
        <v>198279.67999999999</v>
      </c>
      <c r="M967" s="2">
        <v>35234.199999999997</v>
      </c>
      <c r="N967" s="2" t="s">
        <v>58</v>
      </c>
      <c r="O967" s="2" t="s">
        <v>45</v>
      </c>
    </row>
    <row r="968" spans="1:15" x14ac:dyDescent="0.3">
      <c r="A968" s="2" t="s">
        <v>1110</v>
      </c>
      <c r="B968" s="3">
        <v>45920</v>
      </c>
      <c r="C968" s="2" t="s">
        <v>16</v>
      </c>
      <c r="D968" s="2" t="s">
        <v>32</v>
      </c>
      <c r="E968" s="2" t="s">
        <v>26</v>
      </c>
      <c r="F968" s="2" t="s">
        <v>43</v>
      </c>
      <c r="G968" s="2" t="s">
        <v>84</v>
      </c>
      <c r="H968" s="2">
        <v>7</v>
      </c>
      <c r="I968" s="2">
        <v>40762.15</v>
      </c>
      <c r="J968" s="2">
        <v>0.08</v>
      </c>
      <c r="K968" s="2">
        <v>262508.21999999997</v>
      </c>
      <c r="L968" s="2">
        <v>203423.59</v>
      </c>
      <c r="M968" s="2">
        <v>59084.63</v>
      </c>
      <c r="N968" s="2" t="s">
        <v>58</v>
      </c>
      <c r="O968" s="2" t="s">
        <v>30</v>
      </c>
    </row>
    <row r="969" spans="1:15" x14ac:dyDescent="0.3">
      <c r="A969" s="2" t="s">
        <v>1111</v>
      </c>
      <c r="B969" s="3">
        <v>45895</v>
      </c>
      <c r="C969" s="2" t="s">
        <v>16</v>
      </c>
      <c r="D969" s="2" t="s">
        <v>52</v>
      </c>
      <c r="E969" s="2" t="s">
        <v>18</v>
      </c>
      <c r="F969" s="2" t="s">
        <v>19</v>
      </c>
      <c r="G969" s="2" t="s">
        <v>102</v>
      </c>
      <c r="H969" s="2">
        <v>2</v>
      </c>
      <c r="I969" s="2">
        <v>230.31</v>
      </c>
      <c r="J969" s="2">
        <v>0.08</v>
      </c>
      <c r="K969" s="2">
        <v>423.77</v>
      </c>
      <c r="L969" s="2">
        <v>273.56</v>
      </c>
      <c r="M969" s="2">
        <v>150.21</v>
      </c>
      <c r="N969" s="2" t="s">
        <v>21</v>
      </c>
      <c r="O969" s="2" t="s">
        <v>45</v>
      </c>
    </row>
    <row r="970" spans="1:15" x14ac:dyDescent="0.3">
      <c r="A970" s="2" t="s">
        <v>1112</v>
      </c>
      <c r="B970" s="3">
        <v>45952</v>
      </c>
      <c r="C970" s="2" t="s">
        <v>16</v>
      </c>
      <c r="D970" s="2" t="s">
        <v>32</v>
      </c>
      <c r="E970" s="2" t="s">
        <v>49</v>
      </c>
      <c r="F970" s="2" t="s">
        <v>34</v>
      </c>
      <c r="G970" s="2" t="s">
        <v>80</v>
      </c>
      <c r="H970" s="2">
        <v>5</v>
      </c>
      <c r="I970" s="2">
        <v>4269.01</v>
      </c>
      <c r="J970" s="2">
        <v>0.08</v>
      </c>
      <c r="K970" s="2">
        <v>19637.439999999999</v>
      </c>
      <c r="L970" s="2">
        <v>14363.32</v>
      </c>
      <c r="M970" s="2">
        <v>5274.12</v>
      </c>
      <c r="N970" s="2" t="s">
        <v>21</v>
      </c>
      <c r="O970" s="2" t="s">
        <v>22</v>
      </c>
    </row>
    <row r="971" spans="1:15" x14ac:dyDescent="0.3">
      <c r="A971" s="2" t="s">
        <v>1113</v>
      </c>
      <c r="B971" s="3">
        <v>45951</v>
      </c>
      <c r="C971" s="2" t="s">
        <v>54</v>
      </c>
      <c r="D971" s="2" t="s">
        <v>124</v>
      </c>
      <c r="E971" s="2" t="s">
        <v>26</v>
      </c>
      <c r="F971" s="2" t="s">
        <v>43</v>
      </c>
      <c r="G971" s="2" t="s">
        <v>75</v>
      </c>
      <c r="H971" s="2">
        <v>6</v>
      </c>
      <c r="I971" s="2">
        <v>36327.42</v>
      </c>
      <c r="J971" s="2">
        <v>0.1</v>
      </c>
      <c r="K971" s="2">
        <v>196168.09</v>
      </c>
      <c r="L971" s="2">
        <v>139419.1</v>
      </c>
      <c r="M971" s="2">
        <v>56748.99</v>
      </c>
      <c r="N971" s="2" t="s">
        <v>21</v>
      </c>
      <c r="O971" s="2" t="s">
        <v>59</v>
      </c>
    </row>
    <row r="972" spans="1:15" x14ac:dyDescent="0.3">
      <c r="A972" s="2" t="s">
        <v>1114</v>
      </c>
      <c r="B972" s="3">
        <v>45741</v>
      </c>
      <c r="C972" s="2" t="s">
        <v>37</v>
      </c>
      <c r="D972" s="2" t="s">
        <v>38</v>
      </c>
      <c r="E972" s="2" t="s">
        <v>65</v>
      </c>
      <c r="F972" s="2" t="s">
        <v>34</v>
      </c>
      <c r="G972" s="2" t="s">
        <v>57</v>
      </c>
      <c r="H972" s="2">
        <v>5</v>
      </c>
      <c r="I972" s="2">
        <v>20739.599999999999</v>
      </c>
      <c r="J972" s="2">
        <v>0.03</v>
      </c>
      <c r="K972" s="2">
        <v>100587.08</v>
      </c>
      <c r="L972" s="2">
        <v>82220.31</v>
      </c>
      <c r="M972" s="2">
        <v>18366.77</v>
      </c>
      <c r="N972" s="2" t="s">
        <v>29</v>
      </c>
      <c r="O972" s="2" t="s">
        <v>59</v>
      </c>
    </row>
    <row r="973" spans="1:15" x14ac:dyDescent="0.3">
      <c r="A973" s="2" t="s">
        <v>1115</v>
      </c>
      <c r="B973" s="3">
        <v>46005</v>
      </c>
      <c r="C973" s="2" t="s">
        <v>16</v>
      </c>
      <c r="D973" s="2" t="s">
        <v>52</v>
      </c>
      <c r="E973" s="2" t="s">
        <v>49</v>
      </c>
      <c r="F973" s="2" t="s">
        <v>34</v>
      </c>
      <c r="G973" s="2" t="s">
        <v>35</v>
      </c>
      <c r="H973" s="2">
        <v>7</v>
      </c>
      <c r="I973" s="2">
        <v>19264.63</v>
      </c>
      <c r="J973" s="2">
        <v>0.08</v>
      </c>
      <c r="K973" s="2">
        <v>124064.24</v>
      </c>
      <c r="L973" s="2">
        <v>79145.42</v>
      </c>
      <c r="M973" s="2">
        <v>44918.82</v>
      </c>
      <c r="N973" s="2" t="s">
        <v>29</v>
      </c>
      <c r="O973" s="2" t="s">
        <v>40</v>
      </c>
    </row>
    <row r="974" spans="1:15" x14ac:dyDescent="0.3">
      <c r="A974" s="2" t="s">
        <v>1116</v>
      </c>
      <c r="B974" s="3">
        <v>45946</v>
      </c>
      <c r="C974" s="2" t="s">
        <v>37</v>
      </c>
      <c r="D974" s="2" t="s">
        <v>68</v>
      </c>
      <c r="E974" s="2" t="s">
        <v>56</v>
      </c>
      <c r="F974" s="2" t="s">
        <v>27</v>
      </c>
      <c r="G974" s="2" t="s">
        <v>28</v>
      </c>
      <c r="H974" s="2">
        <v>6</v>
      </c>
      <c r="I974" s="2">
        <v>26457.42</v>
      </c>
      <c r="J974" s="2">
        <v>0.03</v>
      </c>
      <c r="K974" s="2">
        <v>153982.21</v>
      </c>
      <c r="L974" s="2">
        <v>103809.68</v>
      </c>
      <c r="M974" s="2">
        <v>50172.53</v>
      </c>
      <c r="N974" s="2" t="s">
        <v>29</v>
      </c>
      <c r="O974" s="2" t="s">
        <v>30</v>
      </c>
    </row>
    <row r="975" spans="1:15" x14ac:dyDescent="0.3">
      <c r="A975" s="2" t="s">
        <v>1117</v>
      </c>
      <c r="B975" s="3">
        <v>45911</v>
      </c>
      <c r="C975" s="2" t="s">
        <v>63</v>
      </c>
      <c r="D975" s="2" t="s">
        <v>95</v>
      </c>
      <c r="E975" s="2" t="s">
        <v>18</v>
      </c>
      <c r="F975" s="2" t="s">
        <v>34</v>
      </c>
      <c r="G975" s="2" t="s">
        <v>80</v>
      </c>
      <c r="H975" s="2">
        <v>3</v>
      </c>
      <c r="I975" s="2">
        <v>4291.4799999999996</v>
      </c>
      <c r="J975" s="2">
        <v>0.03</v>
      </c>
      <c r="K975" s="2">
        <v>12488.2</v>
      </c>
      <c r="L975" s="2">
        <v>10100.09</v>
      </c>
      <c r="M975" s="2">
        <v>2388.11</v>
      </c>
      <c r="N975" s="2" t="s">
        <v>21</v>
      </c>
      <c r="O975" s="2" t="s">
        <v>45</v>
      </c>
    </row>
    <row r="976" spans="1:15" x14ac:dyDescent="0.3">
      <c r="A976" s="2" t="s">
        <v>1118</v>
      </c>
      <c r="B976" s="3">
        <v>45723</v>
      </c>
      <c r="C976" s="2" t="s">
        <v>37</v>
      </c>
      <c r="D976" s="2" t="s">
        <v>25</v>
      </c>
      <c r="E976" s="2" t="s">
        <v>33</v>
      </c>
      <c r="F976" s="2" t="s">
        <v>43</v>
      </c>
      <c r="G976" s="2" t="s">
        <v>44</v>
      </c>
      <c r="H976" s="2">
        <v>7</v>
      </c>
      <c r="I976" s="2">
        <v>12391.57</v>
      </c>
      <c r="J976" s="2">
        <v>0.05</v>
      </c>
      <c r="K976" s="2" t="s">
        <v>1119</v>
      </c>
      <c r="L976" s="2">
        <v>57220.9</v>
      </c>
      <c r="M976" s="2">
        <v>25183.03</v>
      </c>
      <c r="N976" s="2" t="s">
        <v>21</v>
      </c>
      <c r="O976" s="2" t="s">
        <v>30</v>
      </c>
    </row>
    <row r="977" spans="1:15" x14ac:dyDescent="0.3">
      <c r="A977" s="2" t="s">
        <v>1120</v>
      </c>
      <c r="B977" s="3">
        <v>45806</v>
      </c>
      <c r="C977" s="2" t="s">
        <v>37</v>
      </c>
      <c r="D977" s="2" t="s">
        <v>25</v>
      </c>
      <c r="E977" s="2" t="s">
        <v>33</v>
      </c>
      <c r="F977" s="2" t="s">
        <v>19</v>
      </c>
      <c r="G977" s="2" t="s">
        <v>20</v>
      </c>
      <c r="H977" s="2">
        <v>2</v>
      </c>
      <c r="I977" s="2">
        <v>737.27</v>
      </c>
      <c r="J977" s="2">
        <v>0</v>
      </c>
      <c r="K977" s="2">
        <v>1474.54</v>
      </c>
      <c r="L977" s="2">
        <v>1158.6500000000001</v>
      </c>
      <c r="M977" s="2">
        <v>315.89</v>
      </c>
      <c r="N977" s="2" t="s">
        <v>29</v>
      </c>
      <c r="O977" s="2" t="s">
        <v>22</v>
      </c>
    </row>
    <row r="978" spans="1:15" x14ac:dyDescent="0.3">
      <c r="A978" s="2" t="s">
        <v>1121</v>
      </c>
      <c r="B978" s="3">
        <v>45722</v>
      </c>
      <c r="C978" s="2" t="s">
        <v>16</v>
      </c>
      <c r="D978" s="2" t="s">
        <v>17</v>
      </c>
      <c r="E978" s="2" t="s">
        <v>33</v>
      </c>
      <c r="F978" s="2" t="s">
        <v>27</v>
      </c>
      <c r="G978" s="2" t="s">
        <v>89</v>
      </c>
      <c r="H978" s="2">
        <v>3</v>
      </c>
      <c r="I978" s="2">
        <v>31034.240000000002</v>
      </c>
      <c r="J978" s="2">
        <v>0.1</v>
      </c>
      <c r="K978" s="2">
        <v>83792.45</v>
      </c>
      <c r="L978" s="2">
        <v>55086.11</v>
      </c>
      <c r="M978" s="2">
        <v>28706.34</v>
      </c>
      <c r="N978" s="2" t="s">
        <v>21</v>
      </c>
      <c r="O978" s="2" t="s">
        <v>59</v>
      </c>
    </row>
    <row r="979" spans="1:15" x14ac:dyDescent="0.3">
      <c r="A979" s="2" t="s">
        <v>1122</v>
      </c>
      <c r="B979" s="3">
        <v>45870</v>
      </c>
      <c r="C979" s="2" t="s">
        <v>63</v>
      </c>
      <c r="D979" s="2" t="s">
        <v>95</v>
      </c>
      <c r="E979" s="2" t="s">
        <v>74</v>
      </c>
      <c r="F979" s="2" t="s">
        <v>34</v>
      </c>
      <c r="G979" s="2" t="s">
        <v>39</v>
      </c>
      <c r="H979" s="2">
        <v>6</v>
      </c>
      <c r="I979" s="2">
        <v>28916.46</v>
      </c>
      <c r="J979" s="2">
        <v>0.05</v>
      </c>
      <c r="K979" s="2">
        <v>164823.79999999999</v>
      </c>
      <c r="L979" s="2">
        <v>107907.45</v>
      </c>
      <c r="M979" s="2">
        <v>56916.35</v>
      </c>
      <c r="N979" s="2" t="s">
        <v>21</v>
      </c>
      <c r="O979" s="2" t="s">
        <v>59</v>
      </c>
    </row>
    <row r="980" spans="1:15" x14ac:dyDescent="0.3">
      <c r="A980" s="2" t="s">
        <v>1123</v>
      </c>
      <c r="B980" s="3">
        <v>46015</v>
      </c>
      <c r="C980" s="2" t="s">
        <v>54</v>
      </c>
      <c r="D980" s="2" t="s">
        <v>55</v>
      </c>
      <c r="E980" s="2" t="s">
        <v>69</v>
      </c>
      <c r="F980" s="2" t="s">
        <v>43</v>
      </c>
      <c r="G980" s="2" t="s">
        <v>121</v>
      </c>
      <c r="H980" s="2">
        <v>2</v>
      </c>
      <c r="I980" s="2">
        <v>4956.76</v>
      </c>
      <c r="J980" s="2">
        <v>0.03</v>
      </c>
      <c r="K980" s="2">
        <v>9616.11</v>
      </c>
      <c r="L980" s="2">
        <v>7639.49</v>
      </c>
      <c r="M980" s="2">
        <v>1976.62</v>
      </c>
      <c r="N980" s="2" t="s">
        <v>21</v>
      </c>
      <c r="O980" s="2" t="s">
        <v>59</v>
      </c>
    </row>
    <row r="981" spans="1:15" x14ac:dyDescent="0.3">
      <c r="A981" s="2" t="s">
        <v>1124</v>
      </c>
      <c r="B981" s="3">
        <v>45718</v>
      </c>
      <c r="C981" s="2" t="s">
        <v>37</v>
      </c>
      <c r="D981" s="2" t="s">
        <v>25</v>
      </c>
      <c r="E981" s="2" t="s">
        <v>26</v>
      </c>
      <c r="F981" s="2" t="s">
        <v>34</v>
      </c>
      <c r="G981" s="2" t="s">
        <v>35</v>
      </c>
      <c r="H981" s="2">
        <v>1</v>
      </c>
      <c r="I981" s="2">
        <v>18057.59</v>
      </c>
      <c r="J981" s="2">
        <v>0.1</v>
      </c>
      <c r="K981" s="2">
        <v>16251.84</v>
      </c>
      <c r="L981" s="2">
        <v>10964.83</v>
      </c>
      <c r="M981" s="2">
        <v>5287.01</v>
      </c>
      <c r="N981" s="2" t="s">
        <v>21</v>
      </c>
      <c r="O981" s="2" t="s">
        <v>59</v>
      </c>
    </row>
    <row r="982" spans="1:15" x14ac:dyDescent="0.3">
      <c r="A982" s="2" t="s">
        <v>1125</v>
      </c>
      <c r="B982" s="3">
        <v>45850</v>
      </c>
      <c r="C982" s="2"/>
      <c r="D982" s="2" t="s">
        <v>42</v>
      </c>
      <c r="E982" s="2" t="s">
        <v>33</v>
      </c>
      <c r="F982" s="2" t="s">
        <v>34</v>
      </c>
      <c r="G982" s="2" t="s">
        <v>70</v>
      </c>
      <c r="H982" s="2">
        <v>5</v>
      </c>
      <c r="I982" s="2">
        <v>62361.22</v>
      </c>
      <c r="J982" s="2">
        <v>0.1</v>
      </c>
      <c r="K982" s="2">
        <v>280625.46999999997</v>
      </c>
      <c r="L982" s="2">
        <v>181017.22</v>
      </c>
      <c r="M982" s="2">
        <v>99608.25</v>
      </c>
      <c r="N982" s="2" t="s">
        <v>58</v>
      </c>
      <c r="O982" s="2" t="s">
        <v>45</v>
      </c>
    </row>
    <row r="983" spans="1:15" x14ac:dyDescent="0.3">
      <c r="A983" s="2" t="s">
        <v>1126</v>
      </c>
      <c r="B983" s="3">
        <v>45820</v>
      </c>
      <c r="C983" s="2" t="s">
        <v>63</v>
      </c>
      <c r="D983" s="2" t="s">
        <v>117</v>
      </c>
      <c r="E983" s="2" t="s">
        <v>33</v>
      </c>
      <c r="F983" s="2" t="s">
        <v>19</v>
      </c>
      <c r="G983" s="2" t="s">
        <v>102</v>
      </c>
      <c r="H983" s="2">
        <v>5</v>
      </c>
      <c r="I983" s="2">
        <v>241.15</v>
      </c>
      <c r="J983" s="2">
        <v>0.05</v>
      </c>
      <c r="K983" s="2">
        <v>1145.46</v>
      </c>
      <c r="L983" s="2">
        <v>962.51</v>
      </c>
      <c r="M983" s="2">
        <v>182.95</v>
      </c>
      <c r="N983" s="2" t="s">
        <v>58</v>
      </c>
      <c r="O983" s="2" t="s">
        <v>30</v>
      </c>
    </row>
    <row r="984" spans="1:15" x14ac:dyDescent="0.3">
      <c r="A984" s="2" t="s">
        <v>1127</v>
      </c>
      <c r="B984" s="3">
        <v>45724</v>
      </c>
      <c r="C984" s="2" t="s">
        <v>37</v>
      </c>
      <c r="D984" s="2" t="s">
        <v>68</v>
      </c>
      <c r="E984" s="2" t="s">
        <v>26</v>
      </c>
      <c r="F984" s="2" t="s">
        <v>34</v>
      </c>
      <c r="G984" s="2" t="s">
        <v>80</v>
      </c>
      <c r="H984" s="2">
        <v>2</v>
      </c>
      <c r="I984" s="2">
        <v>4216.12</v>
      </c>
      <c r="J984" s="2">
        <v>0.08</v>
      </c>
      <c r="K984" s="2">
        <v>7757.66</v>
      </c>
      <c r="L984" s="2">
        <v>5342.57</v>
      </c>
      <c r="M984" s="2">
        <v>2415.09</v>
      </c>
      <c r="N984" s="2" t="s">
        <v>58</v>
      </c>
      <c r="O984" s="2" t="s">
        <v>45</v>
      </c>
    </row>
    <row r="985" spans="1:15" x14ac:dyDescent="0.3">
      <c r="A985" s="2" t="s">
        <v>1128</v>
      </c>
      <c r="B985" s="3">
        <v>45806</v>
      </c>
      <c r="C985" s="2" t="s">
        <v>63</v>
      </c>
      <c r="D985" s="2" t="s">
        <v>88</v>
      </c>
      <c r="E985" s="2" t="s">
        <v>33</v>
      </c>
      <c r="F985" s="2" t="s">
        <v>1129</v>
      </c>
      <c r="G985" s="2" t="s">
        <v>108</v>
      </c>
      <c r="H985" s="2">
        <v>8</v>
      </c>
      <c r="I985" s="2">
        <v>14571.99</v>
      </c>
      <c r="J985" s="2">
        <v>0</v>
      </c>
      <c r="K985" s="2">
        <v>116575.92</v>
      </c>
      <c r="L985" s="2">
        <v>82807.72</v>
      </c>
      <c r="M985" s="2">
        <v>33768.199999999997</v>
      </c>
      <c r="N985" s="2" t="s">
        <v>21</v>
      </c>
      <c r="O985" s="2" t="s">
        <v>22</v>
      </c>
    </row>
    <row r="986" spans="1:15" x14ac:dyDescent="0.3">
      <c r="A986" s="2" t="s">
        <v>1130</v>
      </c>
      <c r="B986" s="3">
        <v>45937</v>
      </c>
      <c r="C986" s="2" t="s">
        <v>16</v>
      </c>
      <c r="D986" s="2" t="s">
        <v>32</v>
      </c>
      <c r="E986" s="2" t="s">
        <v>65</v>
      </c>
      <c r="F986" s="2" t="s">
        <v>34</v>
      </c>
      <c r="G986" s="2" t="s">
        <v>70</v>
      </c>
      <c r="H986" s="2">
        <v>8</v>
      </c>
      <c r="I986" s="2">
        <v>69725.78</v>
      </c>
      <c r="J986" s="2">
        <v>0.05</v>
      </c>
      <c r="K986" s="2">
        <v>529915.9</v>
      </c>
      <c r="L986" s="2">
        <v>417460.06</v>
      </c>
      <c r="M986" s="2">
        <v>112455.84</v>
      </c>
      <c r="N986" s="2" t="s">
        <v>29</v>
      </c>
      <c r="O986" s="2" t="s">
        <v>59</v>
      </c>
    </row>
    <row r="987" spans="1:15" x14ac:dyDescent="0.3">
      <c r="A987" s="2" t="s">
        <v>1131</v>
      </c>
      <c r="B987" s="3">
        <v>45863</v>
      </c>
      <c r="C987" s="2" t="s">
        <v>54</v>
      </c>
      <c r="D987" s="2" t="s">
        <v>174</v>
      </c>
      <c r="E987" s="2" t="s">
        <v>33</v>
      </c>
      <c r="F987" s="2" t="s">
        <v>27</v>
      </c>
      <c r="G987" s="2" t="s">
        <v>125</v>
      </c>
      <c r="H987" s="2">
        <v>1</v>
      </c>
      <c r="I987" s="2">
        <v>8166.8</v>
      </c>
      <c r="J987" s="2">
        <v>0.03</v>
      </c>
      <c r="K987" s="2">
        <v>7921.8</v>
      </c>
      <c r="L987" s="2">
        <v>4986.1499999999996</v>
      </c>
      <c r="M987" s="2">
        <v>2935.65</v>
      </c>
      <c r="N987" s="2" t="s">
        <v>21</v>
      </c>
      <c r="O987" s="2" t="s">
        <v>40</v>
      </c>
    </row>
    <row r="988" spans="1:15" x14ac:dyDescent="0.3">
      <c r="A988" s="2" t="s">
        <v>1132</v>
      </c>
      <c r="B988" s="3">
        <v>45678</v>
      </c>
      <c r="C988" s="2" t="s">
        <v>37</v>
      </c>
      <c r="D988" s="2" t="s">
        <v>42</v>
      </c>
      <c r="E988" s="2" t="s">
        <v>74</v>
      </c>
      <c r="F988" s="2" t="s">
        <v>19</v>
      </c>
      <c r="G988" s="2" t="s">
        <v>106</v>
      </c>
      <c r="H988" s="2">
        <v>6</v>
      </c>
      <c r="I988" s="2">
        <v>14443.69</v>
      </c>
      <c r="J988" s="2">
        <v>0.05</v>
      </c>
      <c r="K988" s="2">
        <v>82329.009999999995</v>
      </c>
      <c r="L988" s="2">
        <v>54203.71</v>
      </c>
      <c r="M988" s="2">
        <v>28125.3</v>
      </c>
      <c r="N988" s="2" t="s">
        <v>29</v>
      </c>
      <c r="O988" s="2" t="s">
        <v>59</v>
      </c>
    </row>
    <row r="989" spans="1:15" x14ac:dyDescent="0.3">
      <c r="A989" s="2" t="s">
        <v>1133</v>
      </c>
      <c r="B989" s="3">
        <v>45933</v>
      </c>
      <c r="C989" s="2" t="s">
        <v>54</v>
      </c>
      <c r="D989" s="2" t="s">
        <v>48</v>
      </c>
      <c r="E989" s="2" t="s">
        <v>69</v>
      </c>
      <c r="F989" s="2" t="s">
        <v>43</v>
      </c>
      <c r="G989" s="2" t="s">
        <v>75</v>
      </c>
      <c r="H989" s="2">
        <v>7</v>
      </c>
      <c r="I989" s="2">
        <v>36047.879999999997</v>
      </c>
      <c r="J989" s="2">
        <v>0</v>
      </c>
      <c r="K989" s="2">
        <v>252335.13</v>
      </c>
      <c r="L989" s="2">
        <v>175404.73</v>
      </c>
      <c r="M989" s="2">
        <v>76930.399999999994</v>
      </c>
      <c r="N989" s="2" t="s">
        <v>21</v>
      </c>
      <c r="O989" s="2" t="s">
        <v>22</v>
      </c>
    </row>
    <row r="990" spans="1:15" x14ac:dyDescent="0.3">
      <c r="A990" s="2" t="s">
        <v>1134</v>
      </c>
      <c r="B990" s="3">
        <v>45963</v>
      </c>
      <c r="C990" s="2" t="s">
        <v>16</v>
      </c>
      <c r="D990" s="2" t="s">
        <v>52</v>
      </c>
      <c r="E990" s="2" t="s">
        <v>26</v>
      </c>
      <c r="F990" s="2" t="s">
        <v>34</v>
      </c>
      <c r="G990" s="2" t="s">
        <v>57</v>
      </c>
      <c r="H990" s="2">
        <v>1</v>
      </c>
      <c r="I990" s="2">
        <v>23181.21</v>
      </c>
      <c r="J990" s="2">
        <v>0.15</v>
      </c>
      <c r="K990" s="2">
        <v>19704.03</v>
      </c>
      <c r="L990" s="2">
        <v>14290.89</v>
      </c>
      <c r="M990" s="2">
        <v>5413.14</v>
      </c>
      <c r="N990" s="2" t="s">
        <v>58</v>
      </c>
      <c r="O990" s="2" t="s">
        <v>59</v>
      </c>
    </row>
    <row r="991" spans="1:15" x14ac:dyDescent="0.3">
      <c r="A991" s="2" t="s">
        <v>1135</v>
      </c>
      <c r="B991" s="3">
        <v>45709</v>
      </c>
      <c r="C991" s="2" t="s">
        <v>63</v>
      </c>
      <c r="D991" s="2" t="s">
        <v>88</v>
      </c>
      <c r="E991" s="2" t="s">
        <v>49</v>
      </c>
      <c r="F991" s="2" t="s">
        <v>19</v>
      </c>
      <c r="G991" s="2" t="s">
        <v>106</v>
      </c>
      <c r="H991" s="2">
        <v>1</v>
      </c>
      <c r="I991" s="2">
        <v>14692.24</v>
      </c>
      <c r="J991" s="2">
        <v>0.1</v>
      </c>
      <c r="K991" s="2">
        <v>13223.01</v>
      </c>
      <c r="L991" s="2">
        <v>8880.59</v>
      </c>
      <c r="M991" s="2">
        <v>4342.42</v>
      </c>
      <c r="N991" s="2" t="s">
        <v>29</v>
      </c>
      <c r="O991" s="2" t="s">
        <v>22</v>
      </c>
    </row>
    <row r="992" spans="1:15" x14ac:dyDescent="0.3">
      <c r="A992" s="2" t="s">
        <v>1136</v>
      </c>
      <c r="B992" s="3">
        <v>45794</v>
      </c>
      <c r="C992" s="2" t="s">
        <v>16</v>
      </c>
      <c r="D992" s="2" t="s">
        <v>52</v>
      </c>
      <c r="E992" s="2" t="s">
        <v>26</v>
      </c>
      <c r="F992" s="2" t="s">
        <v>34</v>
      </c>
      <c r="G992" s="2" t="s">
        <v>70</v>
      </c>
      <c r="H992" s="2">
        <v>6</v>
      </c>
      <c r="I992" s="2">
        <v>63465.3</v>
      </c>
      <c r="J992" s="2">
        <v>0.05</v>
      </c>
      <c r="K992" s="2">
        <v>361752.21</v>
      </c>
      <c r="L992" s="2">
        <v>240612.2</v>
      </c>
      <c r="M992" s="2">
        <v>121140.01</v>
      </c>
      <c r="N992" s="2" t="s">
        <v>29</v>
      </c>
      <c r="O992" s="2" t="s">
        <v>59</v>
      </c>
    </row>
    <row r="993" spans="1:15" x14ac:dyDescent="0.3">
      <c r="A993" s="2" t="s">
        <v>1137</v>
      </c>
      <c r="B993" s="3">
        <v>45942</v>
      </c>
      <c r="C993" s="2" t="s">
        <v>16</v>
      </c>
      <c r="D993" s="2" t="s">
        <v>17</v>
      </c>
      <c r="E993" s="2" t="s">
        <v>74</v>
      </c>
      <c r="F993" s="2" t="s">
        <v>34</v>
      </c>
      <c r="G993" s="2" t="s">
        <v>35</v>
      </c>
      <c r="H993" s="2">
        <v>7</v>
      </c>
      <c r="I993" s="2">
        <v>17048.75</v>
      </c>
      <c r="J993" s="2">
        <v>0.08</v>
      </c>
      <c r="K993" s="2">
        <v>109793.96</v>
      </c>
      <c r="L993" s="2">
        <v>88364.53</v>
      </c>
      <c r="M993" s="2">
        <v>21429.43</v>
      </c>
      <c r="N993" s="2" t="s">
        <v>29</v>
      </c>
      <c r="O993" s="2" t="s">
        <v>45</v>
      </c>
    </row>
    <row r="994" spans="1:15" x14ac:dyDescent="0.3">
      <c r="A994" s="2" t="s">
        <v>1138</v>
      </c>
      <c r="B994" s="3">
        <v>45660</v>
      </c>
      <c r="C994" s="2" t="s">
        <v>37</v>
      </c>
      <c r="D994" s="2" t="s">
        <v>68</v>
      </c>
      <c r="E994" s="2" t="s">
        <v>33</v>
      </c>
      <c r="F994" s="2" t="s">
        <v>34</v>
      </c>
      <c r="G994" s="2" t="s">
        <v>70</v>
      </c>
      <c r="H994" s="2">
        <v>2</v>
      </c>
      <c r="I994" s="2">
        <v>61736.12</v>
      </c>
      <c r="J994" s="2">
        <v>0</v>
      </c>
      <c r="K994" s="2">
        <v>123472.23</v>
      </c>
      <c r="L994" s="2">
        <v>80653.399999999994</v>
      </c>
      <c r="M994" s="2">
        <v>42818.83</v>
      </c>
      <c r="N994" s="2" t="s">
        <v>58</v>
      </c>
      <c r="O994" s="2" t="s">
        <v>45</v>
      </c>
    </row>
    <row r="995" spans="1:15" x14ac:dyDescent="0.3">
      <c r="A995" s="2" t="s">
        <v>1139</v>
      </c>
      <c r="B995" s="3">
        <v>45981</v>
      </c>
      <c r="C995" s="2" t="s">
        <v>63</v>
      </c>
      <c r="D995" s="2" t="s">
        <v>117</v>
      </c>
      <c r="E995" s="2" t="s">
        <v>26</v>
      </c>
      <c r="F995" s="2" t="s">
        <v>19</v>
      </c>
      <c r="G995" s="2" t="s">
        <v>20</v>
      </c>
      <c r="H995" s="2">
        <v>1</v>
      </c>
      <c r="I995" s="2">
        <v>678.92</v>
      </c>
      <c r="J995" s="2">
        <v>0.08</v>
      </c>
      <c r="K995" s="2">
        <v>624.61</v>
      </c>
      <c r="L995" s="2">
        <v>388.66</v>
      </c>
      <c r="M995" s="2">
        <v>235.95</v>
      </c>
      <c r="N995" s="2" t="s">
        <v>29</v>
      </c>
      <c r="O995" s="2" t="s">
        <v>30</v>
      </c>
    </row>
    <row r="996" spans="1:15" x14ac:dyDescent="0.3">
      <c r="A996" s="2" t="s">
        <v>1140</v>
      </c>
      <c r="B996" s="3">
        <v>45884</v>
      </c>
      <c r="C996" s="2" t="s">
        <v>54</v>
      </c>
      <c r="D996" s="2" t="s">
        <v>174</v>
      </c>
      <c r="E996" s="2" t="s">
        <v>33</v>
      </c>
      <c r="F996" s="2" t="s">
        <v>34</v>
      </c>
      <c r="G996" s="2" t="s">
        <v>80</v>
      </c>
      <c r="H996" s="2">
        <v>1</v>
      </c>
      <c r="I996" s="2">
        <v>4811.6000000000004</v>
      </c>
      <c r="J996" s="2">
        <v>0.05</v>
      </c>
      <c r="K996" s="2">
        <v>4571.0200000000004</v>
      </c>
      <c r="L996" s="2">
        <v>2950.85</v>
      </c>
      <c r="M996" s="2">
        <v>1620.17</v>
      </c>
      <c r="N996" s="2" t="s">
        <v>58</v>
      </c>
      <c r="O996" s="2" t="s">
        <v>22</v>
      </c>
    </row>
    <row r="997" spans="1:15" x14ac:dyDescent="0.3">
      <c r="A997" s="2" t="s">
        <v>1141</v>
      </c>
      <c r="B997" s="3">
        <v>45797</v>
      </c>
      <c r="C997" s="2" t="s">
        <v>37</v>
      </c>
      <c r="D997" s="2" t="s">
        <v>42</v>
      </c>
      <c r="E997" s="2" t="s">
        <v>69</v>
      </c>
      <c r="F997" s="2" t="s">
        <v>34</v>
      </c>
      <c r="G997" s="2" t="s">
        <v>70</v>
      </c>
      <c r="H997" s="2">
        <v>1</v>
      </c>
      <c r="I997" s="2">
        <v>61853</v>
      </c>
      <c r="J997" s="2">
        <v>0.05</v>
      </c>
      <c r="K997" s="2">
        <v>58760.35</v>
      </c>
      <c r="L997" s="2">
        <v>49479.95</v>
      </c>
      <c r="M997" s="2">
        <v>9280.4</v>
      </c>
      <c r="N997" s="2" t="s">
        <v>29</v>
      </c>
      <c r="O997" s="2" t="s">
        <v>59</v>
      </c>
    </row>
    <row r="998" spans="1:15" x14ac:dyDescent="0.3">
      <c r="A998" s="2" t="s">
        <v>1142</v>
      </c>
      <c r="B998" s="3">
        <v>45947</v>
      </c>
      <c r="C998" s="2" t="s">
        <v>16</v>
      </c>
      <c r="D998" s="2" t="s">
        <v>82</v>
      </c>
      <c r="E998" s="2" t="s">
        <v>18</v>
      </c>
      <c r="F998" s="2" t="s">
        <v>34</v>
      </c>
      <c r="G998" s="2" t="s">
        <v>80</v>
      </c>
      <c r="H998" s="2">
        <v>4</v>
      </c>
      <c r="I998" s="2">
        <v>4332.29</v>
      </c>
      <c r="J998" s="2">
        <v>0.05</v>
      </c>
      <c r="K998" s="2">
        <v>16462.71</v>
      </c>
      <c r="L998" s="2">
        <v>13457.16</v>
      </c>
      <c r="M998" s="2">
        <v>3005.55</v>
      </c>
      <c r="N998" s="2" t="s">
        <v>21</v>
      </c>
      <c r="O998" s="2" t="s">
        <v>22</v>
      </c>
    </row>
    <row r="999" spans="1:15" x14ac:dyDescent="0.3">
      <c r="A999" s="2" t="s">
        <v>1143</v>
      </c>
      <c r="B999" s="3">
        <v>45971</v>
      </c>
      <c r="C999" s="2" t="s">
        <v>63</v>
      </c>
      <c r="D999" s="2" t="s">
        <v>64</v>
      </c>
      <c r="E999" s="2" t="s">
        <v>18</v>
      </c>
      <c r="F999" s="2" t="s">
        <v>43</v>
      </c>
      <c r="G999" s="2" t="s">
        <v>91</v>
      </c>
      <c r="H999" s="2">
        <v>5</v>
      </c>
      <c r="I999" s="2">
        <v>47310.87</v>
      </c>
      <c r="J999" s="2">
        <v>0</v>
      </c>
      <c r="K999" s="2">
        <v>236554.33</v>
      </c>
      <c r="L999" s="2">
        <v>198099.44</v>
      </c>
      <c r="M999" s="2">
        <v>38454.89</v>
      </c>
      <c r="N999" s="2" t="s">
        <v>29</v>
      </c>
      <c r="O999" s="2" t="s">
        <v>30</v>
      </c>
    </row>
    <row r="1000" spans="1:15" x14ac:dyDescent="0.3">
      <c r="A1000" s="2" t="s">
        <v>1144</v>
      </c>
      <c r="B1000" s="3">
        <v>45958</v>
      </c>
      <c r="C1000" s="2" t="s">
        <v>633</v>
      </c>
      <c r="D1000" s="2" t="s">
        <v>82</v>
      </c>
      <c r="E1000" s="2" t="s">
        <v>56</v>
      </c>
      <c r="F1000" s="2" t="s">
        <v>34</v>
      </c>
      <c r="G1000" s="2" t="s">
        <v>57</v>
      </c>
      <c r="H1000" s="2">
        <v>8</v>
      </c>
      <c r="I1000" s="2">
        <v>22007.5</v>
      </c>
      <c r="J1000" s="2">
        <v>0</v>
      </c>
      <c r="K1000" s="2">
        <v>176060.03</v>
      </c>
      <c r="L1000" s="2">
        <v>119841.46</v>
      </c>
      <c r="M1000" s="2">
        <v>56218.57</v>
      </c>
      <c r="N1000" s="2" t="s">
        <v>29</v>
      </c>
      <c r="O1000" s="2" t="s">
        <v>45</v>
      </c>
    </row>
    <row r="1001" spans="1:15" x14ac:dyDescent="0.3">
      <c r="A1001" s="2" t="s">
        <v>1145</v>
      </c>
      <c r="B1001" s="3">
        <v>45858</v>
      </c>
      <c r="C1001" s="2" t="s">
        <v>16</v>
      </c>
      <c r="D1001" s="2" t="s">
        <v>82</v>
      </c>
      <c r="E1001" s="2" t="s">
        <v>74</v>
      </c>
      <c r="F1001" s="2" t="s">
        <v>27</v>
      </c>
      <c r="G1001" s="2" t="s">
        <v>50</v>
      </c>
      <c r="H1001" s="2">
        <v>1</v>
      </c>
      <c r="I1001" s="2">
        <v>29171.71</v>
      </c>
      <c r="J1001" s="2">
        <v>0</v>
      </c>
      <c r="K1001" s="2">
        <v>29171.71</v>
      </c>
      <c r="L1001" s="2">
        <v>19745.23</v>
      </c>
      <c r="M1001" s="2">
        <v>9426.48</v>
      </c>
      <c r="N1001" s="2" t="s">
        <v>21</v>
      </c>
      <c r="O1001" s="2" t="s">
        <v>40</v>
      </c>
    </row>
    <row r="1002" spans="1:15" x14ac:dyDescent="0.3">
      <c r="A1002" s="2" t="s">
        <v>110</v>
      </c>
      <c r="B1002" s="3">
        <v>45696</v>
      </c>
      <c r="C1002" s="2" t="s">
        <v>37</v>
      </c>
      <c r="D1002" s="2" t="s">
        <v>68</v>
      </c>
      <c r="E1002" s="2" t="s">
        <v>74</v>
      </c>
      <c r="F1002" s="2" t="s">
        <v>27</v>
      </c>
      <c r="G1002" s="2" t="s">
        <v>50</v>
      </c>
      <c r="H1002" s="2">
        <v>5</v>
      </c>
      <c r="I1002" s="2">
        <v>29876.03</v>
      </c>
      <c r="J1002" s="2">
        <v>0</v>
      </c>
      <c r="K1002" s="2">
        <v>149380.17000000001</v>
      </c>
      <c r="L1002" s="2">
        <v>110240.74</v>
      </c>
      <c r="M1002" s="2">
        <v>39139.43</v>
      </c>
      <c r="N1002" s="2" t="s">
        <v>21</v>
      </c>
      <c r="O1002" s="2" t="s">
        <v>45</v>
      </c>
    </row>
    <row r="1003" spans="1:15" x14ac:dyDescent="0.3">
      <c r="A1003" s="2" t="s">
        <v>1146</v>
      </c>
      <c r="B1003" s="3">
        <v>45753</v>
      </c>
      <c r="C1003" s="2" t="s">
        <v>37</v>
      </c>
      <c r="D1003" s="2" t="s">
        <v>38</v>
      </c>
      <c r="E1003" s="2" t="s">
        <v>26</v>
      </c>
      <c r="F1003" s="2" t="s">
        <v>27</v>
      </c>
      <c r="G1003" s="2" t="s">
        <v>50</v>
      </c>
      <c r="H1003" s="2">
        <v>1</v>
      </c>
      <c r="I1003" s="2">
        <v>29809.85</v>
      </c>
      <c r="J1003" s="2">
        <v>0.05</v>
      </c>
      <c r="K1003" s="2">
        <v>28319.360000000001</v>
      </c>
      <c r="L1003" s="2">
        <v>19957.25</v>
      </c>
      <c r="M1003" s="2">
        <v>8362.11</v>
      </c>
      <c r="N1003" s="2" t="s">
        <v>58</v>
      </c>
      <c r="O1003" s="2" t="s">
        <v>45</v>
      </c>
    </row>
    <row r="1004" spans="1:15" x14ac:dyDescent="0.3">
      <c r="A1004" s="2" t="s">
        <v>1147</v>
      </c>
      <c r="B1004" s="3">
        <v>45897</v>
      </c>
      <c r="C1004" s="2" t="s">
        <v>63</v>
      </c>
      <c r="D1004" s="2" t="s">
        <v>88</v>
      </c>
      <c r="E1004" s="2" t="s">
        <v>18</v>
      </c>
      <c r="F1004" s="2" t="s">
        <v>43</v>
      </c>
      <c r="G1004" s="2" t="s">
        <v>91</v>
      </c>
      <c r="H1004" s="2">
        <v>3</v>
      </c>
      <c r="I1004" s="2">
        <v>47813.41</v>
      </c>
      <c r="J1004" s="2">
        <v>0.05</v>
      </c>
      <c r="K1004" s="2">
        <v>136268.21</v>
      </c>
      <c r="L1004" s="2">
        <v>109705.81</v>
      </c>
      <c r="M1004" s="2">
        <v>26562.400000000001</v>
      </c>
      <c r="N1004" s="2" t="s">
        <v>21</v>
      </c>
      <c r="O1004" s="2" t="s">
        <v>40</v>
      </c>
    </row>
    <row r="1005" spans="1:15" x14ac:dyDescent="0.3">
      <c r="A1005" s="2" t="s">
        <v>1148</v>
      </c>
      <c r="B1005" s="3">
        <v>45993</v>
      </c>
      <c r="C1005" s="2" t="s">
        <v>37</v>
      </c>
      <c r="D1005" s="2" t="s">
        <v>25</v>
      </c>
      <c r="E1005" s="2" t="s">
        <v>74</v>
      </c>
      <c r="F1005" s="2" t="s">
        <v>34</v>
      </c>
      <c r="G1005" s="2" t="s">
        <v>80</v>
      </c>
      <c r="H1005" s="2">
        <v>1</v>
      </c>
      <c r="I1005" s="2">
        <v>4708.26</v>
      </c>
      <c r="J1005" s="2">
        <v>0.05</v>
      </c>
      <c r="K1005" s="2">
        <v>4472.84</v>
      </c>
      <c r="L1005" s="2">
        <v>2900.2</v>
      </c>
      <c r="M1005" s="2">
        <v>1572.64</v>
      </c>
      <c r="N1005" s="2" t="s">
        <v>58</v>
      </c>
      <c r="O1005" s="2" t="s">
        <v>59</v>
      </c>
    </row>
    <row r="1006" spans="1:15" x14ac:dyDescent="0.3">
      <c r="A1006" s="2" t="s">
        <v>1149</v>
      </c>
      <c r="B1006" s="3">
        <v>45842</v>
      </c>
      <c r="C1006" s="2" t="s">
        <v>16</v>
      </c>
      <c r="D1006" s="2" t="s">
        <v>52</v>
      </c>
      <c r="E1006" s="2" t="s">
        <v>65</v>
      </c>
      <c r="F1006" s="2" t="s">
        <v>19</v>
      </c>
      <c r="G1006" s="2" t="s">
        <v>102</v>
      </c>
      <c r="H1006" s="2">
        <v>1</v>
      </c>
      <c r="I1006" s="2">
        <v>262.61</v>
      </c>
      <c r="J1006" s="2">
        <v>0</v>
      </c>
      <c r="K1006" s="2">
        <v>262.61</v>
      </c>
      <c r="L1006" s="2">
        <v>202.08</v>
      </c>
      <c r="M1006" s="2">
        <v>60.53</v>
      </c>
      <c r="N1006" s="2" t="s">
        <v>29</v>
      </c>
      <c r="O1006" s="2" t="s">
        <v>30</v>
      </c>
    </row>
    <row r="1007" spans="1:15" x14ac:dyDescent="0.3">
      <c r="A1007" s="2" t="s">
        <v>1150</v>
      </c>
      <c r="B1007" s="3">
        <v>46014</v>
      </c>
      <c r="C1007" s="2" t="s">
        <v>54</v>
      </c>
      <c r="D1007" s="2" t="s">
        <v>124</v>
      </c>
      <c r="E1007" s="2" t="s">
        <v>49</v>
      </c>
      <c r="F1007" s="2" t="s">
        <v>43</v>
      </c>
      <c r="G1007" s="2" t="s">
        <v>121</v>
      </c>
      <c r="H1007" s="2">
        <v>6</v>
      </c>
      <c r="I1007" s="2">
        <v>4986.6499999999996</v>
      </c>
      <c r="J1007" s="2">
        <v>0.05</v>
      </c>
      <c r="K1007" s="2">
        <v>28423.9</v>
      </c>
      <c r="L1007" s="2">
        <v>18676.73</v>
      </c>
      <c r="M1007" s="2">
        <v>9747.17</v>
      </c>
      <c r="N1007" s="2" t="s">
        <v>21</v>
      </c>
      <c r="O1007" s="2" t="s">
        <v>30</v>
      </c>
    </row>
    <row r="1008" spans="1:15" x14ac:dyDescent="0.3">
      <c r="A1008" s="2" t="s">
        <v>1151</v>
      </c>
      <c r="B1008" s="3">
        <v>45764</v>
      </c>
      <c r="C1008" s="2" t="s">
        <v>63</v>
      </c>
      <c r="D1008" s="2" t="s">
        <v>117</v>
      </c>
      <c r="E1008" s="2" t="s">
        <v>74</v>
      </c>
      <c r="F1008" s="2" t="s">
        <v>19</v>
      </c>
      <c r="G1008" s="2" t="s">
        <v>20</v>
      </c>
      <c r="H1008" s="2">
        <v>6</v>
      </c>
      <c r="I1008" s="2">
        <v>681.53</v>
      </c>
      <c r="J1008" s="2">
        <v>0</v>
      </c>
      <c r="K1008" s="2">
        <v>4089.18</v>
      </c>
      <c r="L1008" s="2">
        <v>2818.06</v>
      </c>
      <c r="M1008" s="2">
        <v>1271.1199999999999</v>
      </c>
      <c r="N1008" s="2" t="s">
        <v>21</v>
      </c>
      <c r="O1008" s="2" t="s">
        <v>59</v>
      </c>
    </row>
    <row r="1009" spans="1:15" x14ac:dyDescent="0.3">
      <c r="A1009" s="2" t="s">
        <v>1152</v>
      </c>
      <c r="B1009" s="3">
        <v>46001</v>
      </c>
      <c r="C1009" s="2" t="s">
        <v>63</v>
      </c>
      <c r="D1009" s="2" t="s">
        <v>117</v>
      </c>
      <c r="E1009" s="2" t="s">
        <v>26</v>
      </c>
      <c r="F1009" s="2" t="s">
        <v>34</v>
      </c>
      <c r="G1009" s="2" t="s">
        <v>35</v>
      </c>
      <c r="H1009" s="2">
        <v>5</v>
      </c>
      <c r="I1009" s="2">
        <v>17989.349999999999</v>
      </c>
      <c r="J1009" s="2">
        <v>0.05</v>
      </c>
      <c r="K1009" s="2">
        <v>85449.43</v>
      </c>
      <c r="L1009" s="2">
        <v>68945.33</v>
      </c>
      <c r="M1009" s="2">
        <v>16504.099999999999</v>
      </c>
      <c r="N1009" s="2" t="s">
        <v>29</v>
      </c>
      <c r="O1009" s="2" t="s">
        <v>30</v>
      </c>
    </row>
    <row r="1010" spans="1:15" x14ac:dyDescent="0.3">
      <c r="A1010" s="2" t="s">
        <v>1153</v>
      </c>
      <c r="B1010" s="3">
        <v>45705</v>
      </c>
      <c r="C1010" s="2" t="s">
        <v>54</v>
      </c>
      <c r="D1010" s="2" t="s">
        <v>48</v>
      </c>
      <c r="E1010" s="2" t="s">
        <v>18</v>
      </c>
      <c r="F1010" s="2" t="s">
        <v>27</v>
      </c>
      <c r="G1010" s="2" t="s">
        <v>66</v>
      </c>
      <c r="H1010" s="2" t="s">
        <v>368</v>
      </c>
      <c r="I1010" s="2">
        <v>10771.1</v>
      </c>
      <c r="J1010" s="2">
        <v>0.03</v>
      </c>
      <c r="K1010" s="2">
        <v>83583.75</v>
      </c>
      <c r="L1010" s="2">
        <v>55440.52</v>
      </c>
      <c r="M1010" s="2">
        <v>28143.23</v>
      </c>
      <c r="N1010" s="2" t="s">
        <v>21</v>
      </c>
      <c r="O1010" s="2" t="s">
        <v>45</v>
      </c>
    </row>
    <row r="1011" spans="1:15" x14ac:dyDescent="0.3">
      <c r="A1011" s="2" t="s">
        <v>1154</v>
      </c>
      <c r="B1011" s="3">
        <v>45939</v>
      </c>
      <c r="C1011" s="2" t="s">
        <v>37</v>
      </c>
      <c r="D1011" s="2" t="s">
        <v>42</v>
      </c>
      <c r="E1011" s="2" t="s">
        <v>33</v>
      </c>
      <c r="F1011" s="2" t="s">
        <v>19</v>
      </c>
      <c r="G1011" s="2" t="s">
        <v>61</v>
      </c>
      <c r="H1011" s="2">
        <v>8</v>
      </c>
      <c r="I1011" s="2">
        <v>9423.4500000000007</v>
      </c>
      <c r="J1011" s="2">
        <v>0.15</v>
      </c>
      <c r="K1011" s="2">
        <v>64079.44</v>
      </c>
      <c r="L1011" s="2">
        <v>48545.71</v>
      </c>
      <c r="M1011" s="2">
        <v>15533.73</v>
      </c>
      <c r="N1011" s="2" t="s">
        <v>58</v>
      </c>
      <c r="O1011" s="2" t="s">
        <v>45</v>
      </c>
    </row>
    <row r="1012" spans="1:15" x14ac:dyDescent="0.3">
      <c r="A1012" s="2" t="s">
        <v>1155</v>
      </c>
      <c r="B1012" s="3">
        <v>45714</v>
      </c>
      <c r="C1012" s="2" t="s">
        <v>63</v>
      </c>
      <c r="D1012" s="2" t="s">
        <v>95</v>
      </c>
      <c r="E1012" s="2" t="s">
        <v>18</v>
      </c>
      <c r="F1012" s="2" t="s">
        <v>43</v>
      </c>
      <c r="G1012" s="2" t="s">
        <v>91</v>
      </c>
      <c r="H1012" s="2">
        <v>5</v>
      </c>
      <c r="I1012" s="2">
        <v>51301.96</v>
      </c>
      <c r="J1012" s="2">
        <v>0.05</v>
      </c>
      <c r="K1012" s="2">
        <v>243684.29</v>
      </c>
      <c r="L1012" s="2">
        <v>207432.9</v>
      </c>
      <c r="M1012" s="2">
        <v>36251.39</v>
      </c>
      <c r="N1012" s="2" t="s">
        <v>21</v>
      </c>
      <c r="O1012" s="2" t="s">
        <v>40</v>
      </c>
    </row>
    <row r="1013" spans="1:15" x14ac:dyDescent="0.3">
      <c r="A1013" s="2" t="s">
        <v>1156</v>
      </c>
      <c r="B1013" s="3">
        <v>45930</v>
      </c>
      <c r="C1013" s="2" t="s">
        <v>16</v>
      </c>
      <c r="D1013" s="2" t="s">
        <v>32</v>
      </c>
      <c r="E1013" s="2" t="s">
        <v>56</v>
      </c>
      <c r="F1013" s="2" t="s">
        <v>34</v>
      </c>
      <c r="G1013" s="2" t="s">
        <v>57</v>
      </c>
      <c r="H1013" s="2">
        <v>6</v>
      </c>
      <c r="I1013" s="2">
        <v>21829.27</v>
      </c>
      <c r="J1013" s="2">
        <v>0.1</v>
      </c>
      <c r="K1013" s="2">
        <v>117878.03</v>
      </c>
      <c r="L1013" s="2">
        <v>76550.53</v>
      </c>
      <c r="M1013" s="2">
        <v>41327.5</v>
      </c>
      <c r="N1013" s="2" t="s">
        <v>21</v>
      </c>
      <c r="O1013" s="2" t="s">
        <v>59</v>
      </c>
    </row>
    <row r="1014" spans="1:15" x14ac:dyDescent="0.3">
      <c r="A1014" s="2" t="s">
        <v>1157</v>
      </c>
      <c r="B1014" s="3">
        <v>46011</v>
      </c>
      <c r="C1014" s="2" t="s">
        <v>16</v>
      </c>
      <c r="D1014" s="2" t="s">
        <v>17</v>
      </c>
      <c r="E1014" s="2" t="s">
        <v>65</v>
      </c>
      <c r="F1014" s="2" t="s">
        <v>34</v>
      </c>
      <c r="G1014" s="2" t="s">
        <v>70</v>
      </c>
      <c r="H1014" s="2">
        <v>5</v>
      </c>
      <c r="I1014" s="2">
        <v>66424.2</v>
      </c>
      <c r="J1014" s="2">
        <v>0.03</v>
      </c>
      <c r="K1014" s="2">
        <v>322157.36</v>
      </c>
      <c r="L1014" s="2">
        <v>244499.69</v>
      </c>
      <c r="M1014" s="2">
        <v>77657.67</v>
      </c>
      <c r="N1014" s="2" t="s">
        <v>58</v>
      </c>
      <c r="O1014" s="2" t="s">
        <v>30</v>
      </c>
    </row>
    <row r="1015" spans="1:15" x14ac:dyDescent="0.3">
      <c r="A1015" s="2" t="s">
        <v>1158</v>
      </c>
      <c r="B1015" s="3">
        <v>45702</v>
      </c>
      <c r="C1015" s="2" t="s">
        <v>54</v>
      </c>
      <c r="D1015" s="2" t="s">
        <v>55</v>
      </c>
      <c r="E1015" s="2" t="s">
        <v>49</v>
      </c>
      <c r="F1015" s="2" t="s">
        <v>43</v>
      </c>
      <c r="G1015" s="2" t="s">
        <v>75</v>
      </c>
      <c r="H1015" s="2">
        <v>7</v>
      </c>
      <c r="I1015" s="2">
        <v>38607.35</v>
      </c>
      <c r="J1015" s="2">
        <v>0.05</v>
      </c>
      <c r="K1015" s="2">
        <v>256738.9</v>
      </c>
      <c r="L1015" s="2">
        <v>207666.53</v>
      </c>
      <c r="M1015" s="2">
        <v>49072.37</v>
      </c>
      <c r="N1015" s="2" t="s">
        <v>21</v>
      </c>
      <c r="O1015" s="2" t="s">
        <v>45</v>
      </c>
    </row>
    <row r="1016" spans="1:15" x14ac:dyDescent="0.3">
      <c r="A1016" s="2" t="s">
        <v>1159</v>
      </c>
      <c r="B1016" s="3">
        <v>45839</v>
      </c>
      <c r="C1016" s="2" t="s">
        <v>63</v>
      </c>
      <c r="D1016" s="2" t="s">
        <v>88</v>
      </c>
      <c r="E1016" s="2" t="s">
        <v>65</v>
      </c>
      <c r="F1016" s="2" t="s">
        <v>34</v>
      </c>
      <c r="G1016" s="2" t="s">
        <v>35</v>
      </c>
      <c r="H1016" s="2">
        <v>5</v>
      </c>
      <c r="I1016" s="2">
        <v>17393.330000000002</v>
      </c>
      <c r="J1016" s="2">
        <v>0.03</v>
      </c>
      <c r="K1016" s="2">
        <v>84357.67</v>
      </c>
      <c r="L1016" s="2">
        <v>59000.84</v>
      </c>
      <c r="M1016" s="2">
        <v>25356.83</v>
      </c>
      <c r="N1016" s="2" t="s">
        <v>58</v>
      </c>
      <c r="O1016" s="2" t="s">
        <v>59</v>
      </c>
    </row>
    <row r="1017" spans="1:15" x14ac:dyDescent="0.3">
      <c r="A1017" s="2" t="s">
        <v>1160</v>
      </c>
      <c r="B1017" s="3">
        <v>45859</v>
      </c>
      <c r="C1017" s="2" t="s">
        <v>16</v>
      </c>
      <c r="D1017" s="2" t="s">
        <v>32</v>
      </c>
      <c r="E1017" s="2" t="s">
        <v>74</v>
      </c>
      <c r="F1017" s="2" t="s">
        <v>19</v>
      </c>
      <c r="G1017" s="2" t="s">
        <v>61</v>
      </c>
      <c r="H1017" s="2">
        <v>4</v>
      </c>
      <c r="I1017" s="2">
        <v>9427.9</v>
      </c>
      <c r="J1017" s="2">
        <v>0.05</v>
      </c>
      <c r="K1017" s="2">
        <v>35826.03</v>
      </c>
      <c r="L1017" s="2">
        <v>24950.42</v>
      </c>
      <c r="M1017" s="2">
        <v>10875.61</v>
      </c>
      <c r="N1017" s="2" t="s">
        <v>58</v>
      </c>
      <c r="O1017" s="2" t="s">
        <v>45</v>
      </c>
    </row>
    <row r="1018" spans="1:15" x14ac:dyDescent="0.3">
      <c r="A1018" s="2" t="s">
        <v>1161</v>
      </c>
      <c r="B1018" s="3">
        <v>45774</v>
      </c>
      <c r="C1018" s="2" t="s">
        <v>54</v>
      </c>
      <c r="D1018" s="2" t="s">
        <v>174</v>
      </c>
      <c r="E1018" s="2" t="s">
        <v>65</v>
      </c>
      <c r="F1018" s="2" t="s">
        <v>19</v>
      </c>
      <c r="G1018" s="2" t="s">
        <v>106</v>
      </c>
      <c r="H1018" s="2">
        <v>6</v>
      </c>
      <c r="I1018" s="2">
        <v>14800.77</v>
      </c>
      <c r="J1018" s="2">
        <v>0</v>
      </c>
      <c r="K1018" s="2">
        <v>88804.6</v>
      </c>
      <c r="L1018" s="2">
        <v>62783.39</v>
      </c>
      <c r="M1018" s="2">
        <v>26021.21</v>
      </c>
      <c r="N1018" s="2" t="s">
        <v>58</v>
      </c>
      <c r="O1018" s="2" t="s">
        <v>59</v>
      </c>
    </row>
    <row r="1019" spans="1:15" x14ac:dyDescent="0.3">
      <c r="A1019" s="2" t="s">
        <v>1162</v>
      </c>
      <c r="B1019" s="3">
        <v>46011</v>
      </c>
      <c r="C1019" s="2" t="s">
        <v>63</v>
      </c>
      <c r="D1019" s="2" t="s">
        <v>95</v>
      </c>
      <c r="E1019" s="2" t="s">
        <v>33</v>
      </c>
      <c r="F1019" s="2" t="s">
        <v>34</v>
      </c>
      <c r="G1019" s="2" t="s">
        <v>57</v>
      </c>
      <c r="H1019" s="2">
        <v>3</v>
      </c>
      <c r="I1019" s="2">
        <v>23608.61</v>
      </c>
      <c r="J1019" s="2">
        <v>0</v>
      </c>
      <c r="K1019" s="2">
        <v>70825.83</v>
      </c>
      <c r="L1019" s="2">
        <v>51446.52</v>
      </c>
      <c r="M1019" s="2">
        <v>19379.310000000001</v>
      </c>
      <c r="N1019" s="2" t="s">
        <v>29</v>
      </c>
      <c r="O1019" s="2" t="s">
        <v>45</v>
      </c>
    </row>
    <row r="1020" spans="1:15" x14ac:dyDescent="0.3">
      <c r="A1020" s="2" t="s">
        <v>1163</v>
      </c>
      <c r="B1020" s="3">
        <v>45833</v>
      </c>
      <c r="C1020" s="2" t="s">
        <v>16</v>
      </c>
      <c r="D1020" s="2" t="s">
        <v>32</v>
      </c>
      <c r="E1020" s="2" t="s">
        <v>18</v>
      </c>
      <c r="F1020" s="2" t="s">
        <v>34</v>
      </c>
      <c r="G1020" s="2" t="s">
        <v>35</v>
      </c>
      <c r="H1020" s="2">
        <v>7</v>
      </c>
      <c r="I1020" s="2">
        <v>17458.560000000001</v>
      </c>
      <c r="J1020" s="2">
        <v>0.1</v>
      </c>
      <c r="K1020" s="2">
        <v>109988.95</v>
      </c>
      <c r="L1020" s="2">
        <v>91169.41</v>
      </c>
      <c r="M1020" s="2">
        <v>18819.54</v>
      </c>
      <c r="N1020" s="2" t="s">
        <v>21</v>
      </c>
      <c r="O1020" s="2" t="s">
        <v>30</v>
      </c>
    </row>
    <row r="1021" spans="1:15" x14ac:dyDescent="0.3">
      <c r="A1021" s="2" t="s">
        <v>1164</v>
      </c>
      <c r="B1021" s="3">
        <v>45846</v>
      </c>
      <c r="C1021" s="2" t="s">
        <v>443</v>
      </c>
      <c r="D1021" s="2" t="s">
        <v>95</v>
      </c>
      <c r="E1021" s="2" t="s">
        <v>33</v>
      </c>
      <c r="F1021" s="2" t="s">
        <v>43</v>
      </c>
      <c r="G1021" s="2" t="s">
        <v>91</v>
      </c>
      <c r="H1021" s="2">
        <v>1</v>
      </c>
      <c r="I1021" s="2">
        <v>50746.8</v>
      </c>
      <c r="J1021" s="2">
        <v>0.1</v>
      </c>
      <c r="K1021" s="2">
        <v>45672.12</v>
      </c>
      <c r="L1021" s="2">
        <v>38693.870000000003</v>
      </c>
      <c r="M1021" s="2">
        <v>6978.25</v>
      </c>
      <c r="N1021" s="2" t="s">
        <v>21</v>
      </c>
      <c r="O1021" s="2" t="s">
        <v>40</v>
      </c>
    </row>
    <row r="1022" spans="1:15" x14ac:dyDescent="0.3">
      <c r="A1022" s="2" t="s">
        <v>1165</v>
      </c>
      <c r="B1022" s="3">
        <v>45725</v>
      </c>
      <c r="C1022" s="2" t="s">
        <v>37</v>
      </c>
      <c r="D1022" s="2" t="s">
        <v>42</v>
      </c>
      <c r="E1022" s="2" t="s">
        <v>74</v>
      </c>
      <c r="F1022" s="2" t="s">
        <v>19</v>
      </c>
      <c r="G1022" s="2" t="s">
        <v>106</v>
      </c>
      <c r="H1022" s="2">
        <v>7</v>
      </c>
      <c r="I1022" s="2">
        <v>13590.24</v>
      </c>
      <c r="J1022" s="2">
        <v>0.1</v>
      </c>
      <c r="K1022" s="2">
        <v>85618.54</v>
      </c>
      <c r="L1022" s="2">
        <v>60655.96</v>
      </c>
      <c r="M1022" s="2">
        <v>24962.58</v>
      </c>
      <c r="N1022" s="2" t="s">
        <v>58</v>
      </c>
      <c r="O1022" s="2" t="s">
        <v>22</v>
      </c>
    </row>
    <row r="1023" spans="1:15" x14ac:dyDescent="0.3">
      <c r="A1023" s="2" t="s">
        <v>1166</v>
      </c>
      <c r="B1023" s="3">
        <v>45902</v>
      </c>
      <c r="C1023" s="2" t="s">
        <v>63</v>
      </c>
      <c r="D1023" s="2" t="s">
        <v>95</v>
      </c>
      <c r="E1023" s="2" t="s">
        <v>26</v>
      </c>
      <c r="F1023" s="2" t="s">
        <v>43</v>
      </c>
      <c r="G1023" s="2" t="s">
        <v>75</v>
      </c>
      <c r="H1023" s="2">
        <v>3</v>
      </c>
      <c r="I1023" s="2">
        <v>36717.68</v>
      </c>
      <c r="J1023" s="2">
        <v>0.05</v>
      </c>
      <c r="K1023" s="2">
        <v>104645.39</v>
      </c>
      <c r="L1023" s="2">
        <v>78949.740000000005</v>
      </c>
      <c r="M1023" s="2">
        <v>25695.65</v>
      </c>
      <c r="N1023" s="2" t="s">
        <v>21</v>
      </c>
      <c r="O1023" s="2" t="s">
        <v>59</v>
      </c>
    </row>
    <row r="1024" spans="1:15" x14ac:dyDescent="0.3">
      <c r="A1024" s="2" t="s">
        <v>1167</v>
      </c>
      <c r="B1024" s="3">
        <v>45876</v>
      </c>
      <c r="C1024" s="2" t="s">
        <v>37</v>
      </c>
      <c r="D1024" s="2" t="s">
        <v>42</v>
      </c>
      <c r="E1024" s="2" t="s">
        <v>18</v>
      </c>
      <c r="F1024" s="2" t="s">
        <v>27</v>
      </c>
      <c r="G1024" s="2" t="s">
        <v>28</v>
      </c>
      <c r="H1024" s="2">
        <v>3</v>
      </c>
      <c r="I1024" s="2">
        <v>26441.62</v>
      </c>
      <c r="J1024" s="2">
        <v>0.1</v>
      </c>
      <c r="K1024" s="2">
        <v>71392.38</v>
      </c>
      <c r="L1024" s="2">
        <v>59560.59</v>
      </c>
      <c r="M1024" s="2">
        <v>11831.79</v>
      </c>
      <c r="N1024" s="2" t="s">
        <v>21</v>
      </c>
      <c r="O1024" s="2" t="s">
        <v>30</v>
      </c>
    </row>
    <row r="1025" spans="1:15" x14ac:dyDescent="0.3">
      <c r="A1025" s="2" t="s">
        <v>1168</v>
      </c>
      <c r="B1025" s="3">
        <v>45943</v>
      </c>
      <c r="C1025" s="2" t="s">
        <v>16</v>
      </c>
      <c r="D1025" s="2" t="s">
        <v>32</v>
      </c>
      <c r="E1025" s="2" t="s">
        <v>344</v>
      </c>
      <c r="F1025" s="2" t="s">
        <v>43</v>
      </c>
      <c r="G1025" s="2" t="s">
        <v>84</v>
      </c>
      <c r="H1025" s="2">
        <v>2</v>
      </c>
      <c r="I1025" s="2">
        <v>40956.97</v>
      </c>
      <c r="J1025" s="2">
        <v>0.1</v>
      </c>
      <c r="K1025" s="2">
        <v>73722.539999999994</v>
      </c>
      <c r="L1025" s="2">
        <v>50865.9</v>
      </c>
      <c r="M1025" s="2">
        <v>22856.639999999999</v>
      </c>
      <c r="N1025" s="2" t="s">
        <v>58</v>
      </c>
      <c r="O1025" s="2" t="s">
        <v>45</v>
      </c>
    </row>
    <row r="1026" spans="1:15" x14ac:dyDescent="0.3">
      <c r="A1026" s="2" t="s">
        <v>1169</v>
      </c>
      <c r="B1026" s="3">
        <v>45964</v>
      </c>
      <c r="C1026" s="2" t="s">
        <v>54</v>
      </c>
      <c r="D1026" s="2" t="s">
        <v>124</v>
      </c>
      <c r="E1026" s="2" t="s">
        <v>69</v>
      </c>
      <c r="F1026" s="2" t="s">
        <v>34</v>
      </c>
      <c r="G1026" s="2" t="s">
        <v>57</v>
      </c>
      <c r="H1026" s="2">
        <v>3</v>
      </c>
      <c r="I1026" s="2">
        <v>20650.439999999999</v>
      </c>
      <c r="J1026" s="2">
        <v>0.05</v>
      </c>
      <c r="K1026" s="2">
        <v>58853.760000000002</v>
      </c>
      <c r="L1026" s="2">
        <v>36848.769999999997</v>
      </c>
      <c r="M1026" s="2">
        <v>22004.99</v>
      </c>
      <c r="N1026" s="2" t="s">
        <v>58</v>
      </c>
      <c r="O1026" s="2" t="s">
        <v>45</v>
      </c>
    </row>
    <row r="1027" spans="1:15" x14ac:dyDescent="0.3">
      <c r="A1027" s="2" t="s">
        <v>1170</v>
      </c>
      <c r="B1027" s="3">
        <v>46002</v>
      </c>
      <c r="C1027" s="2" t="s">
        <v>16</v>
      </c>
      <c r="D1027" s="2" t="s">
        <v>17</v>
      </c>
      <c r="E1027" s="2" t="s">
        <v>18</v>
      </c>
      <c r="F1027" s="2" t="s">
        <v>43</v>
      </c>
      <c r="G1027" s="2" t="s">
        <v>91</v>
      </c>
      <c r="H1027" s="2">
        <v>2</v>
      </c>
      <c r="I1027" s="2">
        <v>46779.01</v>
      </c>
      <c r="J1027" s="2">
        <v>0.03</v>
      </c>
      <c r="K1027" s="2">
        <v>90751.28</v>
      </c>
      <c r="L1027" s="2">
        <v>74151.789999999994</v>
      </c>
      <c r="M1027" s="2">
        <v>16599.490000000002</v>
      </c>
      <c r="N1027" s="2" t="s">
        <v>58</v>
      </c>
      <c r="O1027" s="2" t="s">
        <v>45</v>
      </c>
    </row>
    <row r="1028" spans="1:15" x14ac:dyDescent="0.3">
      <c r="A1028" s="2" t="s">
        <v>1171</v>
      </c>
      <c r="B1028" s="3">
        <v>45822</v>
      </c>
      <c r="C1028" s="2" t="s">
        <v>63</v>
      </c>
      <c r="D1028" s="2" t="s">
        <v>64</v>
      </c>
      <c r="E1028" s="2" t="s">
        <v>18</v>
      </c>
      <c r="F1028" s="2" t="s">
        <v>43</v>
      </c>
      <c r="G1028" s="2" t="s">
        <v>91</v>
      </c>
      <c r="H1028" s="2">
        <v>5</v>
      </c>
      <c r="I1028" s="2">
        <v>49865.54</v>
      </c>
      <c r="J1028" s="2">
        <v>0.1</v>
      </c>
      <c r="K1028" s="2">
        <v>224394.93</v>
      </c>
      <c r="L1028" s="2">
        <v>183199.75</v>
      </c>
      <c r="M1028" s="2">
        <v>41195.18</v>
      </c>
      <c r="N1028" s="2" t="s">
        <v>21</v>
      </c>
      <c r="O1028" s="2" t="s">
        <v>40</v>
      </c>
    </row>
    <row r="1029" spans="1:15" x14ac:dyDescent="0.3">
      <c r="A1029" s="2" t="s">
        <v>1172</v>
      </c>
      <c r="B1029" s="3">
        <v>45973</v>
      </c>
      <c r="C1029" s="2" t="s">
        <v>54</v>
      </c>
      <c r="D1029" s="2" t="s">
        <v>174</v>
      </c>
      <c r="E1029" s="2" t="s">
        <v>18</v>
      </c>
      <c r="F1029" s="2" t="s">
        <v>34</v>
      </c>
      <c r="G1029" s="2" t="s">
        <v>57</v>
      </c>
      <c r="H1029" s="2">
        <v>7</v>
      </c>
      <c r="I1029" s="2">
        <v>20440.080000000002</v>
      </c>
      <c r="J1029" s="2">
        <v>0.15</v>
      </c>
      <c r="K1029" s="2">
        <v>121618.47</v>
      </c>
      <c r="L1029" s="2">
        <v>92578.9</v>
      </c>
      <c r="M1029" s="2">
        <v>29039.57</v>
      </c>
      <c r="N1029" s="2" t="s">
        <v>29</v>
      </c>
      <c r="O1029" s="2" t="s">
        <v>30</v>
      </c>
    </row>
    <row r="1030" spans="1:15" x14ac:dyDescent="0.3">
      <c r="A1030" s="2" t="s">
        <v>1173</v>
      </c>
      <c r="B1030" s="3">
        <v>45754</v>
      </c>
      <c r="C1030" s="2" t="s">
        <v>16</v>
      </c>
      <c r="D1030" s="2" t="s">
        <v>32</v>
      </c>
      <c r="E1030" s="2" t="s">
        <v>74</v>
      </c>
      <c r="F1030" s="2" t="s">
        <v>34</v>
      </c>
      <c r="G1030" s="2" t="s">
        <v>35</v>
      </c>
      <c r="H1030" s="2">
        <v>8</v>
      </c>
      <c r="I1030" s="2">
        <v>17631.34</v>
      </c>
      <c r="J1030" s="2">
        <v>0.1</v>
      </c>
      <c r="K1030" s="2">
        <v>126945.68</v>
      </c>
      <c r="L1030" s="2">
        <v>103930.29</v>
      </c>
      <c r="M1030" s="2">
        <v>23015.39</v>
      </c>
      <c r="N1030" s="2" t="s">
        <v>21</v>
      </c>
      <c r="O1030" s="2" t="s">
        <v>30</v>
      </c>
    </row>
    <row r="1031" spans="1:15" x14ac:dyDescent="0.3">
      <c r="A1031" s="2" t="s">
        <v>1174</v>
      </c>
      <c r="B1031" s="3">
        <v>45999</v>
      </c>
      <c r="C1031" s="2" t="s">
        <v>16</v>
      </c>
      <c r="D1031" s="2" t="s">
        <v>82</v>
      </c>
      <c r="E1031" s="2" t="s">
        <v>56</v>
      </c>
      <c r="F1031" s="2" t="s">
        <v>43</v>
      </c>
      <c r="G1031" s="2" t="s">
        <v>75</v>
      </c>
      <c r="H1031" s="2">
        <v>8</v>
      </c>
      <c r="I1031" s="2">
        <v>38772.949999999997</v>
      </c>
      <c r="J1031" s="2">
        <v>0.05</v>
      </c>
      <c r="K1031" s="2">
        <v>294674.45</v>
      </c>
      <c r="L1031" s="2">
        <v>232417.87</v>
      </c>
      <c r="M1031" s="2">
        <v>62256.58</v>
      </c>
      <c r="N1031" s="2" t="s">
        <v>21</v>
      </c>
      <c r="O1031" s="2" t="s">
        <v>30</v>
      </c>
    </row>
    <row r="1032" spans="1:15" x14ac:dyDescent="0.3">
      <c r="A1032" s="2" t="s">
        <v>1175</v>
      </c>
      <c r="B1032" s="3">
        <v>45979</v>
      </c>
      <c r="C1032" s="2" t="s">
        <v>63</v>
      </c>
      <c r="D1032" s="2" t="s">
        <v>117</v>
      </c>
      <c r="E1032" s="2" t="s">
        <v>56</v>
      </c>
      <c r="F1032" s="2" t="s">
        <v>43</v>
      </c>
      <c r="G1032" s="2" t="s">
        <v>121</v>
      </c>
      <c r="H1032" s="2">
        <v>3</v>
      </c>
      <c r="I1032" s="2">
        <v>4827.88</v>
      </c>
      <c r="J1032" s="2">
        <v>0</v>
      </c>
      <c r="K1032" s="2">
        <v>14483.65</v>
      </c>
      <c r="L1032" s="2">
        <v>11152.48</v>
      </c>
      <c r="M1032" s="2">
        <v>3331.17</v>
      </c>
      <c r="N1032" s="2" t="s">
        <v>21</v>
      </c>
      <c r="O1032" s="2" t="s">
        <v>59</v>
      </c>
    </row>
    <row r="1033" spans="1:15" x14ac:dyDescent="0.3">
      <c r="A1033" s="2" t="s">
        <v>1176</v>
      </c>
      <c r="B1033" s="3">
        <v>46020</v>
      </c>
      <c r="C1033" s="2" t="s">
        <v>63</v>
      </c>
      <c r="D1033" s="2" t="s">
        <v>64</v>
      </c>
      <c r="E1033" s="2" t="s">
        <v>26</v>
      </c>
      <c r="F1033" s="2" t="s">
        <v>27</v>
      </c>
      <c r="G1033" s="2" t="s">
        <v>50</v>
      </c>
      <c r="H1033" s="2">
        <v>3</v>
      </c>
      <c r="I1033" s="2">
        <v>32353.8</v>
      </c>
      <c r="J1033" s="2">
        <v>0.08</v>
      </c>
      <c r="K1033" s="2">
        <v>89296.48</v>
      </c>
      <c r="L1033" s="2">
        <v>69155.28</v>
      </c>
      <c r="M1033" s="2">
        <v>20141.2</v>
      </c>
      <c r="N1033" s="2" t="s">
        <v>21</v>
      </c>
      <c r="O1033" s="2" t="s">
        <v>45</v>
      </c>
    </row>
    <row r="1034" spans="1:15" x14ac:dyDescent="0.3">
      <c r="A1034" s="2" t="s">
        <v>1177</v>
      </c>
      <c r="B1034" s="3">
        <v>46013</v>
      </c>
      <c r="C1034" s="2" t="s">
        <v>37</v>
      </c>
      <c r="D1034" s="2" t="s">
        <v>25</v>
      </c>
      <c r="E1034" s="2" t="s">
        <v>74</v>
      </c>
      <c r="F1034" s="2" t="s">
        <v>34</v>
      </c>
      <c r="G1034" s="2" t="s">
        <v>70</v>
      </c>
      <c r="H1034" s="2">
        <v>4</v>
      </c>
      <c r="I1034" s="2">
        <v>64321.94</v>
      </c>
      <c r="J1034" s="2">
        <v>0.03</v>
      </c>
      <c r="K1034" s="2">
        <v>249569.11</v>
      </c>
      <c r="L1034" s="2">
        <v>161175.41</v>
      </c>
      <c r="M1034" s="2">
        <v>88393.7</v>
      </c>
      <c r="N1034" s="2" t="s">
        <v>21</v>
      </c>
      <c r="O1034" s="2" t="s">
        <v>40</v>
      </c>
    </row>
    <row r="1035" spans="1:15" x14ac:dyDescent="0.3">
      <c r="A1035" s="2" t="s">
        <v>1178</v>
      </c>
      <c r="B1035" s="3">
        <v>46006</v>
      </c>
      <c r="C1035" s="2" t="s">
        <v>37</v>
      </c>
      <c r="D1035" s="2" t="s">
        <v>25</v>
      </c>
      <c r="E1035" s="2" t="s">
        <v>26</v>
      </c>
      <c r="F1035" s="2" t="s">
        <v>19</v>
      </c>
      <c r="G1035" s="2" t="s">
        <v>61</v>
      </c>
      <c r="H1035" s="2">
        <v>5</v>
      </c>
      <c r="I1035" s="2">
        <v>8955.7999999999993</v>
      </c>
      <c r="J1035" s="2">
        <v>0.1</v>
      </c>
      <c r="K1035" s="2">
        <v>40301.08</v>
      </c>
      <c r="L1035" s="2">
        <v>28832.28</v>
      </c>
      <c r="M1035" s="2">
        <v>11468.8</v>
      </c>
      <c r="N1035" s="2" t="s">
        <v>21</v>
      </c>
      <c r="O1035" s="2" t="s">
        <v>40</v>
      </c>
    </row>
    <row r="1036" spans="1:15" x14ac:dyDescent="0.3">
      <c r="A1036" s="2" t="s">
        <v>1179</v>
      </c>
      <c r="B1036" s="3">
        <v>45873</v>
      </c>
      <c r="C1036" s="2" t="s">
        <v>54</v>
      </c>
      <c r="D1036" s="2" t="s">
        <v>55</v>
      </c>
      <c r="E1036" s="2" t="s">
        <v>498</v>
      </c>
      <c r="F1036" s="2" t="s">
        <v>27</v>
      </c>
      <c r="G1036" s="2" t="s">
        <v>125</v>
      </c>
      <c r="H1036" s="2">
        <v>2</v>
      </c>
      <c r="I1036" s="2">
        <v>8061.31</v>
      </c>
      <c r="J1036" s="2">
        <v>0.05</v>
      </c>
      <c r="K1036" s="2">
        <v>15316.48</v>
      </c>
      <c r="L1036" s="2">
        <v>11314.34</v>
      </c>
      <c r="M1036" s="2">
        <v>4002.14</v>
      </c>
      <c r="N1036" s="2" t="s">
        <v>58</v>
      </c>
      <c r="O1036" s="2" t="s">
        <v>45</v>
      </c>
    </row>
    <row r="1037" spans="1:15" x14ac:dyDescent="0.3">
      <c r="A1037" s="2" t="s">
        <v>1180</v>
      </c>
      <c r="B1037" s="3">
        <v>45740</v>
      </c>
      <c r="C1037" s="2" t="s">
        <v>37</v>
      </c>
      <c r="D1037" s="2" t="s">
        <v>25</v>
      </c>
      <c r="E1037" s="2" t="s">
        <v>26</v>
      </c>
      <c r="F1037" s="2" t="s">
        <v>43</v>
      </c>
      <c r="G1037" s="2" t="s">
        <v>84</v>
      </c>
      <c r="H1037" s="2">
        <v>1</v>
      </c>
      <c r="I1037" s="2">
        <v>41700.050000000003</v>
      </c>
      <c r="J1037" s="2">
        <v>0.1</v>
      </c>
      <c r="K1037" s="2">
        <v>37530.04</v>
      </c>
      <c r="L1037" s="2">
        <v>30727.13</v>
      </c>
      <c r="M1037" s="2">
        <v>6802.91</v>
      </c>
      <c r="N1037" s="2" t="s">
        <v>21</v>
      </c>
      <c r="O1037" s="2" t="s">
        <v>22</v>
      </c>
    </row>
    <row r="1038" spans="1:15" x14ac:dyDescent="0.3">
      <c r="A1038" s="2" t="s">
        <v>1181</v>
      </c>
      <c r="B1038" s="3">
        <v>45855</v>
      </c>
      <c r="C1038" s="2" t="s">
        <v>37</v>
      </c>
      <c r="D1038" s="2" t="s">
        <v>68</v>
      </c>
      <c r="E1038" s="2" t="s">
        <v>49</v>
      </c>
      <c r="F1038" s="2" t="s">
        <v>43</v>
      </c>
      <c r="G1038" s="2" t="s">
        <v>75</v>
      </c>
      <c r="H1038" s="2">
        <v>8</v>
      </c>
      <c r="I1038" s="2">
        <v>38152.35</v>
      </c>
      <c r="J1038" s="2">
        <v>0.05</v>
      </c>
      <c r="K1038" s="2">
        <v>289957.90000000002</v>
      </c>
      <c r="L1038" s="2">
        <v>181248.66</v>
      </c>
      <c r="M1038" s="2">
        <v>108709.24</v>
      </c>
      <c r="N1038" s="2" t="s">
        <v>29</v>
      </c>
      <c r="O1038" s="2" t="s">
        <v>22</v>
      </c>
    </row>
    <row r="1039" spans="1:15" x14ac:dyDescent="0.3">
      <c r="A1039" s="2" t="s">
        <v>1182</v>
      </c>
      <c r="B1039" s="3">
        <v>45889</v>
      </c>
      <c r="C1039" s="2" t="s">
        <v>37</v>
      </c>
      <c r="D1039" s="2" t="s">
        <v>25</v>
      </c>
      <c r="E1039" s="2" t="s">
        <v>18</v>
      </c>
      <c r="F1039" s="2" t="s">
        <v>43</v>
      </c>
      <c r="G1039" s="2" t="s">
        <v>75</v>
      </c>
      <c r="H1039" s="2">
        <v>3</v>
      </c>
      <c r="I1039" s="2">
        <v>35486.910000000003</v>
      </c>
      <c r="J1039" s="2">
        <v>0.05</v>
      </c>
      <c r="K1039" s="2">
        <v>101137.69</v>
      </c>
      <c r="L1039" s="2">
        <v>68784.39</v>
      </c>
      <c r="M1039" s="2">
        <v>32353.3</v>
      </c>
      <c r="N1039" s="2" t="s">
        <v>21</v>
      </c>
      <c r="O1039" s="2" t="s">
        <v>22</v>
      </c>
    </row>
    <row r="1040" spans="1:15" x14ac:dyDescent="0.3">
      <c r="A1040" s="2" t="s">
        <v>1183</v>
      </c>
      <c r="B1040" s="3">
        <v>45665</v>
      </c>
      <c r="C1040" s="2" t="s">
        <v>54</v>
      </c>
      <c r="D1040" s="2" t="s">
        <v>55</v>
      </c>
      <c r="E1040" s="2" t="s">
        <v>26</v>
      </c>
      <c r="F1040" s="2" t="s">
        <v>34</v>
      </c>
      <c r="G1040" s="2" t="s">
        <v>70</v>
      </c>
      <c r="H1040" s="2">
        <v>5</v>
      </c>
      <c r="I1040" s="2">
        <v>66356.17</v>
      </c>
      <c r="J1040" s="2">
        <v>0.03</v>
      </c>
      <c r="K1040" s="2">
        <v>321827.42</v>
      </c>
      <c r="L1040" s="2">
        <v>200967.38</v>
      </c>
      <c r="M1040" s="2">
        <v>120860.04</v>
      </c>
      <c r="N1040" s="2" t="s">
        <v>21</v>
      </c>
      <c r="O1040" s="2" t="s">
        <v>45</v>
      </c>
    </row>
    <row r="1041" spans="1:15" x14ac:dyDescent="0.3">
      <c r="A1041" s="2" t="s">
        <v>1184</v>
      </c>
      <c r="B1041" s="3">
        <v>45708</v>
      </c>
      <c r="C1041" s="2" t="s">
        <v>54</v>
      </c>
      <c r="D1041" s="2" t="s">
        <v>124</v>
      </c>
      <c r="E1041" s="2" t="s">
        <v>65</v>
      </c>
      <c r="F1041" s="2" t="s">
        <v>19</v>
      </c>
      <c r="G1041" s="2" t="s">
        <v>106</v>
      </c>
      <c r="H1041" s="2">
        <v>7</v>
      </c>
      <c r="I1041" s="2">
        <v>13404.6</v>
      </c>
      <c r="J1041" s="2">
        <v>0.05</v>
      </c>
      <c r="K1041" s="2">
        <v>89140.56</v>
      </c>
      <c r="L1041" s="2">
        <v>58949.01</v>
      </c>
      <c r="M1041" s="2">
        <v>30191.55</v>
      </c>
      <c r="N1041" s="2" t="s">
        <v>21</v>
      </c>
      <c r="O1041" s="2" t="s">
        <v>45</v>
      </c>
    </row>
    <row r="1042" spans="1:15" x14ac:dyDescent="0.3">
      <c r="A1042" s="2" t="s">
        <v>1185</v>
      </c>
      <c r="B1042" s="3">
        <v>45920</v>
      </c>
      <c r="C1042" s="2" t="s">
        <v>54</v>
      </c>
      <c r="D1042" s="2" t="s">
        <v>55</v>
      </c>
      <c r="E1042" s="2" t="s">
        <v>69</v>
      </c>
      <c r="F1042" s="2" t="s">
        <v>19</v>
      </c>
      <c r="G1042" s="2" t="s">
        <v>20</v>
      </c>
      <c r="H1042" s="2">
        <v>5</v>
      </c>
      <c r="I1042" s="2">
        <v>700.59</v>
      </c>
      <c r="J1042" s="2">
        <v>0.1</v>
      </c>
      <c r="K1042" s="2">
        <v>3152.63</v>
      </c>
      <c r="L1042" s="2">
        <v>2469.84</v>
      </c>
      <c r="M1042" s="2">
        <v>682.79</v>
      </c>
      <c r="N1042" s="2" t="s">
        <v>29</v>
      </c>
      <c r="O1042" s="2" t="s">
        <v>45</v>
      </c>
    </row>
    <row r="1043" spans="1:15" x14ac:dyDescent="0.3">
      <c r="A1043" s="2" t="s">
        <v>1186</v>
      </c>
      <c r="B1043" s="3">
        <v>46014</v>
      </c>
      <c r="C1043" s="2" t="s">
        <v>54</v>
      </c>
      <c r="D1043" s="2" t="s">
        <v>124</v>
      </c>
      <c r="E1043" s="2" t="s">
        <v>74</v>
      </c>
      <c r="F1043" s="2" t="s">
        <v>43</v>
      </c>
      <c r="G1043" s="2" t="s">
        <v>91</v>
      </c>
      <c r="H1043" s="2">
        <v>1</v>
      </c>
      <c r="I1043" s="2">
        <v>49577.32</v>
      </c>
      <c r="J1043" s="2">
        <v>0.03</v>
      </c>
      <c r="K1043" s="2">
        <v>48090</v>
      </c>
      <c r="L1043" s="2">
        <v>33081.47</v>
      </c>
      <c r="M1043" s="2">
        <v>15008.53</v>
      </c>
      <c r="N1043" s="2" t="s">
        <v>58</v>
      </c>
      <c r="O1043" s="2" t="s">
        <v>45</v>
      </c>
    </row>
    <row r="1044" spans="1:15" x14ac:dyDescent="0.3">
      <c r="A1044" s="2" t="s">
        <v>1187</v>
      </c>
      <c r="B1044" s="3">
        <v>45870</v>
      </c>
      <c r="C1044" s="2" t="s">
        <v>54</v>
      </c>
      <c r="D1044" s="2" t="s">
        <v>124</v>
      </c>
      <c r="E1044" s="2" t="s">
        <v>65</v>
      </c>
      <c r="F1044" s="2" t="s">
        <v>43</v>
      </c>
      <c r="G1044" s="2" t="s">
        <v>84</v>
      </c>
      <c r="H1044" s="2">
        <v>3</v>
      </c>
      <c r="I1044" s="2">
        <v>42720.58</v>
      </c>
      <c r="J1044" s="2">
        <v>0.05</v>
      </c>
      <c r="K1044" s="2">
        <v>121753.66</v>
      </c>
      <c r="L1044" s="2">
        <v>86580.42</v>
      </c>
      <c r="M1044" s="2">
        <v>35173.24</v>
      </c>
      <c r="N1044" s="2" t="s">
        <v>21</v>
      </c>
      <c r="O1044" s="2" t="s">
        <v>22</v>
      </c>
    </row>
    <row r="1045" spans="1:15" x14ac:dyDescent="0.3">
      <c r="A1045" s="2" t="s">
        <v>1188</v>
      </c>
      <c r="B1045" s="3">
        <v>45763</v>
      </c>
      <c r="C1045" s="2" t="s">
        <v>63</v>
      </c>
      <c r="D1045" s="2" t="s">
        <v>64</v>
      </c>
      <c r="E1045" s="2" t="s">
        <v>98</v>
      </c>
      <c r="F1045" s="2" t="s">
        <v>27</v>
      </c>
      <c r="G1045" s="2" t="s">
        <v>50</v>
      </c>
      <c r="H1045" s="2">
        <v>3</v>
      </c>
      <c r="I1045" s="2">
        <v>29265.83</v>
      </c>
      <c r="J1045" s="2">
        <v>0.05</v>
      </c>
      <c r="K1045" s="2">
        <v>83407.600000000006</v>
      </c>
      <c r="L1045" s="2">
        <v>52051.44</v>
      </c>
      <c r="M1045" s="2">
        <v>31356.16</v>
      </c>
      <c r="N1045" s="2" t="s">
        <v>21</v>
      </c>
      <c r="O1045" s="2" t="s">
        <v>40</v>
      </c>
    </row>
    <row r="1046" spans="1:15" x14ac:dyDescent="0.3">
      <c r="A1046" s="2" t="s">
        <v>1189</v>
      </c>
      <c r="B1046" s="3">
        <v>45979</v>
      </c>
      <c r="C1046" s="2" t="s">
        <v>16</v>
      </c>
      <c r="D1046" s="2" t="s">
        <v>32</v>
      </c>
      <c r="E1046" s="2" t="s">
        <v>74</v>
      </c>
      <c r="F1046" s="2" t="s">
        <v>43</v>
      </c>
      <c r="G1046" s="2" t="s">
        <v>84</v>
      </c>
      <c r="H1046" s="2">
        <v>4</v>
      </c>
      <c r="I1046" s="2">
        <v>43680.41</v>
      </c>
      <c r="J1046" s="2">
        <v>0</v>
      </c>
      <c r="K1046" s="2">
        <v>174721.65</v>
      </c>
      <c r="L1046" s="2">
        <v>143511.44</v>
      </c>
      <c r="M1046" s="2">
        <v>31210.21</v>
      </c>
      <c r="N1046" s="2" t="s">
        <v>29</v>
      </c>
      <c r="O1046" s="2" t="s">
        <v>30</v>
      </c>
    </row>
    <row r="1047" spans="1:15" x14ac:dyDescent="0.3">
      <c r="A1047" s="2" t="s">
        <v>1190</v>
      </c>
      <c r="B1047" s="3">
        <v>45904</v>
      </c>
      <c r="C1047" s="2" t="s">
        <v>54</v>
      </c>
      <c r="D1047" s="2" t="s">
        <v>55</v>
      </c>
      <c r="E1047" s="2" t="s">
        <v>33</v>
      </c>
      <c r="F1047" s="2" t="s">
        <v>27</v>
      </c>
      <c r="G1047" s="2" t="s">
        <v>89</v>
      </c>
      <c r="H1047" s="2">
        <v>2</v>
      </c>
      <c r="I1047" s="2">
        <v>30646.5</v>
      </c>
      <c r="J1047" s="2">
        <v>0.1</v>
      </c>
      <c r="K1047" s="2">
        <v>55163.7</v>
      </c>
      <c r="L1047" s="2">
        <v>36641.03</v>
      </c>
      <c r="M1047" s="2">
        <v>18522.669999999998</v>
      </c>
      <c r="N1047" s="2" t="s">
        <v>21</v>
      </c>
      <c r="O1047" s="2" t="s">
        <v>40</v>
      </c>
    </row>
    <row r="1048" spans="1:15" x14ac:dyDescent="0.3">
      <c r="A1048" s="2" t="s">
        <v>1191</v>
      </c>
      <c r="B1048" s="3">
        <v>45907</v>
      </c>
      <c r="C1048" s="2" t="s">
        <v>1192</v>
      </c>
      <c r="D1048" s="2" t="s">
        <v>82</v>
      </c>
      <c r="E1048" s="2" t="s">
        <v>56</v>
      </c>
      <c r="F1048" s="2" t="s">
        <v>485</v>
      </c>
      <c r="G1048" s="2" t="s">
        <v>106</v>
      </c>
      <c r="H1048" s="2">
        <v>6</v>
      </c>
      <c r="I1048" s="2">
        <v>13078.1</v>
      </c>
      <c r="J1048" s="2">
        <v>0.15</v>
      </c>
      <c r="K1048" s="2">
        <v>66698.31</v>
      </c>
      <c r="L1048" s="2">
        <v>56101.120000000003</v>
      </c>
      <c r="M1048" s="2">
        <v>10597.19</v>
      </c>
      <c r="N1048" s="2" t="s">
        <v>21</v>
      </c>
      <c r="O1048" s="2" t="s">
        <v>40</v>
      </c>
    </row>
    <row r="1049" spans="1:15" x14ac:dyDescent="0.3">
      <c r="A1049" s="2" t="s">
        <v>1193</v>
      </c>
      <c r="B1049" s="3">
        <v>45658</v>
      </c>
      <c r="C1049" s="2" t="s">
        <v>63</v>
      </c>
      <c r="D1049" s="2" t="s">
        <v>64</v>
      </c>
      <c r="E1049" s="2" t="s">
        <v>65</v>
      </c>
      <c r="F1049" s="2" t="s">
        <v>19</v>
      </c>
      <c r="G1049" s="2" t="s">
        <v>108</v>
      </c>
      <c r="H1049" s="2">
        <v>3</v>
      </c>
      <c r="I1049" s="2">
        <v>13898.92</v>
      </c>
      <c r="J1049" s="2">
        <v>0.08</v>
      </c>
      <c r="K1049" s="2">
        <v>38361.03</v>
      </c>
      <c r="L1049" s="2">
        <v>24230.97</v>
      </c>
      <c r="M1049" s="2">
        <v>14130.06</v>
      </c>
      <c r="N1049" s="2" t="s">
        <v>58</v>
      </c>
      <c r="O1049" s="2" t="s">
        <v>59</v>
      </c>
    </row>
    <row r="1050" spans="1:15" x14ac:dyDescent="0.3">
      <c r="A1050" s="2" t="s">
        <v>1194</v>
      </c>
      <c r="B1050" s="3">
        <v>45901</v>
      </c>
      <c r="C1050" s="2" t="s">
        <v>54</v>
      </c>
      <c r="D1050" s="2" t="s">
        <v>174</v>
      </c>
      <c r="E1050" s="2" t="s">
        <v>56</v>
      </c>
      <c r="F1050" s="2" t="s">
        <v>19</v>
      </c>
      <c r="G1050" s="2" t="s">
        <v>108</v>
      </c>
      <c r="H1050" s="2">
        <v>5</v>
      </c>
      <c r="I1050" s="2">
        <v>16179.44</v>
      </c>
      <c r="J1050" s="2">
        <v>0.08</v>
      </c>
      <c r="K1050" s="2">
        <v>74425.41</v>
      </c>
      <c r="L1050" s="2">
        <v>49073.69</v>
      </c>
      <c r="M1050" s="2">
        <v>25351.72</v>
      </c>
      <c r="N1050" s="2" t="s">
        <v>29</v>
      </c>
      <c r="O1050" s="2" t="s">
        <v>22</v>
      </c>
    </row>
    <row r="1051" spans="1:15" x14ac:dyDescent="0.3">
      <c r="A1051" s="2" t="s">
        <v>1195</v>
      </c>
      <c r="B1051" s="3">
        <v>45759</v>
      </c>
      <c r="C1051" s="2" t="s">
        <v>63</v>
      </c>
      <c r="D1051" s="2" t="s">
        <v>64</v>
      </c>
      <c r="E1051" s="2" t="s">
        <v>65</v>
      </c>
      <c r="F1051" s="2" t="s">
        <v>43</v>
      </c>
      <c r="G1051" s="2" t="s">
        <v>75</v>
      </c>
      <c r="H1051" s="2">
        <v>5</v>
      </c>
      <c r="I1051" s="2">
        <v>38754.83</v>
      </c>
      <c r="J1051" s="2">
        <v>0.1</v>
      </c>
      <c r="K1051" s="2">
        <v>174396.75</v>
      </c>
      <c r="L1051" s="2">
        <v>123154.97</v>
      </c>
      <c r="M1051" s="2">
        <v>51241.78</v>
      </c>
      <c r="N1051" s="2" t="s">
        <v>58</v>
      </c>
      <c r="O1051" s="2" t="s">
        <v>22</v>
      </c>
    </row>
    <row r="1052" spans="1:15" x14ac:dyDescent="0.3">
      <c r="A1052" s="2" t="s">
        <v>1196</v>
      </c>
      <c r="B1052" s="3">
        <v>45670</v>
      </c>
      <c r="C1052" s="2" t="s">
        <v>54</v>
      </c>
      <c r="D1052" s="2" t="s">
        <v>174</v>
      </c>
      <c r="E1052" s="2" t="s">
        <v>74</v>
      </c>
      <c r="F1052" s="2" t="s">
        <v>27</v>
      </c>
      <c r="G1052" s="2" t="s">
        <v>28</v>
      </c>
      <c r="H1052" s="2">
        <v>5</v>
      </c>
      <c r="I1052" s="2">
        <v>29004.44</v>
      </c>
      <c r="J1052" s="2">
        <v>0.1</v>
      </c>
      <c r="K1052" s="2" t="s">
        <v>1197</v>
      </c>
      <c r="L1052" s="2">
        <v>88305.23</v>
      </c>
      <c r="M1052" s="2">
        <v>42214.74</v>
      </c>
      <c r="N1052" s="2" t="s">
        <v>21</v>
      </c>
      <c r="O1052" s="2" t="s">
        <v>40</v>
      </c>
    </row>
    <row r="1053" spans="1:15" x14ac:dyDescent="0.3">
      <c r="A1053" s="2" t="s">
        <v>1198</v>
      </c>
      <c r="B1053" s="3">
        <v>45902</v>
      </c>
      <c r="C1053" s="2" t="s">
        <v>16</v>
      </c>
      <c r="D1053" s="2" t="s">
        <v>17</v>
      </c>
      <c r="E1053" s="2" t="s">
        <v>1199</v>
      </c>
      <c r="F1053" s="2" t="s">
        <v>34</v>
      </c>
      <c r="G1053" s="2" t="s">
        <v>80</v>
      </c>
      <c r="H1053" s="2">
        <v>8</v>
      </c>
      <c r="I1053" s="2">
        <v>4817.0200000000004</v>
      </c>
      <c r="J1053" s="2">
        <v>0.05</v>
      </c>
      <c r="K1053" s="2">
        <v>36609.39</v>
      </c>
      <c r="L1053" s="2">
        <v>27571.5</v>
      </c>
      <c r="M1053" s="2">
        <v>9037.89</v>
      </c>
      <c r="N1053" s="2" t="s">
        <v>58</v>
      </c>
      <c r="O1053" s="2" t="s">
        <v>45</v>
      </c>
    </row>
    <row r="1054" spans="1:15" x14ac:dyDescent="0.3">
      <c r="A1054" s="2" t="s">
        <v>1200</v>
      </c>
      <c r="B1054" s="3">
        <v>45901</v>
      </c>
      <c r="C1054" s="2" t="s">
        <v>63</v>
      </c>
      <c r="D1054" s="2" t="s">
        <v>95</v>
      </c>
      <c r="E1054" s="2" t="s">
        <v>74</v>
      </c>
      <c r="F1054" s="2" t="s">
        <v>27</v>
      </c>
      <c r="G1054" s="2" t="s">
        <v>89</v>
      </c>
      <c r="H1054" s="2">
        <v>6</v>
      </c>
      <c r="I1054" s="2">
        <v>30462.61</v>
      </c>
      <c r="J1054" s="2">
        <v>0.03</v>
      </c>
      <c r="K1054" s="2">
        <v>177292.38</v>
      </c>
      <c r="L1054" s="2">
        <v>127539.93</v>
      </c>
      <c r="M1054" s="2">
        <v>49752.45</v>
      </c>
      <c r="N1054" s="2" t="s">
        <v>58</v>
      </c>
      <c r="O1054" s="2" t="s">
        <v>40</v>
      </c>
    </row>
    <row r="1055" spans="1:15" x14ac:dyDescent="0.3">
      <c r="A1055" s="2" t="s">
        <v>1201</v>
      </c>
      <c r="B1055" s="3">
        <v>46000</v>
      </c>
      <c r="C1055" s="2" t="s">
        <v>63</v>
      </c>
      <c r="D1055" s="2" t="s">
        <v>88</v>
      </c>
      <c r="E1055" s="2" t="s">
        <v>74</v>
      </c>
      <c r="F1055" s="2" t="s">
        <v>19</v>
      </c>
      <c r="G1055" s="2" t="s">
        <v>102</v>
      </c>
      <c r="H1055" s="2">
        <v>7</v>
      </c>
      <c r="I1055" s="2">
        <v>266.68</v>
      </c>
      <c r="J1055" s="2">
        <v>0.15</v>
      </c>
      <c r="K1055" s="2">
        <v>1586.76</v>
      </c>
      <c r="L1055" s="2">
        <v>1281.03</v>
      </c>
      <c r="M1055" s="2">
        <v>305.73</v>
      </c>
      <c r="N1055" s="2" t="s">
        <v>58</v>
      </c>
      <c r="O1055" s="2" t="s">
        <v>59</v>
      </c>
    </row>
    <row r="1056" spans="1:15" x14ac:dyDescent="0.3">
      <c r="A1056" s="2" t="s">
        <v>1202</v>
      </c>
      <c r="B1056" s="3">
        <v>45944</v>
      </c>
      <c r="C1056" s="2" t="s">
        <v>63</v>
      </c>
      <c r="D1056" s="2" t="s">
        <v>117</v>
      </c>
      <c r="E1056" s="2" t="s">
        <v>56</v>
      </c>
      <c r="F1056" s="2" t="s">
        <v>19</v>
      </c>
      <c r="G1056" s="2" t="s">
        <v>108</v>
      </c>
      <c r="H1056" s="2">
        <v>2</v>
      </c>
      <c r="I1056" s="2">
        <v>15896.34</v>
      </c>
      <c r="J1056" s="2">
        <v>0.03</v>
      </c>
      <c r="K1056" s="2">
        <v>30838.89</v>
      </c>
      <c r="L1056" s="2">
        <v>19179.560000000001</v>
      </c>
      <c r="M1056" s="2">
        <v>11659.33</v>
      </c>
      <c r="N1056" s="2" t="s">
        <v>29</v>
      </c>
      <c r="O1056" s="2" t="s">
        <v>40</v>
      </c>
    </row>
    <row r="1057" spans="1:15" x14ac:dyDescent="0.3">
      <c r="A1057" s="2" t="s">
        <v>1203</v>
      </c>
      <c r="B1057" s="3">
        <v>45953</v>
      </c>
      <c r="C1057" s="2" t="s">
        <v>37</v>
      </c>
      <c r="D1057" s="2" t="s">
        <v>42</v>
      </c>
      <c r="E1057" s="2" t="s">
        <v>69</v>
      </c>
      <c r="F1057" s="2" t="s">
        <v>19</v>
      </c>
      <c r="G1057" s="2" t="s">
        <v>108</v>
      </c>
      <c r="H1057" s="2">
        <v>4</v>
      </c>
      <c r="I1057" s="2">
        <v>14561.65</v>
      </c>
      <c r="J1057" s="2">
        <v>0.08</v>
      </c>
      <c r="K1057" s="2">
        <v>53586.87</v>
      </c>
      <c r="L1057" s="2">
        <v>41618.9</v>
      </c>
      <c r="M1057" s="2">
        <v>11967.97</v>
      </c>
      <c r="N1057" s="2" t="s">
        <v>21</v>
      </c>
      <c r="O1057" s="2" t="s">
        <v>40</v>
      </c>
    </row>
    <row r="1058" spans="1:15" x14ac:dyDescent="0.3">
      <c r="A1058" s="2" t="s">
        <v>1204</v>
      </c>
      <c r="B1058" s="3">
        <v>45685</v>
      </c>
      <c r="C1058" s="2" t="s">
        <v>63</v>
      </c>
      <c r="D1058" s="2" t="s">
        <v>117</v>
      </c>
      <c r="E1058" s="2" t="s">
        <v>26</v>
      </c>
      <c r="F1058" s="2" t="s">
        <v>34</v>
      </c>
      <c r="G1058" s="2" t="s">
        <v>57</v>
      </c>
      <c r="H1058" s="2">
        <v>8</v>
      </c>
      <c r="I1058" s="2">
        <v>21588.44</v>
      </c>
      <c r="J1058" s="2">
        <v>0.05</v>
      </c>
      <c r="K1058" s="2">
        <v>164072.16</v>
      </c>
      <c r="L1058" s="2">
        <v>119368.74</v>
      </c>
      <c r="M1058" s="2">
        <v>44703.42</v>
      </c>
      <c r="N1058" s="2" t="s">
        <v>21</v>
      </c>
      <c r="O1058" s="2" t="s">
        <v>40</v>
      </c>
    </row>
    <row r="1059" spans="1:15" x14ac:dyDescent="0.3">
      <c r="A1059" s="2" t="s">
        <v>1205</v>
      </c>
      <c r="B1059" s="3">
        <v>45811</v>
      </c>
      <c r="C1059" s="2" t="s">
        <v>37</v>
      </c>
      <c r="D1059" s="2" t="s">
        <v>38</v>
      </c>
      <c r="E1059" s="2" t="s">
        <v>56</v>
      </c>
      <c r="F1059" s="2" t="s">
        <v>43</v>
      </c>
      <c r="G1059" s="2" t="s">
        <v>91</v>
      </c>
      <c r="H1059" s="2">
        <v>3</v>
      </c>
      <c r="I1059" s="2">
        <v>48702.79</v>
      </c>
      <c r="J1059" s="2">
        <v>0.08</v>
      </c>
      <c r="K1059" s="2" t="s">
        <v>1206</v>
      </c>
      <c r="L1059" s="2">
        <v>85050.87</v>
      </c>
      <c r="M1059" s="2">
        <v>49368.84</v>
      </c>
      <c r="N1059" s="2" t="s">
        <v>58</v>
      </c>
      <c r="O1059" s="2" t="s">
        <v>59</v>
      </c>
    </row>
    <row r="1060" spans="1:15" x14ac:dyDescent="0.3">
      <c r="A1060" s="2" t="s">
        <v>1207</v>
      </c>
      <c r="B1060" s="3">
        <v>45998</v>
      </c>
      <c r="C1060" s="2" t="s">
        <v>54</v>
      </c>
      <c r="D1060" s="2" t="s">
        <v>55</v>
      </c>
      <c r="E1060" s="2" t="s">
        <v>33</v>
      </c>
      <c r="F1060" s="2" t="s">
        <v>34</v>
      </c>
      <c r="G1060" s="2" t="s">
        <v>70</v>
      </c>
      <c r="H1060" s="2">
        <v>3</v>
      </c>
      <c r="I1060" s="2">
        <v>69091.81</v>
      </c>
      <c r="J1060" s="2">
        <v>0.03</v>
      </c>
      <c r="K1060" s="2">
        <v>201057.17</v>
      </c>
      <c r="L1060" s="2">
        <v>130950.42</v>
      </c>
      <c r="M1060" s="2">
        <v>70106.75</v>
      </c>
      <c r="N1060" s="2" t="s">
        <v>21</v>
      </c>
      <c r="O1060" s="2" t="s">
        <v>40</v>
      </c>
    </row>
    <row r="1061" spans="1:15" x14ac:dyDescent="0.3">
      <c r="A1061" s="2" t="s">
        <v>1208</v>
      </c>
      <c r="B1061" s="3">
        <v>45826</v>
      </c>
      <c r="C1061" s="2" t="s">
        <v>1209</v>
      </c>
      <c r="D1061" s="2" t="s">
        <v>124</v>
      </c>
      <c r="E1061" s="2" t="s">
        <v>18</v>
      </c>
      <c r="F1061" s="2" t="s">
        <v>43</v>
      </c>
      <c r="G1061" s="2" t="s">
        <v>75</v>
      </c>
      <c r="H1061" s="2">
        <v>5</v>
      </c>
      <c r="I1061" s="2">
        <v>36261.29</v>
      </c>
      <c r="J1061" s="2">
        <v>0</v>
      </c>
      <c r="K1061" s="2">
        <v>181306.45</v>
      </c>
      <c r="L1061" s="2">
        <v>144849.48000000001</v>
      </c>
      <c r="M1061" s="2">
        <v>36456.97</v>
      </c>
      <c r="N1061" s="2" t="s">
        <v>21</v>
      </c>
      <c r="O1061" s="2" t="s">
        <v>30</v>
      </c>
    </row>
    <row r="1062" spans="1:15" x14ac:dyDescent="0.3">
      <c r="A1062" s="2" t="s">
        <v>1210</v>
      </c>
      <c r="B1062" s="3">
        <v>45700</v>
      </c>
      <c r="C1062" s="2" t="s">
        <v>54</v>
      </c>
      <c r="D1062" s="2" t="s">
        <v>124</v>
      </c>
      <c r="E1062" s="2" t="s">
        <v>26</v>
      </c>
      <c r="F1062" s="2" t="s">
        <v>43</v>
      </c>
      <c r="G1062" s="2" t="s">
        <v>84</v>
      </c>
      <c r="H1062" s="2">
        <v>2</v>
      </c>
      <c r="I1062" s="2" t="s">
        <v>1211</v>
      </c>
      <c r="J1062" s="2">
        <v>0.1</v>
      </c>
      <c r="K1062" s="2">
        <v>74334.820000000007</v>
      </c>
      <c r="L1062" s="2">
        <v>56218.07</v>
      </c>
      <c r="M1062" s="2">
        <v>18116.75</v>
      </c>
      <c r="N1062" s="2" t="s">
        <v>29</v>
      </c>
      <c r="O1062" s="2" t="s">
        <v>30</v>
      </c>
    </row>
    <row r="1063" spans="1:15" x14ac:dyDescent="0.3">
      <c r="A1063" s="2" t="s">
        <v>1212</v>
      </c>
      <c r="B1063" s="3">
        <v>45811</v>
      </c>
      <c r="C1063" s="2" t="s">
        <v>54</v>
      </c>
      <c r="D1063" s="2" t="s">
        <v>55</v>
      </c>
      <c r="E1063" s="2" t="s">
        <v>65</v>
      </c>
      <c r="F1063" s="2" t="s">
        <v>34</v>
      </c>
      <c r="G1063" s="2" t="s">
        <v>35</v>
      </c>
      <c r="H1063" s="2">
        <v>4</v>
      </c>
      <c r="I1063" s="2">
        <v>19261.41</v>
      </c>
      <c r="J1063" s="2">
        <v>0.1</v>
      </c>
      <c r="K1063" s="2">
        <v>69341.06</v>
      </c>
      <c r="L1063" s="2">
        <v>54604.09</v>
      </c>
      <c r="M1063" s="2">
        <v>14736.97</v>
      </c>
      <c r="N1063" s="2" t="s">
        <v>21</v>
      </c>
      <c r="O1063" s="2" t="s">
        <v>40</v>
      </c>
    </row>
    <row r="1064" spans="1:15" x14ac:dyDescent="0.3">
      <c r="A1064" s="2" t="s">
        <v>1213</v>
      </c>
      <c r="B1064" s="3">
        <v>45844</v>
      </c>
      <c r="C1064" s="2" t="s">
        <v>63</v>
      </c>
      <c r="D1064" s="2" t="s">
        <v>64</v>
      </c>
      <c r="E1064" s="2" t="s">
        <v>18</v>
      </c>
      <c r="F1064" s="2" t="s">
        <v>43</v>
      </c>
      <c r="G1064" s="2" t="s">
        <v>91</v>
      </c>
      <c r="H1064" s="2">
        <v>2</v>
      </c>
      <c r="I1064" s="2" t="s">
        <v>1214</v>
      </c>
      <c r="J1064" s="2">
        <v>0.1</v>
      </c>
      <c r="K1064" s="2">
        <v>84013.66</v>
      </c>
      <c r="L1064" s="2">
        <v>69034.69</v>
      </c>
      <c r="M1064" s="2">
        <v>14978.97</v>
      </c>
      <c r="N1064" s="2" t="s">
        <v>58</v>
      </c>
      <c r="O1064" s="2" t="s">
        <v>59</v>
      </c>
    </row>
    <row r="1065" spans="1:15" x14ac:dyDescent="0.3">
      <c r="A1065" s="2" t="s">
        <v>1215</v>
      </c>
      <c r="B1065" s="3">
        <v>45683</v>
      </c>
      <c r="C1065" s="2" t="s">
        <v>16</v>
      </c>
      <c r="D1065" s="2" t="s">
        <v>82</v>
      </c>
      <c r="E1065" s="2" t="s">
        <v>49</v>
      </c>
      <c r="F1065" s="2" t="s">
        <v>27</v>
      </c>
      <c r="G1065" s="2" t="s">
        <v>89</v>
      </c>
      <c r="H1065" s="2">
        <v>6</v>
      </c>
      <c r="I1065" s="2">
        <v>31856.32</v>
      </c>
      <c r="J1065" s="2">
        <v>0.1</v>
      </c>
      <c r="K1065" s="2">
        <v>172024.12</v>
      </c>
      <c r="L1065" s="2">
        <v>121649.51</v>
      </c>
      <c r="M1065" s="2">
        <v>50374.61</v>
      </c>
      <c r="N1065" s="2" t="s">
        <v>29</v>
      </c>
      <c r="O1065" s="2" t="s">
        <v>45</v>
      </c>
    </row>
    <row r="1066" spans="1:15" x14ac:dyDescent="0.3">
      <c r="A1066" s="2" t="s">
        <v>1216</v>
      </c>
      <c r="B1066" s="3">
        <v>45777</v>
      </c>
      <c r="C1066" s="2" t="s">
        <v>63</v>
      </c>
      <c r="D1066" s="2" t="s">
        <v>117</v>
      </c>
      <c r="E1066" s="2" t="s">
        <v>69</v>
      </c>
      <c r="F1066" s="2" t="s">
        <v>27</v>
      </c>
      <c r="G1066" s="2" t="s">
        <v>28</v>
      </c>
      <c r="H1066" s="2">
        <v>8</v>
      </c>
      <c r="I1066" s="2">
        <v>26954.62</v>
      </c>
      <c r="J1066" s="2">
        <v>0.08</v>
      </c>
      <c r="K1066" s="2">
        <v>198386</v>
      </c>
      <c r="L1066" s="2">
        <v>141771</v>
      </c>
      <c r="M1066" s="2">
        <v>56615</v>
      </c>
      <c r="N1066" s="2" t="s">
        <v>58</v>
      </c>
      <c r="O1066" s="2" t="s">
        <v>30</v>
      </c>
    </row>
    <row r="1067" spans="1:15" x14ac:dyDescent="0.3">
      <c r="A1067" s="2" t="s">
        <v>1217</v>
      </c>
      <c r="B1067" s="3">
        <v>45759</v>
      </c>
      <c r="C1067" s="2" t="s">
        <v>37</v>
      </c>
      <c r="D1067" s="2" t="s">
        <v>42</v>
      </c>
      <c r="E1067" s="2" t="s">
        <v>18</v>
      </c>
      <c r="F1067" s="2" t="s">
        <v>34</v>
      </c>
      <c r="G1067" s="2" t="s">
        <v>70</v>
      </c>
      <c r="H1067" s="2">
        <v>2</v>
      </c>
      <c r="I1067" s="2">
        <v>68269.960000000006</v>
      </c>
      <c r="J1067" s="2">
        <v>0.05</v>
      </c>
      <c r="K1067" s="2">
        <v>129712.92</v>
      </c>
      <c r="L1067" s="2">
        <v>88260.46</v>
      </c>
      <c r="M1067" s="2">
        <v>41452.46</v>
      </c>
      <c r="N1067" s="2" t="s">
        <v>21</v>
      </c>
      <c r="O1067" s="2" t="s">
        <v>30</v>
      </c>
    </row>
    <row r="1068" spans="1:15" x14ac:dyDescent="0.3">
      <c r="A1068" s="2" t="s">
        <v>1218</v>
      </c>
      <c r="B1068" s="3">
        <v>45676</v>
      </c>
      <c r="C1068" s="2" t="s">
        <v>16</v>
      </c>
      <c r="D1068" s="2" t="s">
        <v>17</v>
      </c>
      <c r="E1068" s="2" t="s">
        <v>74</v>
      </c>
      <c r="F1068" s="2" t="s">
        <v>34</v>
      </c>
      <c r="G1068" s="2" t="s">
        <v>57</v>
      </c>
      <c r="H1068" s="2">
        <v>7</v>
      </c>
      <c r="I1068" s="2">
        <v>23556.34</v>
      </c>
      <c r="J1068" s="2">
        <v>0.03</v>
      </c>
      <c r="K1068" s="2">
        <v>159947.56</v>
      </c>
      <c r="L1068" s="2">
        <v>103131.33</v>
      </c>
      <c r="M1068" s="2">
        <v>56816.23</v>
      </c>
      <c r="N1068" s="2" t="s">
        <v>29</v>
      </c>
      <c r="O1068" s="2" t="s">
        <v>59</v>
      </c>
    </row>
    <row r="1069" spans="1:15" x14ac:dyDescent="0.3">
      <c r="A1069" s="2" t="s">
        <v>94</v>
      </c>
      <c r="B1069" s="3">
        <v>45818</v>
      </c>
      <c r="C1069" s="2" t="s">
        <v>63</v>
      </c>
      <c r="D1069" s="2" t="s">
        <v>95</v>
      </c>
      <c r="E1069" s="2" t="s">
        <v>26</v>
      </c>
      <c r="F1069" s="2" t="s">
        <v>34</v>
      </c>
      <c r="G1069" s="2" t="s">
        <v>80</v>
      </c>
      <c r="H1069" s="2">
        <v>7</v>
      </c>
      <c r="I1069" s="2">
        <v>4833.8100000000004</v>
      </c>
      <c r="J1069" s="2">
        <v>0.1</v>
      </c>
      <c r="K1069" s="2">
        <v>30452.98</v>
      </c>
      <c r="L1069" s="2">
        <v>21032.89</v>
      </c>
      <c r="M1069" s="2">
        <v>9420.09</v>
      </c>
      <c r="N1069" s="2" t="s">
        <v>21</v>
      </c>
      <c r="O1069" s="2" t="s">
        <v>59</v>
      </c>
    </row>
    <row r="1070" spans="1:15" x14ac:dyDescent="0.3">
      <c r="A1070" s="2" t="s">
        <v>1219</v>
      </c>
      <c r="B1070" s="3">
        <v>45827</v>
      </c>
      <c r="C1070" s="2" t="s">
        <v>37</v>
      </c>
      <c r="D1070" s="2" t="s">
        <v>38</v>
      </c>
      <c r="E1070" s="2" t="s">
        <v>18</v>
      </c>
      <c r="F1070" s="2" t="s">
        <v>603</v>
      </c>
      <c r="G1070" s="2" t="s">
        <v>106</v>
      </c>
      <c r="H1070" s="2">
        <v>5</v>
      </c>
      <c r="I1070" s="2">
        <v>12990.76</v>
      </c>
      <c r="J1070" s="2">
        <v>0.1</v>
      </c>
      <c r="K1070" s="2">
        <v>58458.43</v>
      </c>
      <c r="L1070" s="2">
        <v>36383.96</v>
      </c>
      <c r="M1070" s="2">
        <v>22074.47</v>
      </c>
      <c r="N1070" s="2" t="s">
        <v>58</v>
      </c>
      <c r="O1070" s="2" t="s">
        <v>45</v>
      </c>
    </row>
    <row r="1071" spans="1:15" x14ac:dyDescent="0.3">
      <c r="A1071" s="2" t="s">
        <v>1220</v>
      </c>
      <c r="B1071" s="3">
        <v>45913</v>
      </c>
      <c r="C1071" s="2" t="s">
        <v>16</v>
      </c>
      <c r="D1071" s="2" t="s">
        <v>52</v>
      </c>
      <c r="E1071" s="2" t="s">
        <v>69</v>
      </c>
      <c r="F1071" s="2" t="s">
        <v>34</v>
      </c>
      <c r="G1071" s="2" t="s">
        <v>35</v>
      </c>
      <c r="H1071" s="2">
        <v>8</v>
      </c>
      <c r="I1071" s="2">
        <v>16956.66</v>
      </c>
      <c r="J1071" s="2">
        <v>0.08</v>
      </c>
      <c r="K1071" s="2">
        <v>124801</v>
      </c>
      <c r="L1071" s="2">
        <v>82365.03</v>
      </c>
      <c r="M1071" s="2">
        <v>42435.97</v>
      </c>
      <c r="N1071" s="2" t="s">
        <v>58</v>
      </c>
      <c r="O1071" s="2" t="s">
        <v>22</v>
      </c>
    </row>
    <row r="1072" spans="1:15" x14ac:dyDescent="0.3">
      <c r="A1072" s="2" t="s">
        <v>1221</v>
      </c>
      <c r="B1072" s="3">
        <v>45712</v>
      </c>
      <c r="C1072" s="2" t="s">
        <v>54</v>
      </c>
      <c r="D1072" s="2" t="s">
        <v>55</v>
      </c>
      <c r="E1072" s="2" t="s">
        <v>69</v>
      </c>
      <c r="F1072" s="2" t="s">
        <v>34</v>
      </c>
      <c r="G1072" s="2" t="s">
        <v>70</v>
      </c>
      <c r="H1072" s="2">
        <v>7</v>
      </c>
      <c r="I1072" s="2">
        <v>60446.11</v>
      </c>
      <c r="J1072" s="2">
        <v>0.08</v>
      </c>
      <c r="K1072" s="2">
        <v>389272.94</v>
      </c>
      <c r="L1072" s="2">
        <v>308541.92</v>
      </c>
      <c r="M1072" s="2">
        <v>80731.02</v>
      </c>
      <c r="N1072" s="2" t="s">
        <v>29</v>
      </c>
      <c r="O1072" s="2" t="s">
        <v>30</v>
      </c>
    </row>
    <row r="1073" spans="1:15" x14ac:dyDescent="0.3">
      <c r="A1073" s="2" t="s">
        <v>1222</v>
      </c>
      <c r="B1073" s="3">
        <v>45830</v>
      </c>
      <c r="C1073" s="2" t="s">
        <v>63</v>
      </c>
      <c r="D1073" s="2" t="s">
        <v>64</v>
      </c>
      <c r="E1073" s="2" t="s">
        <v>65</v>
      </c>
      <c r="F1073" s="2" t="s">
        <v>43</v>
      </c>
      <c r="G1073" s="2" t="s">
        <v>84</v>
      </c>
      <c r="H1073" s="2">
        <v>1</v>
      </c>
      <c r="I1073" s="2">
        <v>40805.839999999997</v>
      </c>
      <c r="J1073" s="2">
        <v>0.05</v>
      </c>
      <c r="K1073" s="2">
        <v>38765.550000000003</v>
      </c>
      <c r="L1073" s="2">
        <v>32047.82</v>
      </c>
      <c r="M1073" s="2">
        <v>6717.73</v>
      </c>
      <c r="N1073" s="2" t="s">
        <v>58</v>
      </c>
      <c r="O1073" s="2" t="s">
        <v>22</v>
      </c>
    </row>
    <row r="1074" spans="1:15" x14ac:dyDescent="0.3">
      <c r="A1074" s="2" t="s">
        <v>1223</v>
      </c>
      <c r="B1074" s="3">
        <v>45870</v>
      </c>
      <c r="C1074" s="2" t="s">
        <v>54</v>
      </c>
      <c r="D1074" s="2" t="s">
        <v>174</v>
      </c>
      <c r="E1074" s="2" t="s">
        <v>65</v>
      </c>
      <c r="F1074" s="2" t="s">
        <v>43</v>
      </c>
      <c r="G1074" s="2" t="s">
        <v>75</v>
      </c>
      <c r="H1074" s="2">
        <v>3</v>
      </c>
      <c r="I1074" s="2">
        <v>36475.51</v>
      </c>
      <c r="J1074" s="2">
        <v>0</v>
      </c>
      <c r="K1074" s="2">
        <v>109426.53</v>
      </c>
      <c r="L1074" s="2">
        <v>91273.42</v>
      </c>
      <c r="M1074" s="2">
        <v>18153.11</v>
      </c>
      <c r="N1074" s="2" t="s">
        <v>21</v>
      </c>
      <c r="O1074" s="2" t="s">
        <v>40</v>
      </c>
    </row>
    <row r="1075" spans="1:15" x14ac:dyDescent="0.3">
      <c r="A1075" s="2" t="s">
        <v>1224</v>
      </c>
      <c r="B1075" s="3">
        <v>45973</v>
      </c>
      <c r="C1075" s="2" t="s">
        <v>63</v>
      </c>
      <c r="D1075" s="2" t="s">
        <v>64</v>
      </c>
      <c r="E1075" s="2"/>
      <c r="F1075" s="2" t="s">
        <v>34</v>
      </c>
      <c r="G1075" s="2" t="s">
        <v>35</v>
      </c>
      <c r="H1075" s="2">
        <v>5</v>
      </c>
      <c r="I1075" s="2">
        <v>17512.22</v>
      </c>
      <c r="J1075" s="2">
        <v>0</v>
      </c>
      <c r="K1075" s="2">
        <v>87561.11</v>
      </c>
      <c r="L1075" s="2">
        <v>66111.88</v>
      </c>
      <c r="M1075" s="2">
        <v>21449.23</v>
      </c>
      <c r="N1075" s="2" t="s">
        <v>21</v>
      </c>
      <c r="O1075" s="2" t="s">
        <v>22</v>
      </c>
    </row>
    <row r="1076" spans="1:15" x14ac:dyDescent="0.3">
      <c r="A1076" s="2" t="s">
        <v>1225</v>
      </c>
      <c r="B1076" s="3">
        <v>45996</v>
      </c>
      <c r="C1076" s="2" t="s">
        <v>37</v>
      </c>
      <c r="D1076" s="2" t="s">
        <v>68</v>
      </c>
      <c r="E1076" s="2" t="s">
        <v>542</v>
      </c>
      <c r="F1076" s="2" t="s">
        <v>34</v>
      </c>
      <c r="G1076" s="2" t="s">
        <v>39</v>
      </c>
      <c r="H1076" s="2">
        <v>3</v>
      </c>
      <c r="I1076" s="2">
        <v>30762.17</v>
      </c>
      <c r="J1076" s="2">
        <v>0.08</v>
      </c>
      <c r="K1076" s="2">
        <v>84903.6</v>
      </c>
      <c r="L1076" s="2">
        <v>62718.42</v>
      </c>
      <c r="M1076" s="2">
        <v>22185.18</v>
      </c>
      <c r="N1076" s="2" t="s">
        <v>21</v>
      </c>
      <c r="O1076" s="2" t="s">
        <v>40</v>
      </c>
    </row>
    <row r="1077" spans="1:15" x14ac:dyDescent="0.3">
      <c r="A1077" s="2" t="s">
        <v>1226</v>
      </c>
      <c r="B1077" s="3">
        <v>45880</v>
      </c>
      <c r="C1077" s="2" t="s">
        <v>16</v>
      </c>
      <c r="D1077" s="2" t="s">
        <v>32</v>
      </c>
      <c r="E1077" s="2" t="s">
        <v>69</v>
      </c>
      <c r="F1077" s="2" t="s">
        <v>19</v>
      </c>
      <c r="G1077" s="2" t="s">
        <v>102</v>
      </c>
      <c r="H1077" s="2">
        <v>4</v>
      </c>
      <c r="I1077" s="2" t="s">
        <v>1227</v>
      </c>
      <c r="J1077" s="2">
        <v>0.08</v>
      </c>
      <c r="K1077" s="2">
        <v>902.07</v>
      </c>
      <c r="L1077" s="2">
        <v>563.62</v>
      </c>
      <c r="M1077" s="2">
        <v>338.45</v>
      </c>
      <c r="N1077" s="2" t="s">
        <v>58</v>
      </c>
      <c r="O1077" s="2" t="s">
        <v>40</v>
      </c>
    </row>
    <row r="1078" spans="1:15" x14ac:dyDescent="0.3">
      <c r="A1078" s="2" t="s">
        <v>1228</v>
      </c>
      <c r="B1078" s="3">
        <v>45935</v>
      </c>
      <c r="C1078" s="2" t="s">
        <v>37</v>
      </c>
      <c r="D1078" s="2" t="s">
        <v>38</v>
      </c>
      <c r="E1078" s="2" t="s">
        <v>33</v>
      </c>
      <c r="F1078" s="2" t="s">
        <v>27</v>
      </c>
      <c r="G1078" s="2" t="s">
        <v>125</v>
      </c>
      <c r="H1078" s="2">
        <v>1</v>
      </c>
      <c r="I1078" s="2">
        <v>8778.9500000000007</v>
      </c>
      <c r="J1078" s="2">
        <v>0.1</v>
      </c>
      <c r="K1078" s="2">
        <v>7901.06</v>
      </c>
      <c r="L1078" s="2">
        <v>5721.77</v>
      </c>
      <c r="M1078" s="2">
        <v>2179.29</v>
      </c>
      <c r="N1078" s="2" t="s">
        <v>29</v>
      </c>
      <c r="O1078" s="2" t="s">
        <v>59</v>
      </c>
    </row>
    <row r="1079" spans="1:15" x14ac:dyDescent="0.3">
      <c r="A1079" s="2" t="s">
        <v>1229</v>
      </c>
      <c r="B1079" s="3">
        <v>45893</v>
      </c>
      <c r="C1079" s="2" t="s">
        <v>16</v>
      </c>
      <c r="D1079" s="2" t="s">
        <v>32</v>
      </c>
      <c r="E1079" s="2" t="s">
        <v>74</v>
      </c>
      <c r="F1079" s="2" t="s">
        <v>34</v>
      </c>
      <c r="G1079" s="2" t="s">
        <v>35</v>
      </c>
      <c r="H1079" s="2">
        <v>5</v>
      </c>
      <c r="I1079" s="2">
        <v>17342.05</v>
      </c>
      <c r="J1079" s="2">
        <v>0.05</v>
      </c>
      <c r="K1079" s="2">
        <v>82374.73</v>
      </c>
      <c r="L1079" s="2">
        <v>63978.41</v>
      </c>
      <c r="M1079" s="2">
        <v>18396.32</v>
      </c>
      <c r="N1079" s="2" t="s">
        <v>21</v>
      </c>
      <c r="O1079" s="2" t="s">
        <v>40</v>
      </c>
    </row>
    <row r="1080" spans="1:15" x14ac:dyDescent="0.3">
      <c r="A1080" s="2" t="s">
        <v>1230</v>
      </c>
      <c r="B1080" s="3">
        <v>45695</v>
      </c>
      <c r="C1080" s="2" t="s">
        <v>37</v>
      </c>
      <c r="D1080" s="2" t="s">
        <v>42</v>
      </c>
      <c r="E1080" s="2" t="s">
        <v>18</v>
      </c>
      <c r="F1080" s="2" t="s">
        <v>27</v>
      </c>
      <c r="G1080" s="2" t="s">
        <v>28</v>
      </c>
      <c r="H1080" s="2">
        <v>1</v>
      </c>
      <c r="I1080" s="2">
        <v>28796.85</v>
      </c>
      <c r="J1080" s="2">
        <v>0.05</v>
      </c>
      <c r="K1080" s="2">
        <v>27357.01</v>
      </c>
      <c r="L1080" s="2">
        <v>18018.72</v>
      </c>
      <c r="M1080" s="2">
        <v>9338.2900000000009</v>
      </c>
      <c r="N1080" s="2" t="s">
        <v>21</v>
      </c>
      <c r="O1080" s="2" t="s">
        <v>40</v>
      </c>
    </row>
    <row r="1081" spans="1:15" x14ac:dyDescent="0.3">
      <c r="A1081" s="2" t="s">
        <v>1231</v>
      </c>
      <c r="B1081" s="3">
        <v>45715</v>
      </c>
      <c r="C1081" s="2"/>
      <c r="D1081" s="2" t="s">
        <v>64</v>
      </c>
      <c r="E1081" s="2" t="s">
        <v>33</v>
      </c>
      <c r="F1081" s="2" t="s">
        <v>34</v>
      </c>
      <c r="G1081" s="2" t="s">
        <v>80</v>
      </c>
      <c r="H1081" s="2">
        <v>3</v>
      </c>
      <c r="I1081" s="2">
        <v>4381</v>
      </c>
      <c r="J1081" s="2">
        <v>0.03</v>
      </c>
      <c r="K1081" s="2">
        <v>12748.71</v>
      </c>
      <c r="L1081" s="2">
        <v>9985.23</v>
      </c>
      <c r="M1081" s="2">
        <v>2763.48</v>
      </c>
      <c r="N1081" s="2" t="s">
        <v>29</v>
      </c>
      <c r="O1081" s="2" t="s">
        <v>45</v>
      </c>
    </row>
    <row r="1082" spans="1:15" x14ac:dyDescent="0.3">
      <c r="A1082" s="2" t="s">
        <v>1232</v>
      </c>
      <c r="B1082" s="3">
        <v>45967</v>
      </c>
      <c r="C1082" s="2" t="s">
        <v>37</v>
      </c>
      <c r="D1082" s="2" t="s">
        <v>68</v>
      </c>
      <c r="E1082" s="2" t="s">
        <v>74</v>
      </c>
      <c r="F1082" s="2" t="s">
        <v>34</v>
      </c>
      <c r="G1082" s="2" t="s">
        <v>39</v>
      </c>
      <c r="H1082" s="2">
        <v>7</v>
      </c>
      <c r="I1082" s="2">
        <v>32032.25</v>
      </c>
      <c r="J1082" s="2">
        <v>0.05</v>
      </c>
      <c r="K1082" s="2">
        <v>213014.44</v>
      </c>
      <c r="L1082" s="2">
        <v>181293.81</v>
      </c>
      <c r="M1082" s="2">
        <v>31720.63</v>
      </c>
      <c r="N1082" s="2" t="s">
        <v>58</v>
      </c>
      <c r="O1082" s="2" t="s">
        <v>45</v>
      </c>
    </row>
    <row r="1083" spans="1:15" x14ac:dyDescent="0.3">
      <c r="A1083" s="2" t="s">
        <v>1233</v>
      </c>
      <c r="B1083" s="3">
        <v>45977</v>
      </c>
      <c r="C1083" s="2" t="s">
        <v>54</v>
      </c>
      <c r="D1083" s="2" t="s">
        <v>174</v>
      </c>
      <c r="E1083" s="2" t="s">
        <v>69</v>
      </c>
      <c r="F1083" s="2" t="s">
        <v>27</v>
      </c>
      <c r="G1083" s="2" t="s">
        <v>125</v>
      </c>
      <c r="H1083" s="2">
        <v>3</v>
      </c>
      <c r="I1083" s="2">
        <v>8909.3700000000008</v>
      </c>
      <c r="J1083" s="2">
        <v>0.05</v>
      </c>
      <c r="K1083" s="2">
        <v>25391.71</v>
      </c>
      <c r="L1083" s="2">
        <v>17035.89</v>
      </c>
      <c r="M1083" s="2">
        <v>8355.82</v>
      </c>
      <c r="N1083" s="2" t="s">
        <v>58</v>
      </c>
      <c r="O1083" s="2" t="s">
        <v>22</v>
      </c>
    </row>
    <row r="1084" spans="1:15" x14ac:dyDescent="0.3">
      <c r="A1084" s="2" t="s">
        <v>1234</v>
      </c>
      <c r="B1084" s="3">
        <v>45721</v>
      </c>
      <c r="C1084" s="2" t="s">
        <v>16</v>
      </c>
      <c r="D1084" s="2" t="s">
        <v>32</v>
      </c>
      <c r="E1084" s="2" t="s">
        <v>33</v>
      </c>
      <c r="F1084" s="2" t="s">
        <v>43</v>
      </c>
      <c r="G1084" s="2" t="s">
        <v>91</v>
      </c>
      <c r="H1084" s="2">
        <v>7</v>
      </c>
      <c r="I1084" s="2">
        <v>47208.28</v>
      </c>
      <c r="J1084" s="2">
        <v>0.03</v>
      </c>
      <c r="K1084" s="2">
        <v>320544.25</v>
      </c>
      <c r="L1084" s="2">
        <v>253692.69</v>
      </c>
      <c r="M1084" s="2">
        <v>66851.56</v>
      </c>
      <c r="N1084" s="2" t="s">
        <v>29</v>
      </c>
      <c r="O1084" s="2" t="s">
        <v>45</v>
      </c>
    </row>
    <row r="1085" spans="1:15" x14ac:dyDescent="0.3">
      <c r="A1085" s="2" t="s">
        <v>1235</v>
      </c>
      <c r="B1085" s="3">
        <v>45700</v>
      </c>
      <c r="C1085" s="2" t="s">
        <v>16</v>
      </c>
      <c r="D1085" s="2" t="s">
        <v>52</v>
      </c>
      <c r="E1085" s="2" t="s">
        <v>26</v>
      </c>
      <c r="F1085" s="2" t="s">
        <v>27</v>
      </c>
      <c r="G1085" s="2" t="s">
        <v>89</v>
      </c>
      <c r="H1085" s="2">
        <v>1</v>
      </c>
      <c r="I1085" s="2">
        <v>34212.36</v>
      </c>
      <c r="J1085" s="2">
        <v>0.08</v>
      </c>
      <c r="K1085" s="2">
        <v>31475.37</v>
      </c>
      <c r="L1085" s="2">
        <v>25290.73</v>
      </c>
      <c r="M1085" s="2">
        <v>6184.64</v>
      </c>
      <c r="N1085" s="2" t="s">
        <v>29</v>
      </c>
      <c r="O1085" s="2" t="s">
        <v>45</v>
      </c>
    </row>
    <row r="1086" spans="1:15" x14ac:dyDescent="0.3">
      <c r="A1086" s="2" t="s">
        <v>1236</v>
      </c>
      <c r="B1086" s="3">
        <v>45982</v>
      </c>
      <c r="C1086" s="2" t="s">
        <v>16</v>
      </c>
      <c r="D1086" s="2" t="s">
        <v>17</v>
      </c>
      <c r="E1086" s="2" t="s">
        <v>26</v>
      </c>
      <c r="F1086" s="2" t="s">
        <v>43</v>
      </c>
      <c r="G1086" s="2" t="s">
        <v>75</v>
      </c>
      <c r="H1086" s="2">
        <v>6</v>
      </c>
      <c r="I1086" s="2">
        <v>38254.769999999997</v>
      </c>
      <c r="J1086" s="2">
        <v>0.1</v>
      </c>
      <c r="K1086" s="2">
        <v>206575.78</v>
      </c>
      <c r="L1086" s="2">
        <v>177287.79</v>
      </c>
      <c r="M1086" s="2">
        <v>29287.99</v>
      </c>
      <c r="N1086" s="2" t="s">
        <v>21</v>
      </c>
      <c r="O1086" s="2" t="s">
        <v>22</v>
      </c>
    </row>
    <row r="1087" spans="1:15" x14ac:dyDescent="0.3">
      <c r="A1087" s="2" t="s">
        <v>1237</v>
      </c>
      <c r="B1087" s="3">
        <v>45875</v>
      </c>
      <c r="C1087" s="2" t="s">
        <v>16</v>
      </c>
      <c r="D1087" s="2" t="s">
        <v>17</v>
      </c>
      <c r="E1087" s="2" t="s">
        <v>18</v>
      </c>
      <c r="F1087" s="2" t="s">
        <v>43</v>
      </c>
      <c r="G1087" s="2" t="s">
        <v>91</v>
      </c>
      <c r="H1087" s="2">
        <v>4</v>
      </c>
      <c r="I1087" s="2">
        <v>47478.66</v>
      </c>
      <c r="J1087" s="2">
        <v>0.05</v>
      </c>
      <c r="K1087" s="2">
        <v>180418.91</v>
      </c>
      <c r="L1087" s="2">
        <v>131176.71</v>
      </c>
      <c r="M1087" s="2">
        <v>49242.2</v>
      </c>
      <c r="N1087" s="2" t="s">
        <v>58</v>
      </c>
      <c r="O1087" s="2" t="s">
        <v>59</v>
      </c>
    </row>
    <row r="1088" spans="1:15" x14ac:dyDescent="0.3">
      <c r="A1088" s="2" t="s">
        <v>1238</v>
      </c>
      <c r="B1088" s="3">
        <v>45666</v>
      </c>
      <c r="C1088" s="2" t="s">
        <v>37</v>
      </c>
      <c r="D1088" s="2" t="s">
        <v>68</v>
      </c>
      <c r="E1088" s="2" t="s">
        <v>74</v>
      </c>
      <c r="F1088" s="2" t="s">
        <v>43</v>
      </c>
      <c r="G1088" s="2" t="s">
        <v>121</v>
      </c>
      <c r="H1088" s="2">
        <v>3</v>
      </c>
      <c r="I1088" s="2">
        <v>4711.3500000000004</v>
      </c>
      <c r="J1088" s="2">
        <v>0</v>
      </c>
      <c r="K1088" s="2">
        <v>14134.05</v>
      </c>
      <c r="L1088" s="2">
        <v>9595.18</v>
      </c>
      <c r="M1088" s="2">
        <v>4538.87</v>
      </c>
      <c r="N1088" s="2" t="s">
        <v>21</v>
      </c>
      <c r="O1088" s="2" t="s">
        <v>30</v>
      </c>
    </row>
    <row r="1089" spans="1:15" x14ac:dyDescent="0.3">
      <c r="A1089" s="2" t="s">
        <v>1239</v>
      </c>
      <c r="B1089" s="3">
        <v>45953</v>
      </c>
      <c r="C1089" s="2" t="s">
        <v>37</v>
      </c>
      <c r="D1089" s="2" t="s">
        <v>68</v>
      </c>
      <c r="E1089" s="2" t="s">
        <v>1240</v>
      </c>
      <c r="F1089" s="2" t="s">
        <v>96</v>
      </c>
      <c r="G1089" s="2" t="s">
        <v>57</v>
      </c>
      <c r="H1089" s="2">
        <v>8</v>
      </c>
      <c r="I1089" s="2">
        <v>22956.76</v>
      </c>
      <c r="J1089" s="2">
        <v>0.1</v>
      </c>
      <c r="K1089" s="2">
        <v>165288.64000000001</v>
      </c>
      <c r="L1089" s="2">
        <v>126842.35</v>
      </c>
      <c r="M1089" s="2">
        <v>38446.29</v>
      </c>
      <c r="N1089" s="2" t="s">
        <v>21</v>
      </c>
      <c r="O1089" s="2" t="s">
        <v>30</v>
      </c>
    </row>
    <row r="1090" spans="1:15" x14ac:dyDescent="0.3">
      <c r="A1090" s="2" t="s">
        <v>1241</v>
      </c>
      <c r="B1090" s="3">
        <v>45803</v>
      </c>
      <c r="C1090" s="2" t="s">
        <v>37</v>
      </c>
      <c r="D1090" s="2" t="s">
        <v>68</v>
      </c>
      <c r="E1090" s="2" t="s">
        <v>18</v>
      </c>
      <c r="F1090" s="2" t="s">
        <v>34</v>
      </c>
      <c r="G1090" s="2" t="s">
        <v>70</v>
      </c>
      <c r="H1090" s="2">
        <v>1</v>
      </c>
      <c r="I1090" s="2">
        <v>60881.73</v>
      </c>
      <c r="J1090" s="2">
        <v>0.05</v>
      </c>
      <c r="K1090" s="2">
        <v>57837.64</v>
      </c>
      <c r="L1090" s="2">
        <v>38997.83</v>
      </c>
      <c r="M1090" s="2">
        <v>18839.810000000001</v>
      </c>
      <c r="N1090" s="2" t="s">
        <v>21</v>
      </c>
      <c r="O1090" s="2" t="s">
        <v>40</v>
      </c>
    </row>
    <row r="1091" spans="1:15" x14ac:dyDescent="0.3">
      <c r="A1091" s="2" t="s">
        <v>1242</v>
      </c>
      <c r="B1091" s="3">
        <v>45874</v>
      </c>
      <c r="C1091" s="2" t="s">
        <v>63</v>
      </c>
      <c r="D1091" s="2" t="s">
        <v>117</v>
      </c>
      <c r="E1091" s="2" t="s">
        <v>33</v>
      </c>
      <c r="F1091" s="2" t="s">
        <v>27</v>
      </c>
      <c r="G1091" s="2" t="s">
        <v>125</v>
      </c>
      <c r="H1091" s="2">
        <v>5</v>
      </c>
      <c r="I1091" s="2">
        <v>7917.17</v>
      </c>
      <c r="J1091" s="2">
        <v>0</v>
      </c>
      <c r="K1091" s="2">
        <v>39585.870000000003</v>
      </c>
      <c r="L1091" s="2">
        <v>31616.98</v>
      </c>
      <c r="M1091" s="2">
        <v>7968.89</v>
      </c>
      <c r="N1091" s="2" t="s">
        <v>21</v>
      </c>
      <c r="O1091" s="2" t="s">
        <v>40</v>
      </c>
    </row>
    <row r="1092" spans="1:15" x14ac:dyDescent="0.3">
      <c r="A1092" s="2" t="s">
        <v>1243</v>
      </c>
      <c r="B1092" s="3">
        <v>46004</v>
      </c>
      <c r="C1092" s="2" t="s">
        <v>16</v>
      </c>
      <c r="D1092" s="2" t="s">
        <v>17</v>
      </c>
      <c r="E1092" s="2" t="s">
        <v>56</v>
      </c>
      <c r="F1092" s="2" t="s">
        <v>27</v>
      </c>
      <c r="G1092" s="2" t="s">
        <v>125</v>
      </c>
      <c r="H1092" s="2">
        <v>3</v>
      </c>
      <c r="I1092" s="2">
        <v>8671.99</v>
      </c>
      <c r="J1092" s="2">
        <v>0.05</v>
      </c>
      <c r="K1092" s="2">
        <v>24715.17</v>
      </c>
      <c r="L1092" s="2">
        <v>19251.25</v>
      </c>
      <c r="M1092" s="2">
        <v>5463.92</v>
      </c>
      <c r="N1092" s="2" t="s">
        <v>58</v>
      </c>
      <c r="O1092" s="2" t="s">
        <v>59</v>
      </c>
    </row>
    <row r="1093" spans="1:15" x14ac:dyDescent="0.3">
      <c r="A1093" s="2" t="s">
        <v>1244</v>
      </c>
      <c r="B1093" s="3">
        <v>45907</v>
      </c>
      <c r="C1093" s="2" t="s">
        <v>63</v>
      </c>
      <c r="D1093" s="2" t="s">
        <v>117</v>
      </c>
      <c r="E1093" s="2" t="s">
        <v>26</v>
      </c>
      <c r="F1093" s="2" t="s">
        <v>34</v>
      </c>
      <c r="G1093" s="2" t="s">
        <v>70</v>
      </c>
      <c r="H1093" s="2">
        <v>4</v>
      </c>
      <c r="I1093" s="2">
        <v>65816.22</v>
      </c>
      <c r="J1093" s="2">
        <v>0.05</v>
      </c>
      <c r="K1093" s="2">
        <v>250101.62</v>
      </c>
      <c r="L1093" s="2">
        <v>212062.29</v>
      </c>
      <c r="M1093" s="2">
        <v>38039.33</v>
      </c>
      <c r="N1093" s="2" t="s">
        <v>21</v>
      </c>
      <c r="O1093" s="2" t="s">
        <v>45</v>
      </c>
    </row>
    <row r="1094" spans="1:15" x14ac:dyDescent="0.3">
      <c r="A1094" s="2" t="s">
        <v>1245</v>
      </c>
      <c r="B1094" s="3">
        <v>45728</v>
      </c>
      <c r="C1094" s="2" t="s">
        <v>54</v>
      </c>
      <c r="D1094" s="2" t="s">
        <v>48</v>
      </c>
      <c r="E1094" s="2" t="s">
        <v>69</v>
      </c>
      <c r="F1094" s="2" t="s">
        <v>27</v>
      </c>
      <c r="G1094" s="2" t="s">
        <v>125</v>
      </c>
      <c r="H1094" s="2">
        <v>4</v>
      </c>
      <c r="I1094" s="2">
        <v>8814.64</v>
      </c>
      <c r="J1094" s="2">
        <v>0.05</v>
      </c>
      <c r="K1094" s="2">
        <v>33495.64</v>
      </c>
      <c r="L1094" s="2">
        <v>28652.76</v>
      </c>
      <c r="M1094" s="2">
        <v>4842.88</v>
      </c>
      <c r="N1094" s="2" t="s">
        <v>21</v>
      </c>
      <c r="O1094" s="2" t="s">
        <v>45</v>
      </c>
    </row>
    <row r="1095" spans="1:15" x14ac:dyDescent="0.3">
      <c r="A1095" s="2" t="s">
        <v>1246</v>
      </c>
      <c r="B1095" s="3">
        <v>45674</v>
      </c>
      <c r="C1095" s="2" t="s">
        <v>63</v>
      </c>
      <c r="D1095" s="2" t="s">
        <v>64</v>
      </c>
      <c r="E1095" s="2" t="s">
        <v>69</v>
      </c>
      <c r="F1095" s="2" t="s">
        <v>19</v>
      </c>
      <c r="G1095" s="2" t="s">
        <v>108</v>
      </c>
      <c r="H1095" s="2">
        <v>3</v>
      </c>
      <c r="I1095" s="2">
        <v>14957.02</v>
      </c>
      <c r="J1095" s="2">
        <v>0.1</v>
      </c>
      <c r="K1095" s="2">
        <v>40383.97</v>
      </c>
      <c r="L1095" s="2">
        <v>26444.5</v>
      </c>
      <c r="M1095" s="2">
        <v>13939.47</v>
      </c>
      <c r="N1095" s="2" t="s">
        <v>21</v>
      </c>
      <c r="O1095" s="2" t="s">
        <v>22</v>
      </c>
    </row>
    <row r="1096" spans="1:15" x14ac:dyDescent="0.3">
      <c r="A1096" s="2" t="s">
        <v>1247</v>
      </c>
      <c r="B1096" s="3">
        <v>45826</v>
      </c>
      <c r="C1096" s="2" t="s">
        <v>54</v>
      </c>
      <c r="D1096" s="2" t="s">
        <v>48</v>
      </c>
      <c r="E1096" s="2" t="s">
        <v>26</v>
      </c>
      <c r="F1096" s="2" t="s">
        <v>43</v>
      </c>
      <c r="G1096" s="2" t="s">
        <v>121</v>
      </c>
      <c r="H1096" s="2">
        <v>8</v>
      </c>
      <c r="I1096" s="2">
        <v>5063.6899999999996</v>
      </c>
      <c r="J1096" s="2">
        <v>0.1</v>
      </c>
      <c r="K1096" s="2">
        <v>36458.559999999998</v>
      </c>
      <c r="L1096" s="2">
        <v>30197.14</v>
      </c>
      <c r="M1096" s="2">
        <v>6261.42</v>
      </c>
      <c r="N1096" s="2" t="s">
        <v>29</v>
      </c>
      <c r="O1096" s="2" t="s">
        <v>59</v>
      </c>
    </row>
    <row r="1097" spans="1:15" x14ac:dyDescent="0.3">
      <c r="A1097" s="2" t="s">
        <v>1248</v>
      </c>
      <c r="B1097" s="3">
        <v>45710</v>
      </c>
      <c r="C1097" s="2" t="s">
        <v>63</v>
      </c>
      <c r="D1097" s="2" t="s">
        <v>117</v>
      </c>
      <c r="E1097" s="2" t="s">
        <v>49</v>
      </c>
      <c r="F1097" s="2" t="s">
        <v>19</v>
      </c>
      <c r="G1097" s="2" t="s">
        <v>108</v>
      </c>
      <c r="H1097" s="2">
        <v>1</v>
      </c>
      <c r="I1097" s="2">
        <v>15351.68</v>
      </c>
      <c r="J1097" s="2">
        <v>0.03</v>
      </c>
      <c r="K1097" s="2">
        <v>14891.13</v>
      </c>
      <c r="L1097" s="2">
        <v>11914.78</v>
      </c>
      <c r="M1097" s="2">
        <v>2976.35</v>
      </c>
      <c r="N1097" s="2" t="s">
        <v>21</v>
      </c>
      <c r="O1097" s="2" t="s">
        <v>45</v>
      </c>
    </row>
    <row r="1098" spans="1:15" x14ac:dyDescent="0.3">
      <c r="A1098" s="2" t="s">
        <v>1249</v>
      </c>
      <c r="B1098" s="3">
        <v>45722</v>
      </c>
      <c r="C1098" s="2" t="s">
        <v>16</v>
      </c>
      <c r="D1098" s="2" t="s">
        <v>82</v>
      </c>
      <c r="E1098" s="2" t="s">
        <v>26</v>
      </c>
      <c r="F1098" s="2" t="s">
        <v>34</v>
      </c>
      <c r="G1098" s="2" t="s">
        <v>57</v>
      </c>
      <c r="H1098" s="2">
        <v>4</v>
      </c>
      <c r="I1098" s="2">
        <v>22460.34</v>
      </c>
      <c r="J1098" s="2">
        <v>0.08</v>
      </c>
      <c r="K1098" s="2">
        <v>82654.070000000007</v>
      </c>
      <c r="L1098" s="2">
        <v>58258.86</v>
      </c>
      <c r="M1098" s="2">
        <v>24395.21</v>
      </c>
      <c r="N1098" s="2" t="s">
        <v>21</v>
      </c>
      <c r="O1098" s="2" t="s">
        <v>30</v>
      </c>
    </row>
    <row r="1099" spans="1:15" x14ac:dyDescent="0.3">
      <c r="A1099" s="2" t="s">
        <v>1250</v>
      </c>
      <c r="B1099" s="3">
        <v>45677</v>
      </c>
      <c r="C1099" s="2" t="s">
        <v>16</v>
      </c>
      <c r="D1099" s="2" t="s">
        <v>17</v>
      </c>
      <c r="E1099" s="2" t="s">
        <v>65</v>
      </c>
      <c r="F1099" s="2" t="s">
        <v>34</v>
      </c>
      <c r="G1099" s="2" t="s">
        <v>57</v>
      </c>
      <c r="H1099" s="2">
        <v>6</v>
      </c>
      <c r="I1099" s="2">
        <v>21190.41</v>
      </c>
      <c r="J1099" s="2">
        <v>0.08</v>
      </c>
      <c r="K1099" s="2">
        <v>116971.05</v>
      </c>
      <c r="L1099" s="2">
        <v>95158.9</v>
      </c>
      <c r="M1099" s="2">
        <v>21812.15</v>
      </c>
      <c r="N1099" s="2" t="s">
        <v>58</v>
      </c>
      <c r="O1099" s="2" t="s">
        <v>59</v>
      </c>
    </row>
    <row r="1100" spans="1:15" x14ac:dyDescent="0.3">
      <c r="A1100" s="2" t="s">
        <v>1251</v>
      </c>
      <c r="B1100" s="3">
        <v>45730</v>
      </c>
      <c r="C1100" s="2" t="s">
        <v>16</v>
      </c>
      <c r="D1100" s="2" t="s">
        <v>52</v>
      </c>
      <c r="E1100" s="2" t="s">
        <v>26</v>
      </c>
      <c r="F1100" s="2" t="s">
        <v>43</v>
      </c>
      <c r="G1100" s="2" t="s">
        <v>84</v>
      </c>
      <c r="H1100" s="2">
        <v>3</v>
      </c>
      <c r="I1100" s="2">
        <v>41064.22</v>
      </c>
      <c r="J1100" s="2">
        <v>0.08</v>
      </c>
      <c r="K1100" s="2">
        <v>113337.26</v>
      </c>
      <c r="L1100" s="2">
        <v>87476.23</v>
      </c>
      <c r="M1100" s="2">
        <v>25861.03</v>
      </c>
      <c r="N1100" s="2" t="s">
        <v>21</v>
      </c>
      <c r="O1100" s="2" t="s">
        <v>45</v>
      </c>
    </row>
    <row r="1101" spans="1:15" x14ac:dyDescent="0.3">
      <c r="A1101" s="2" t="s">
        <v>1252</v>
      </c>
      <c r="B1101" s="3">
        <v>45975</v>
      </c>
      <c r="C1101" s="2" t="s">
        <v>54</v>
      </c>
      <c r="D1101" s="2" t="s">
        <v>124</v>
      </c>
      <c r="E1101" s="2" t="s">
        <v>18</v>
      </c>
      <c r="F1101" s="2" t="s">
        <v>43</v>
      </c>
      <c r="G1101" s="2" t="s">
        <v>121</v>
      </c>
      <c r="H1101" s="2">
        <v>8</v>
      </c>
      <c r="I1101" s="2">
        <v>4704.5600000000004</v>
      </c>
      <c r="J1101" s="2">
        <v>0.03</v>
      </c>
      <c r="K1101" s="2">
        <v>36507.370000000003</v>
      </c>
      <c r="L1101" s="2">
        <v>25621.25</v>
      </c>
      <c r="M1101" s="2">
        <v>10886.12</v>
      </c>
      <c r="N1101" s="2" t="s">
        <v>21</v>
      </c>
      <c r="O1101" s="2" t="s">
        <v>40</v>
      </c>
    </row>
    <row r="1102" spans="1:15" x14ac:dyDescent="0.3">
      <c r="A1102" s="2" t="s">
        <v>1253</v>
      </c>
      <c r="B1102" s="3">
        <v>45900</v>
      </c>
      <c r="C1102" s="2" t="s">
        <v>63</v>
      </c>
      <c r="D1102" s="2" t="s">
        <v>95</v>
      </c>
      <c r="E1102" s="2" t="s">
        <v>74</v>
      </c>
      <c r="F1102" s="2" t="s">
        <v>318</v>
      </c>
      <c r="G1102" s="2" t="s">
        <v>44</v>
      </c>
      <c r="H1102" s="2">
        <v>2</v>
      </c>
      <c r="I1102" s="2">
        <v>12182.78</v>
      </c>
      <c r="J1102" s="2">
        <v>0.08</v>
      </c>
      <c r="K1102" s="2">
        <v>22416.32</v>
      </c>
      <c r="L1102" s="2">
        <v>14241.96</v>
      </c>
      <c r="M1102" s="2">
        <v>8174.36</v>
      </c>
      <c r="N1102" s="2" t="s">
        <v>21</v>
      </c>
      <c r="O1102" s="2" t="s">
        <v>22</v>
      </c>
    </row>
    <row r="1103" spans="1:15" x14ac:dyDescent="0.3">
      <c r="A1103" s="2" t="s">
        <v>1254</v>
      </c>
      <c r="B1103" s="3">
        <v>45880</v>
      </c>
      <c r="C1103" s="2" t="s">
        <v>63</v>
      </c>
      <c r="D1103" s="2" t="s">
        <v>95</v>
      </c>
      <c r="E1103" s="2" t="s">
        <v>1255</v>
      </c>
      <c r="F1103" s="2" t="s">
        <v>19</v>
      </c>
      <c r="G1103" s="2" t="s">
        <v>106</v>
      </c>
      <c r="H1103" s="2">
        <v>3</v>
      </c>
      <c r="I1103" s="2">
        <v>14746.39</v>
      </c>
      <c r="J1103" s="2">
        <v>0.08</v>
      </c>
      <c r="K1103" s="2">
        <v>40700.03</v>
      </c>
      <c r="L1103" s="2">
        <v>30873.5</v>
      </c>
      <c r="M1103" s="2">
        <v>9826.5300000000007</v>
      </c>
      <c r="N1103" s="2" t="s">
        <v>58</v>
      </c>
      <c r="O1103" s="2" t="s">
        <v>40</v>
      </c>
    </row>
    <row r="1104" spans="1:15" x14ac:dyDescent="0.3">
      <c r="A1104" s="2" t="s">
        <v>1256</v>
      </c>
      <c r="B1104" s="3">
        <v>45826</v>
      </c>
      <c r="C1104" s="2" t="s">
        <v>63</v>
      </c>
      <c r="D1104" s="2" t="s">
        <v>88</v>
      </c>
      <c r="E1104" s="2" t="s">
        <v>33</v>
      </c>
      <c r="F1104" s="2" t="s">
        <v>43</v>
      </c>
      <c r="G1104" s="2" t="s">
        <v>91</v>
      </c>
      <c r="H1104" s="2">
        <v>2</v>
      </c>
      <c r="I1104" s="2">
        <v>50431.65</v>
      </c>
      <c r="J1104" s="2">
        <v>0.08</v>
      </c>
      <c r="K1104" s="2">
        <v>92794.23</v>
      </c>
      <c r="L1104" s="2">
        <v>68828.17</v>
      </c>
      <c r="M1104" s="2">
        <v>23966.06</v>
      </c>
      <c r="N1104" s="2" t="s">
        <v>58</v>
      </c>
      <c r="O1104" s="2" t="s">
        <v>30</v>
      </c>
    </row>
    <row r="1105" spans="1:15" x14ac:dyDescent="0.3">
      <c r="A1105" s="2" t="s">
        <v>1257</v>
      </c>
      <c r="B1105" s="3">
        <v>45896</v>
      </c>
      <c r="C1105" s="2" t="s">
        <v>37</v>
      </c>
      <c r="D1105" s="2" t="s">
        <v>38</v>
      </c>
      <c r="E1105" s="2" t="s">
        <v>74</v>
      </c>
      <c r="F1105" s="2" t="s">
        <v>34</v>
      </c>
      <c r="G1105" s="2" t="s">
        <v>57</v>
      </c>
      <c r="H1105" s="2">
        <v>5</v>
      </c>
      <c r="I1105" s="2">
        <v>21139.11</v>
      </c>
      <c r="J1105" s="2">
        <v>0.05</v>
      </c>
      <c r="K1105" s="2">
        <v>100410.76</v>
      </c>
      <c r="L1105" s="2">
        <v>85543.77</v>
      </c>
      <c r="M1105" s="2">
        <v>14866.99</v>
      </c>
      <c r="N1105" s="2" t="s">
        <v>29</v>
      </c>
      <c r="O1105" s="2" t="s">
        <v>45</v>
      </c>
    </row>
    <row r="1106" spans="1:15" x14ac:dyDescent="0.3">
      <c r="A1106" s="2" t="s">
        <v>1258</v>
      </c>
      <c r="B1106" s="3">
        <v>45920</v>
      </c>
      <c r="C1106" s="2" t="s">
        <v>54</v>
      </c>
      <c r="D1106" s="2" t="s">
        <v>55</v>
      </c>
      <c r="E1106" s="2" t="s">
        <v>33</v>
      </c>
      <c r="F1106" s="2" t="s">
        <v>43</v>
      </c>
      <c r="G1106" s="2" t="s">
        <v>75</v>
      </c>
      <c r="H1106" s="2" t="s">
        <v>944</v>
      </c>
      <c r="I1106" s="2">
        <v>34799.480000000003</v>
      </c>
      <c r="J1106" s="2">
        <v>0</v>
      </c>
      <c r="K1106" s="2">
        <v>34799.480000000003</v>
      </c>
      <c r="L1106" s="2">
        <v>28719.16</v>
      </c>
      <c r="M1106" s="2">
        <v>6080.32</v>
      </c>
      <c r="N1106" s="2" t="s">
        <v>29</v>
      </c>
      <c r="O1106" s="2" t="s">
        <v>59</v>
      </c>
    </row>
    <row r="1107" spans="1:15" x14ac:dyDescent="0.3">
      <c r="A1107" s="2" t="s">
        <v>1259</v>
      </c>
      <c r="B1107" s="3">
        <v>45860</v>
      </c>
      <c r="C1107" s="2" t="s">
        <v>54</v>
      </c>
      <c r="D1107" s="2" t="s">
        <v>48</v>
      </c>
      <c r="E1107" s="2" t="s">
        <v>18</v>
      </c>
      <c r="F1107" s="2" t="s">
        <v>43</v>
      </c>
      <c r="G1107" s="2" t="s">
        <v>84</v>
      </c>
      <c r="H1107" s="2">
        <v>6</v>
      </c>
      <c r="I1107" s="2">
        <v>42845.77</v>
      </c>
      <c r="J1107" s="2">
        <v>0.1</v>
      </c>
      <c r="K1107" s="2">
        <v>231367.15</v>
      </c>
      <c r="L1107" s="2">
        <v>159028.28</v>
      </c>
      <c r="M1107" s="2">
        <v>72338.87</v>
      </c>
      <c r="N1107" s="2" t="s">
        <v>21</v>
      </c>
      <c r="O1107" s="2" t="s">
        <v>40</v>
      </c>
    </row>
    <row r="1108" spans="1:15" x14ac:dyDescent="0.3">
      <c r="A1108" s="2" t="s">
        <v>1260</v>
      </c>
      <c r="B1108" s="3">
        <v>45867</v>
      </c>
      <c r="C1108" s="2" t="s">
        <v>54</v>
      </c>
      <c r="D1108" s="2" t="s">
        <v>55</v>
      </c>
      <c r="E1108" s="2" t="s">
        <v>74</v>
      </c>
      <c r="F1108" s="2" t="s">
        <v>27</v>
      </c>
      <c r="G1108" s="2" t="s">
        <v>89</v>
      </c>
      <c r="H1108" s="2">
        <v>4</v>
      </c>
      <c r="I1108" s="2">
        <v>29993.71</v>
      </c>
      <c r="J1108" s="2">
        <v>0.05</v>
      </c>
      <c r="K1108" s="2">
        <v>113976.09</v>
      </c>
      <c r="L1108" s="2">
        <v>73012.47</v>
      </c>
      <c r="M1108" s="2">
        <v>40963.620000000003</v>
      </c>
      <c r="N1108" s="2" t="s">
        <v>21</v>
      </c>
      <c r="O1108" s="2" t="s">
        <v>45</v>
      </c>
    </row>
    <row r="1109" spans="1:15" x14ac:dyDescent="0.3">
      <c r="A1109" s="2" t="s">
        <v>1261</v>
      </c>
      <c r="B1109" s="3">
        <v>45726</v>
      </c>
      <c r="C1109" s="2" t="s">
        <v>63</v>
      </c>
      <c r="D1109" s="2" t="s">
        <v>88</v>
      </c>
      <c r="E1109" s="2" t="s">
        <v>26</v>
      </c>
      <c r="F1109" s="2" t="s">
        <v>43</v>
      </c>
      <c r="G1109" s="2" t="s">
        <v>75</v>
      </c>
      <c r="H1109" s="2">
        <v>8</v>
      </c>
      <c r="I1109" s="2">
        <v>38876.14</v>
      </c>
      <c r="J1109" s="2">
        <v>0.15</v>
      </c>
      <c r="K1109" s="2">
        <v>264357.75</v>
      </c>
      <c r="L1109" s="2">
        <v>211126.9</v>
      </c>
      <c r="M1109" s="2">
        <v>53230.85</v>
      </c>
      <c r="N1109" s="2" t="s">
        <v>21</v>
      </c>
      <c r="O1109" s="2" t="s">
        <v>22</v>
      </c>
    </row>
    <row r="1110" spans="1:15" x14ac:dyDescent="0.3">
      <c r="A1110" s="2" t="s">
        <v>1262</v>
      </c>
      <c r="B1110" s="3">
        <v>45805</v>
      </c>
      <c r="C1110" s="2" t="s">
        <v>54</v>
      </c>
      <c r="D1110" s="2" t="s">
        <v>174</v>
      </c>
      <c r="E1110" s="2" t="s">
        <v>74</v>
      </c>
      <c r="F1110" s="2" t="s">
        <v>27</v>
      </c>
      <c r="G1110" s="2" t="s">
        <v>125</v>
      </c>
      <c r="H1110" s="2">
        <v>3</v>
      </c>
      <c r="I1110" s="2">
        <v>8412.74</v>
      </c>
      <c r="J1110" s="2">
        <v>0.05</v>
      </c>
      <c r="K1110" s="2">
        <v>23976.32</v>
      </c>
      <c r="L1110" s="2">
        <v>17196.72</v>
      </c>
      <c r="M1110" s="2">
        <v>6779.6</v>
      </c>
      <c r="N1110" s="2" t="s">
        <v>29</v>
      </c>
      <c r="O1110" s="2" t="s">
        <v>40</v>
      </c>
    </row>
    <row r="1111" spans="1:15" x14ac:dyDescent="0.3">
      <c r="A1111" s="2" t="s">
        <v>1263</v>
      </c>
      <c r="B1111" s="3">
        <v>45903</v>
      </c>
      <c r="C1111" s="2" t="s">
        <v>63</v>
      </c>
      <c r="D1111" s="2" t="s">
        <v>88</v>
      </c>
      <c r="E1111" s="2" t="s">
        <v>49</v>
      </c>
      <c r="F1111" s="2" t="s">
        <v>34</v>
      </c>
      <c r="G1111" s="2" t="s">
        <v>80</v>
      </c>
      <c r="H1111" s="2">
        <v>6</v>
      </c>
      <c r="I1111" s="2">
        <v>4324.97</v>
      </c>
      <c r="J1111" s="2">
        <v>0.03</v>
      </c>
      <c r="K1111" s="2">
        <v>25171.3</v>
      </c>
      <c r="L1111" s="2">
        <v>19778.61</v>
      </c>
      <c r="M1111" s="2">
        <v>5392.69</v>
      </c>
      <c r="N1111" s="2" t="s">
        <v>29</v>
      </c>
      <c r="O1111" s="2" t="s">
        <v>40</v>
      </c>
    </row>
    <row r="1112" spans="1:15" x14ac:dyDescent="0.3">
      <c r="A1112" s="2" t="s">
        <v>1264</v>
      </c>
      <c r="B1112" s="3">
        <v>45837</v>
      </c>
      <c r="C1112" s="2" t="s">
        <v>37</v>
      </c>
      <c r="D1112" s="2" t="s">
        <v>68</v>
      </c>
      <c r="E1112" s="2" t="s">
        <v>33</v>
      </c>
      <c r="F1112" s="2" t="s">
        <v>34</v>
      </c>
      <c r="G1112" s="2" t="s">
        <v>57</v>
      </c>
      <c r="H1112" s="2">
        <v>7</v>
      </c>
      <c r="I1112" s="2">
        <v>21339.67</v>
      </c>
      <c r="J1112" s="2">
        <v>0.05</v>
      </c>
      <c r="K1112" s="2">
        <v>141908.79999999999</v>
      </c>
      <c r="L1112" s="2">
        <v>108035.49</v>
      </c>
      <c r="M1112" s="2">
        <v>33873.31</v>
      </c>
      <c r="N1112" s="2" t="s">
        <v>29</v>
      </c>
      <c r="O1112" s="2" t="s">
        <v>40</v>
      </c>
    </row>
    <row r="1113" spans="1:15" x14ac:dyDescent="0.3">
      <c r="A1113" s="2" t="s">
        <v>1265</v>
      </c>
      <c r="B1113" s="3">
        <v>45938</v>
      </c>
      <c r="C1113" s="2" t="s">
        <v>16</v>
      </c>
      <c r="D1113" s="2" t="s">
        <v>82</v>
      </c>
      <c r="E1113" s="2" t="s">
        <v>18</v>
      </c>
      <c r="F1113" s="2" t="s">
        <v>43</v>
      </c>
      <c r="G1113" s="2" t="s">
        <v>121</v>
      </c>
      <c r="H1113" s="2">
        <v>5</v>
      </c>
      <c r="I1113" s="2">
        <v>4784</v>
      </c>
      <c r="J1113" s="2">
        <v>0</v>
      </c>
      <c r="K1113" s="2">
        <v>23920</v>
      </c>
      <c r="L1113" s="2">
        <v>18569.5</v>
      </c>
      <c r="M1113" s="2">
        <v>5350.5</v>
      </c>
      <c r="N1113" s="2" t="s">
        <v>58</v>
      </c>
      <c r="O1113" s="2" t="s">
        <v>59</v>
      </c>
    </row>
    <row r="1114" spans="1:15" x14ac:dyDescent="0.3">
      <c r="A1114" s="2" t="s">
        <v>1266</v>
      </c>
      <c r="B1114" s="3">
        <v>45687</v>
      </c>
      <c r="C1114" s="2" t="s">
        <v>63</v>
      </c>
      <c r="D1114" s="2" t="s">
        <v>88</v>
      </c>
      <c r="E1114" s="2" t="s">
        <v>33</v>
      </c>
      <c r="F1114" s="2" t="s">
        <v>34</v>
      </c>
      <c r="G1114" s="2" t="s">
        <v>35</v>
      </c>
      <c r="H1114" s="2">
        <v>2</v>
      </c>
      <c r="I1114" s="2">
        <v>18411.88</v>
      </c>
      <c r="J1114" s="2">
        <v>0.05</v>
      </c>
      <c r="K1114" s="2">
        <v>34982.57</v>
      </c>
      <c r="L1114" s="2">
        <v>29841.34</v>
      </c>
      <c r="M1114" s="2">
        <v>5141.2299999999996</v>
      </c>
      <c r="N1114" s="2" t="s">
        <v>21</v>
      </c>
      <c r="O1114" s="2" t="s">
        <v>40</v>
      </c>
    </row>
    <row r="1115" spans="1:15" x14ac:dyDescent="0.3">
      <c r="A1115" s="2" t="s">
        <v>1267</v>
      </c>
      <c r="B1115" s="3">
        <v>45712</v>
      </c>
      <c r="C1115" s="2" t="s">
        <v>16</v>
      </c>
      <c r="D1115" s="2" t="s">
        <v>82</v>
      </c>
      <c r="E1115" s="2" t="s">
        <v>56</v>
      </c>
      <c r="F1115" s="2" t="s">
        <v>34</v>
      </c>
      <c r="G1115" s="2" t="s">
        <v>39</v>
      </c>
      <c r="H1115" s="2">
        <v>1</v>
      </c>
      <c r="I1115" s="2">
        <v>30369.97</v>
      </c>
      <c r="J1115" s="2">
        <v>0.1</v>
      </c>
      <c r="K1115" s="2">
        <v>27332.97</v>
      </c>
      <c r="L1115" s="2">
        <v>22611.73</v>
      </c>
      <c r="M1115" s="2">
        <v>4721.24</v>
      </c>
      <c r="N1115" s="2" t="s">
        <v>21</v>
      </c>
      <c r="O1115" s="2" t="s">
        <v>22</v>
      </c>
    </row>
    <row r="1116" spans="1:15" x14ac:dyDescent="0.3">
      <c r="A1116" s="2" t="s">
        <v>1268</v>
      </c>
      <c r="B1116" s="3">
        <v>45666</v>
      </c>
      <c r="C1116" s="2" t="s">
        <v>16</v>
      </c>
      <c r="D1116" s="2" t="s">
        <v>17</v>
      </c>
      <c r="E1116" s="2" t="s">
        <v>18</v>
      </c>
      <c r="F1116" s="2" t="s">
        <v>34</v>
      </c>
      <c r="G1116" s="2" t="s">
        <v>35</v>
      </c>
      <c r="H1116" s="2">
        <v>8</v>
      </c>
      <c r="I1116" s="2">
        <v>16634.32</v>
      </c>
      <c r="J1116" s="2">
        <v>0</v>
      </c>
      <c r="K1116" s="2">
        <v>133074.6</v>
      </c>
      <c r="L1116" s="2">
        <v>102381.7</v>
      </c>
      <c r="M1116" s="2">
        <v>30692.9</v>
      </c>
      <c r="N1116" s="2" t="s">
        <v>21</v>
      </c>
      <c r="O1116" s="2" t="s">
        <v>59</v>
      </c>
    </row>
    <row r="1117" spans="1:15" x14ac:dyDescent="0.3">
      <c r="A1117" s="2" t="s">
        <v>1269</v>
      </c>
      <c r="B1117" s="3">
        <v>45881</v>
      </c>
      <c r="C1117" s="2" t="s">
        <v>54</v>
      </c>
      <c r="D1117" s="2" t="s">
        <v>48</v>
      </c>
      <c r="E1117" s="2" t="s">
        <v>69</v>
      </c>
      <c r="F1117" s="2" t="s">
        <v>27</v>
      </c>
      <c r="G1117" s="2" t="s">
        <v>66</v>
      </c>
      <c r="H1117" s="2">
        <v>3</v>
      </c>
      <c r="I1117" s="2">
        <v>11714.34</v>
      </c>
      <c r="J1117" s="2">
        <v>0.15</v>
      </c>
      <c r="K1117" s="2">
        <v>29871.57</v>
      </c>
      <c r="L1117" s="2">
        <v>21030.1</v>
      </c>
      <c r="M1117" s="2">
        <v>8841.4699999999993</v>
      </c>
      <c r="N1117" s="2" t="s">
        <v>21</v>
      </c>
      <c r="O1117" s="2" t="s">
        <v>40</v>
      </c>
    </row>
    <row r="1118" spans="1:15" x14ac:dyDescent="0.3">
      <c r="A1118" s="2" t="s">
        <v>1270</v>
      </c>
      <c r="B1118" s="3">
        <v>45990</v>
      </c>
      <c r="C1118" s="2" t="s">
        <v>37</v>
      </c>
      <c r="D1118" s="2" t="s">
        <v>38</v>
      </c>
      <c r="E1118" s="2" t="s">
        <v>49</v>
      </c>
      <c r="F1118" s="2" t="s">
        <v>27</v>
      </c>
      <c r="G1118" s="2" t="s">
        <v>125</v>
      </c>
      <c r="H1118" s="2">
        <v>2</v>
      </c>
      <c r="I1118" s="2">
        <v>8374.5300000000007</v>
      </c>
      <c r="J1118" s="2">
        <v>0.1</v>
      </c>
      <c r="K1118" s="2">
        <v>15074.15</v>
      </c>
      <c r="L1118" s="2">
        <v>11737.34</v>
      </c>
      <c r="M1118" s="2">
        <v>3336.81</v>
      </c>
      <c r="N1118" s="2" t="s">
        <v>29</v>
      </c>
      <c r="O1118" s="2" t="s">
        <v>40</v>
      </c>
    </row>
    <row r="1119" spans="1:15" x14ac:dyDescent="0.3">
      <c r="A1119" s="2" t="s">
        <v>1271</v>
      </c>
      <c r="B1119" s="3">
        <v>45904</v>
      </c>
      <c r="C1119" s="2" t="s">
        <v>54</v>
      </c>
      <c r="D1119" s="2" t="s">
        <v>174</v>
      </c>
      <c r="E1119" s="2" t="s">
        <v>74</v>
      </c>
      <c r="F1119" s="2" t="s">
        <v>43</v>
      </c>
      <c r="G1119" s="2" t="s">
        <v>75</v>
      </c>
      <c r="H1119" s="2">
        <v>2</v>
      </c>
      <c r="I1119" s="2">
        <v>36443</v>
      </c>
      <c r="J1119" s="2">
        <v>0.08</v>
      </c>
      <c r="K1119" s="2">
        <v>67055.12</v>
      </c>
      <c r="L1119" s="2">
        <v>44706.23</v>
      </c>
      <c r="M1119" s="2">
        <v>22348.89</v>
      </c>
      <c r="N1119" s="2" t="s">
        <v>21</v>
      </c>
      <c r="O1119" s="2" t="s">
        <v>22</v>
      </c>
    </row>
    <row r="1120" spans="1:15" x14ac:dyDescent="0.3">
      <c r="A1120" s="2" t="s">
        <v>1272</v>
      </c>
      <c r="B1120" s="3">
        <v>45983</v>
      </c>
      <c r="C1120" s="2" t="s">
        <v>37</v>
      </c>
      <c r="D1120" s="2" t="s">
        <v>42</v>
      </c>
      <c r="E1120" s="2" t="s">
        <v>49</v>
      </c>
      <c r="F1120" s="2" t="s">
        <v>19</v>
      </c>
      <c r="G1120" s="2" t="s">
        <v>61</v>
      </c>
      <c r="H1120" s="2">
        <v>6</v>
      </c>
      <c r="I1120" s="2" t="s">
        <v>1273</v>
      </c>
      <c r="J1120" s="2">
        <v>0.03</v>
      </c>
      <c r="K1120" s="2">
        <v>55596.800000000003</v>
      </c>
      <c r="L1120" s="2">
        <v>43867.44</v>
      </c>
      <c r="M1120" s="2">
        <v>11729.36</v>
      </c>
      <c r="N1120" s="2" t="s">
        <v>58</v>
      </c>
      <c r="O1120" s="2" t="s">
        <v>45</v>
      </c>
    </row>
    <row r="1121" spans="1:15" x14ac:dyDescent="0.3">
      <c r="A1121" s="2" t="s">
        <v>111</v>
      </c>
      <c r="B1121" s="3">
        <v>45914</v>
      </c>
      <c r="C1121" s="2" t="s">
        <v>16</v>
      </c>
      <c r="D1121" s="2" t="s">
        <v>52</v>
      </c>
      <c r="E1121" s="2" t="s">
        <v>74</v>
      </c>
      <c r="F1121" s="2" t="s">
        <v>19</v>
      </c>
      <c r="G1121" s="2" t="s">
        <v>61</v>
      </c>
      <c r="H1121" s="2">
        <v>4</v>
      </c>
      <c r="I1121" s="2">
        <v>8819.44</v>
      </c>
      <c r="J1121" s="2">
        <v>0.08</v>
      </c>
      <c r="K1121" s="2">
        <v>32455.55</v>
      </c>
      <c r="L1121" s="2">
        <v>24041.54</v>
      </c>
      <c r="M1121" s="2">
        <v>8414.01</v>
      </c>
      <c r="N1121" s="2" t="s">
        <v>29</v>
      </c>
      <c r="O1121" s="2" t="s">
        <v>45</v>
      </c>
    </row>
    <row r="1122" spans="1:15" x14ac:dyDescent="0.3">
      <c r="A1122" s="2" t="s">
        <v>60</v>
      </c>
      <c r="B1122" s="3">
        <v>45756</v>
      </c>
      <c r="C1122" s="2" t="s">
        <v>37</v>
      </c>
      <c r="D1122" s="2" t="s">
        <v>38</v>
      </c>
      <c r="E1122" s="2" t="s">
        <v>56</v>
      </c>
      <c r="F1122" s="2" t="s">
        <v>19</v>
      </c>
      <c r="G1122" s="2" t="s">
        <v>61</v>
      </c>
      <c r="H1122" s="2">
        <v>1</v>
      </c>
      <c r="I1122" s="2">
        <v>8371.52</v>
      </c>
      <c r="J1122" s="2">
        <v>0.03</v>
      </c>
      <c r="K1122" s="2">
        <v>8120.38</v>
      </c>
      <c r="L1122" s="2">
        <v>5668.38</v>
      </c>
      <c r="M1122" s="2">
        <v>2452</v>
      </c>
      <c r="N1122" s="2" t="s">
        <v>29</v>
      </c>
      <c r="O1122" s="2" t="s">
        <v>22</v>
      </c>
    </row>
    <row r="1123" spans="1:15" x14ac:dyDescent="0.3">
      <c r="A1123" s="2" t="s">
        <v>1274</v>
      </c>
      <c r="B1123" s="3">
        <v>45764</v>
      </c>
      <c r="C1123" s="2" t="s">
        <v>16</v>
      </c>
      <c r="D1123" s="2" t="s">
        <v>32</v>
      </c>
      <c r="E1123" s="2" t="s">
        <v>18</v>
      </c>
      <c r="F1123" s="2" t="s">
        <v>43</v>
      </c>
      <c r="G1123" s="2" t="s">
        <v>75</v>
      </c>
      <c r="H1123" s="2">
        <v>3</v>
      </c>
      <c r="I1123" s="2">
        <v>38129.42</v>
      </c>
      <c r="J1123" s="2">
        <v>0.08</v>
      </c>
      <c r="K1123" s="2">
        <v>105237.19</v>
      </c>
      <c r="L1123" s="2">
        <v>90343.23</v>
      </c>
      <c r="M1123" s="2">
        <v>14893.96</v>
      </c>
      <c r="N1123" s="2" t="s">
        <v>29</v>
      </c>
      <c r="O1123" s="2" t="s">
        <v>45</v>
      </c>
    </row>
    <row r="1124" spans="1:15" x14ac:dyDescent="0.3">
      <c r="A1124" s="2" t="s">
        <v>1275</v>
      </c>
      <c r="B1124" s="3">
        <v>45670</v>
      </c>
      <c r="C1124" s="2" t="s">
        <v>54</v>
      </c>
      <c r="D1124" s="2" t="s">
        <v>124</v>
      </c>
      <c r="E1124" s="2" t="s">
        <v>18</v>
      </c>
      <c r="F1124" s="2" t="s">
        <v>43</v>
      </c>
      <c r="G1124" s="2" t="s">
        <v>121</v>
      </c>
      <c r="H1124" s="2">
        <v>7</v>
      </c>
      <c r="I1124" s="2">
        <v>5017.46</v>
      </c>
      <c r="J1124" s="2">
        <v>0.03</v>
      </c>
      <c r="K1124" s="2">
        <v>34068.54</v>
      </c>
      <c r="L1124" s="2">
        <v>28416.13</v>
      </c>
      <c r="M1124" s="2">
        <v>5652.41</v>
      </c>
      <c r="N1124" s="2" t="s">
        <v>58</v>
      </c>
      <c r="O1124" s="2" t="s">
        <v>59</v>
      </c>
    </row>
    <row r="1125" spans="1:15" x14ac:dyDescent="0.3">
      <c r="A1125" s="2" t="s">
        <v>1276</v>
      </c>
      <c r="B1125" s="3">
        <v>45754</v>
      </c>
      <c r="C1125" s="2" t="s">
        <v>37</v>
      </c>
      <c r="D1125" s="2" t="s">
        <v>42</v>
      </c>
      <c r="E1125" s="2" t="s">
        <v>49</v>
      </c>
      <c r="F1125" s="2" t="s">
        <v>34</v>
      </c>
      <c r="G1125" s="2" t="s">
        <v>57</v>
      </c>
      <c r="H1125" s="2">
        <v>5</v>
      </c>
      <c r="I1125" s="2" t="s">
        <v>1277</v>
      </c>
      <c r="J1125" s="2">
        <v>0.1</v>
      </c>
      <c r="K1125" s="2">
        <v>91618.11</v>
      </c>
      <c r="L1125" s="2">
        <v>67048.570000000007</v>
      </c>
      <c r="M1125" s="2">
        <v>24569.54</v>
      </c>
      <c r="N1125" s="2" t="s">
        <v>58</v>
      </c>
      <c r="O1125" s="2" t="s">
        <v>22</v>
      </c>
    </row>
    <row r="1126" spans="1:15" x14ac:dyDescent="0.3">
      <c r="A1126" s="2" t="s">
        <v>1278</v>
      </c>
      <c r="B1126" s="3">
        <v>45943</v>
      </c>
      <c r="C1126" s="2" t="s">
        <v>16</v>
      </c>
      <c r="D1126" s="2" t="s">
        <v>17</v>
      </c>
      <c r="E1126" s="2" t="s">
        <v>18</v>
      </c>
      <c r="F1126" s="2" t="s">
        <v>34</v>
      </c>
      <c r="G1126" s="2" t="s">
        <v>39</v>
      </c>
      <c r="H1126" s="2">
        <v>4</v>
      </c>
      <c r="I1126" s="2">
        <v>28011.02</v>
      </c>
      <c r="J1126" s="2">
        <v>0</v>
      </c>
      <c r="K1126" s="2">
        <v>112044.08</v>
      </c>
      <c r="L1126" s="2">
        <v>76655.98</v>
      </c>
      <c r="M1126" s="2">
        <v>35388.1</v>
      </c>
      <c r="N1126" s="2" t="s">
        <v>21</v>
      </c>
      <c r="O1126" s="2" t="s">
        <v>40</v>
      </c>
    </row>
    <row r="1127" spans="1:15" x14ac:dyDescent="0.3">
      <c r="A1127" s="2" t="s">
        <v>1279</v>
      </c>
      <c r="B1127" s="3">
        <v>45822</v>
      </c>
      <c r="C1127" s="2" t="s">
        <v>37</v>
      </c>
      <c r="D1127" s="2" t="s">
        <v>25</v>
      </c>
      <c r="E1127" s="2" t="s">
        <v>69</v>
      </c>
      <c r="F1127" s="2" t="s">
        <v>27</v>
      </c>
      <c r="G1127" s="2" t="s">
        <v>125</v>
      </c>
      <c r="H1127" s="2">
        <v>8</v>
      </c>
      <c r="I1127" s="2">
        <v>9101.67</v>
      </c>
      <c r="J1127" s="2">
        <v>0.05</v>
      </c>
      <c r="K1127" s="2">
        <v>69172.679999999993</v>
      </c>
      <c r="L1127" s="2">
        <v>48052.88</v>
      </c>
      <c r="M1127" s="2">
        <v>21119.8</v>
      </c>
      <c r="N1127" s="2" t="s">
        <v>21</v>
      </c>
      <c r="O1127" s="2" t="s">
        <v>30</v>
      </c>
    </row>
    <row r="1128" spans="1:15" x14ac:dyDescent="0.3">
      <c r="A1128" s="2" t="s">
        <v>1280</v>
      </c>
      <c r="B1128" s="3">
        <v>45662</v>
      </c>
      <c r="C1128" s="2" t="s">
        <v>37</v>
      </c>
      <c r="D1128" s="2" t="s">
        <v>68</v>
      </c>
      <c r="E1128" s="2" t="s">
        <v>26</v>
      </c>
      <c r="F1128" s="2" t="s">
        <v>19</v>
      </c>
      <c r="G1128" s="2" t="s">
        <v>61</v>
      </c>
      <c r="H1128" s="2">
        <v>8</v>
      </c>
      <c r="I1128" s="2">
        <v>9703.01</v>
      </c>
      <c r="J1128" s="2">
        <v>0.05</v>
      </c>
      <c r="K1128" s="2">
        <v>73742.899999999994</v>
      </c>
      <c r="L1128" s="2">
        <v>56328.59</v>
      </c>
      <c r="M1128" s="2">
        <v>17414.310000000001</v>
      </c>
      <c r="N1128" s="2" t="s">
        <v>21</v>
      </c>
      <c r="O1128" s="2" t="s">
        <v>30</v>
      </c>
    </row>
    <row r="1129" spans="1:15" x14ac:dyDescent="0.3">
      <c r="A1129" s="2" t="s">
        <v>1281</v>
      </c>
      <c r="B1129" s="3">
        <v>46015</v>
      </c>
      <c r="C1129" s="2" t="s">
        <v>63</v>
      </c>
      <c r="D1129" s="2" t="s">
        <v>95</v>
      </c>
      <c r="E1129" s="2" t="s">
        <v>49</v>
      </c>
      <c r="F1129" s="2" t="s">
        <v>27</v>
      </c>
      <c r="G1129" s="2" t="s">
        <v>125</v>
      </c>
      <c r="H1129" s="2">
        <v>7</v>
      </c>
      <c r="I1129" s="2">
        <v>7943.87</v>
      </c>
      <c r="J1129" s="2"/>
      <c r="K1129" s="2">
        <v>55607.12</v>
      </c>
      <c r="L1129" s="2">
        <v>38943.800000000003</v>
      </c>
      <c r="M1129" s="2">
        <v>16663.32</v>
      </c>
      <c r="N1129" s="2" t="s">
        <v>21</v>
      </c>
      <c r="O1129" s="2" t="s">
        <v>30</v>
      </c>
    </row>
    <row r="1130" spans="1:15" x14ac:dyDescent="0.3">
      <c r="A1130" s="2" t="s">
        <v>1282</v>
      </c>
      <c r="B1130" s="3">
        <v>45922</v>
      </c>
      <c r="C1130" s="2" t="s">
        <v>37</v>
      </c>
      <c r="D1130" s="2" t="s">
        <v>42</v>
      </c>
      <c r="E1130" s="2" t="s">
        <v>49</v>
      </c>
      <c r="F1130" s="2" t="s">
        <v>43</v>
      </c>
      <c r="G1130" s="2" t="s">
        <v>75</v>
      </c>
      <c r="H1130" s="2">
        <v>2</v>
      </c>
      <c r="I1130" s="2">
        <v>34849.31</v>
      </c>
      <c r="J1130" s="2">
        <v>0.05</v>
      </c>
      <c r="K1130" s="2">
        <v>66213.69</v>
      </c>
      <c r="L1130" s="2">
        <v>47539.66</v>
      </c>
      <c r="M1130" s="2">
        <v>18674.03</v>
      </c>
      <c r="N1130" s="2" t="s">
        <v>58</v>
      </c>
      <c r="O1130" s="2" t="s">
        <v>45</v>
      </c>
    </row>
    <row r="1131" spans="1:15" x14ac:dyDescent="0.3">
      <c r="A1131" s="2" t="s">
        <v>1283</v>
      </c>
      <c r="B1131" s="3">
        <v>45676</v>
      </c>
      <c r="C1131" s="2" t="s">
        <v>54</v>
      </c>
      <c r="D1131" s="2" t="s">
        <v>55</v>
      </c>
      <c r="E1131" s="2" t="s">
        <v>69</v>
      </c>
      <c r="F1131" s="2" t="s">
        <v>34</v>
      </c>
      <c r="G1131" s="2" t="s">
        <v>70</v>
      </c>
      <c r="H1131" s="2">
        <v>5</v>
      </c>
      <c r="I1131" s="2">
        <v>67271.789999999994</v>
      </c>
      <c r="J1131" s="2">
        <v>0.05</v>
      </c>
      <c r="K1131" s="2" t="s">
        <v>1284</v>
      </c>
      <c r="L1131" s="2">
        <v>267514.33</v>
      </c>
      <c r="M1131" s="2">
        <v>52026.68</v>
      </c>
      <c r="N1131" s="2" t="s">
        <v>29</v>
      </c>
      <c r="O1131" s="2" t="s">
        <v>30</v>
      </c>
    </row>
    <row r="1132" spans="1:15" x14ac:dyDescent="0.3">
      <c r="A1132" s="2" t="s">
        <v>1285</v>
      </c>
      <c r="B1132" s="3">
        <v>45847</v>
      </c>
      <c r="C1132" s="2" t="s">
        <v>54</v>
      </c>
      <c r="D1132" s="2" t="s">
        <v>124</v>
      </c>
      <c r="E1132" s="2" t="s">
        <v>49</v>
      </c>
      <c r="F1132" s="2" t="s">
        <v>34</v>
      </c>
      <c r="G1132" s="2" t="s">
        <v>57</v>
      </c>
      <c r="H1132" s="2">
        <v>7</v>
      </c>
      <c r="I1132" s="2">
        <v>21347.1</v>
      </c>
      <c r="J1132" s="2">
        <v>0.08</v>
      </c>
      <c r="K1132" s="2">
        <v>137475.34</v>
      </c>
      <c r="L1132" s="2">
        <v>112496.7</v>
      </c>
      <c r="M1132" s="2">
        <v>24978.639999999999</v>
      </c>
      <c r="N1132" s="2" t="s">
        <v>21</v>
      </c>
      <c r="O1132" s="2" t="s">
        <v>40</v>
      </c>
    </row>
    <row r="1133" spans="1:15" x14ac:dyDescent="0.3">
      <c r="A1133" s="2" t="s">
        <v>1286</v>
      </c>
      <c r="B1133" s="3">
        <v>45987</v>
      </c>
      <c r="C1133" s="2" t="s">
        <v>37</v>
      </c>
      <c r="D1133" s="2" t="s">
        <v>42</v>
      </c>
      <c r="E1133" s="2" t="s">
        <v>26</v>
      </c>
      <c r="F1133" s="2" t="s">
        <v>19</v>
      </c>
      <c r="G1133" s="2" t="s">
        <v>108</v>
      </c>
      <c r="H1133" s="2">
        <v>7</v>
      </c>
      <c r="I1133" s="2">
        <v>15561.9</v>
      </c>
      <c r="J1133" s="2">
        <v>0</v>
      </c>
      <c r="K1133" s="2">
        <v>108933.29</v>
      </c>
      <c r="L1133" s="2">
        <v>88174.97</v>
      </c>
      <c r="M1133" s="2">
        <v>20758.32</v>
      </c>
      <c r="N1133" s="2" t="s">
        <v>58</v>
      </c>
      <c r="O1133" s="2" t="s">
        <v>22</v>
      </c>
    </row>
    <row r="1134" spans="1:15" x14ac:dyDescent="0.3">
      <c r="A1134" s="2" t="s">
        <v>1287</v>
      </c>
      <c r="B1134" s="3">
        <v>45766</v>
      </c>
      <c r="C1134" s="2" t="s">
        <v>37</v>
      </c>
      <c r="D1134" s="2" t="s">
        <v>42</v>
      </c>
      <c r="E1134" s="2" t="s">
        <v>69</v>
      </c>
      <c r="F1134" s="2" t="s">
        <v>43</v>
      </c>
      <c r="G1134" s="2" t="s">
        <v>84</v>
      </c>
      <c r="H1134" s="2">
        <v>4</v>
      </c>
      <c r="I1134" s="2">
        <v>44530.79</v>
      </c>
      <c r="J1134" s="2">
        <v>0.1</v>
      </c>
      <c r="K1134" s="2">
        <v>160310.82999999999</v>
      </c>
      <c r="L1134" s="2">
        <v>119738.28</v>
      </c>
      <c r="M1134" s="2">
        <v>40572.550000000003</v>
      </c>
      <c r="N1134" s="2" t="s">
        <v>29</v>
      </c>
      <c r="O1134" s="2" t="s">
        <v>40</v>
      </c>
    </row>
    <row r="1135" spans="1:15" x14ac:dyDescent="0.3">
      <c r="A1135" s="2" t="s">
        <v>1288</v>
      </c>
      <c r="B1135" s="3">
        <v>45733</v>
      </c>
      <c r="C1135" s="2" t="s">
        <v>54</v>
      </c>
      <c r="D1135" s="2" t="s">
        <v>55</v>
      </c>
      <c r="E1135" s="2" t="s">
        <v>69</v>
      </c>
      <c r="F1135" s="2" t="s">
        <v>19</v>
      </c>
      <c r="G1135" s="2" t="s">
        <v>106</v>
      </c>
      <c r="H1135" s="2">
        <v>5</v>
      </c>
      <c r="I1135" s="2">
        <v>14871.1</v>
      </c>
      <c r="J1135" s="2">
        <v>0.08</v>
      </c>
      <c r="K1135" s="2">
        <v>68407.06</v>
      </c>
      <c r="L1135" s="2">
        <v>52978.06</v>
      </c>
      <c r="M1135" s="2">
        <v>15429</v>
      </c>
      <c r="N1135" s="2" t="s">
        <v>29</v>
      </c>
      <c r="O1135" s="2" t="s">
        <v>30</v>
      </c>
    </row>
    <row r="1136" spans="1:15" x14ac:dyDescent="0.3">
      <c r="A1136" s="2" t="s">
        <v>1289</v>
      </c>
      <c r="B1136" s="3">
        <v>45667</v>
      </c>
      <c r="C1136" s="2" t="s">
        <v>54</v>
      </c>
      <c r="D1136" s="2" t="s">
        <v>55</v>
      </c>
      <c r="E1136" s="2" t="s">
        <v>69</v>
      </c>
      <c r="F1136" s="2" t="s">
        <v>34</v>
      </c>
      <c r="G1136" s="2" t="s">
        <v>35</v>
      </c>
      <c r="H1136" s="2">
        <v>5</v>
      </c>
      <c r="I1136" s="2">
        <v>17452.599999999999</v>
      </c>
      <c r="J1136" s="2">
        <v>0.1</v>
      </c>
      <c r="K1136" s="2">
        <v>78536.69</v>
      </c>
      <c r="L1136" s="2">
        <v>61664.01</v>
      </c>
      <c r="M1136" s="2">
        <v>16872.68</v>
      </c>
      <c r="N1136" s="2" t="s">
        <v>58</v>
      </c>
      <c r="O1136" s="2" t="s">
        <v>40</v>
      </c>
    </row>
    <row r="1137" spans="1:15" x14ac:dyDescent="0.3">
      <c r="A1137" s="2" t="s">
        <v>1290</v>
      </c>
      <c r="B1137" s="3">
        <v>45762</v>
      </c>
      <c r="C1137" s="2" t="s">
        <v>37</v>
      </c>
      <c r="D1137" s="2" t="s">
        <v>42</v>
      </c>
      <c r="E1137" s="2" t="s">
        <v>74</v>
      </c>
      <c r="F1137" s="2" t="s">
        <v>34</v>
      </c>
      <c r="G1137" s="2" t="s">
        <v>70</v>
      </c>
      <c r="H1137" s="2">
        <v>2</v>
      </c>
      <c r="I1137" s="2">
        <v>61463.61</v>
      </c>
      <c r="J1137" s="2">
        <v>0</v>
      </c>
      <c r="K1137" s="2">
        <v>122927.23</v>
      </c>
      <c r="L1137" s="2">
        <v>99288.52</v>
      </c>
      <c r="M1137" s="2">
        <v>23638.71</v>
      </c>
      <c r="N1137" s="2" t="s">
        <v>21</v>
      </c>
      <c r="O1137" s="2" t="s">
        <v>40</v>
      </c>
    </row>
    <row r="1138" spans="1:15" x14ac:dyDescent="0.3">
      <c r="A1138" s="2" t="s">
        <v>1291</v>
      </c>
      <c r="B1138" s="3">
        <v>45821</v>
      </c>
      <c r="C1138" s="2" t="s">
        <v>63</v>
      </c>
      <c r="D1138" s="2" t="s">
        <v>64</v>
      </c>
      <c r="E1138" s="2" t="s">
        <v>33</v>
      </c>
      <c r="F1138" s="2" t="s">
        <v>34</v>
      </c>
      <c r="G1138" s="2" t="s">
        <v>80</v>
      </c>
      <c r="H1138" s="2">
        <v>3</v>
      </c>
      <c r="I1138" s="2">
        <v>4684.96</v>
      </c>
      <c r="J1138" s="2">
        <v>0</v>
      </c>
      <c r="K1138" s="2">
        <v>14054.87</v>
      </c>
      <c r="L1138" s="2">
        <v>11949.33</v>
      </c>
      <c r="M1138" s="2">
        <v>2105.54</v>
      </c>
      <c r="N1138" s="2" t="s">
        <v>21</v>
      </c>
      <c r="O1138" s="2" t="s">
        <v>40</v>
      </c>
    </row>
    <row r="1139" spans="1:15" x14ac:dyDescent="0.3">
      <c r="A1139" s="2" t="s">
        <v>1292</v>
      </c>
      <c r="B1139" s="3">
        <v>45722</v>
      </c>
      <c r="C1139" s="2" t="s">
        <v>37</v>
      </c>
      <c r="D1139" s="2" t="s">
        <v>25</v>
      </c>
      <c r="E1139" s="2" t="s">
        <v>26</v>
      </c>
      <c r="F1139" s="2" t="s">
        <v>43</v>
      </c>
      <c r="G1139" s="2" t="s">
        <v>84</v>
      </c>
      <c r="H1139" s="2">
        <v>5</v>
      </c>
      <c r="I1139" s="2">
        <v>39076.120000000003</v>
      </c>
      <c r="J1139" s="2">
        <v>0.08</v>
      </c>
      <c r="K1139" s="2">
        <v>179750.16</v>
      </c>
      <c r="L1139" s="2">
        <v>129427.99</v>
      </c>
      <c r="M1139" s="2">
        <v>50322.17</v>
      </c>
      <c r="N1139" s="2" t="s">
        <v>58</v>
      </c>
      <c r="O1139" s="2" t="s">
        <v>40</v>
      </c>
    </row>
    <row r="1140" spans="1:15" x14ac:dyDescent="0.3">
      <c r="A1140" s="2" t="s">
        <v>1293</v>
      </c>
      <c r="B1140" s="3">
        <v>45903</v>
      </c>
      <c r="C1140" s="2" t="s">
        <v>63</v>
      </c>
      <c r="D1140" s="2" t="s">
        <v>117</v>
      </c>
      <c r="E1140" s="2" t="s">
        <v>33</v>
      </c>
      <c r="F1140" s="2" t="s">
        <v>43</v>
      </c>
      <c r="G1140" s="2" t="s">
        <v>44</v>
      </c>
      <c r="H1140" s="2">
        <v>6</v>
      </c>
      <c r="I1140" s="2">
        <v>11565.51</v>
      </c>
      <c r="J1140" s="2">
        <v>0.03</v>
      </c>
      <c r="K1140" s="2">
        <v>67311.240000000005</v>
      </c>
      <c r="L1140" s="2">
        <v>46989.79</v>
      </c>
      <c r="M1140" s="2">
        <v>20321.45</v>
      </c>
      <c r="N1140" s="2" t="s">
        <v>21</v>
      </c>
      <c r="O1140" s="2" t="s">
        <v>22</v>
      </c>
    </row>
    <row r="1141" spans="1:15" x14ac:dyDescent="0.3">
      <c r="A1141" s="2" t="s">
        <v>1294</v>
      </c>
      <c r="B1141" s="3">
        <v>45855</v>
      </c>
      <c r="C1141" s="2" t="s">
        <v>37</v>
      </c>
      <c r="D1141" s="2" t="s">
        <v>25</v>
      </c>
      <c r="E1141" s="2" t="s">
        <v>33</v>
      </c>
      <c r="F1141" s="2" t="s">
        <v>34</v>
      </c>
      <c r="G1141" s="2" t="s">
        <v>70</v>
      </c>
      <c r="H1141" s="2">
        <v>2</v>
      </c>
      <c r="I1141" s="2">
        <v>66119.289999999994</v>
      </c>
      <c r="J1141" s="2">
        <v>0.03</v>
      </c>
      <c r="K1141" s="2">
        <v>128271.41</v>
      </c>
      <c r="L1141" s="2">
        <v>85893</v>
      </c>
      <c r="M1141" s="2">
        <v>42378.41</v>
      </c>
      <c r="N1141" s="2" t="s">
        <v>29</v>
      </c>
      <c r="O1141" s="2" t="s">
        <v>45</v>
      </c>
    </row>
    <row r="1142" spans="1:15" x14ac:dyDescent="0.3">
      <c r="A1142" s="2" t="s">
        <v>1295</v>
      </c>
      <c r="B1142" s="3">
        <v>45726</v>
      </c>
      <c r="C1142" s="2" t="s">
        <v>16</v>
      </c>
      <c r="D1142" s="2" t="s">
        <v>52</v>
      </c>
      <c r="E1142" s="2" t="s">
        <v>26</v>
      </c>
      <c r="F1142" s="2" t="s">
        <v>27</v>
      </c>
      <c r="G1142" s="2" t="s">
        <v>50</v>
      </c>
      <c r="H1142" s="2">
        <v>4</v>
      </c>
      <c r="I1142" s="2">
        <v>29470.2</v>
      </c>
      <c r="J1142" s="2">
        <v>0.08</v>
      </c>
      <c r="K1142" s="2">
        <v>108450.35</v>
      </c>
      <c r="L1142" s="2">
        <v>86899.24</v>
      </c>
      <c r="M1142" s="2">
        <v>21551.11</v>
      </c>
      <c r="N1142" s="2" t="s">
        <v>58</v>
      </c>
      <c r="O1142" s="2" t="s">
        <v>22</v>
      </c>
    </row>
    <row r="1143" spans="1:15" x14ac:dyDescent="0.3">
      <c r="A1143" s="2" t="s">
        <v>1296</v>
      </c>
      <c r="B1143" s="3">
        <v>45808</v>
      </c>
      <c r="C1143" s="2" t="s">
        <v>37</v>
      </c>
      <c r="D1143" s="2" t="s">
        <v>68</v>
      </c>
      <c r="E1143" s="2" t="s">
        <v>18</v>
      </c>
      <c r="F1143" s="2" t="s">
        <v>27</v>
      </c>
      <c r="G1143" s="2" t="s">
        <v>125</v>
      </c>
      <c r="H1143" s="2">
        <v>4</v>
      </c>
      <c r="I1143" s="2">
        <v>8786.1299999999992</v>
      </c>
      <c r="J1143" s="2">
        <v>0.08</v>
      </c>
      <c r="K1143" s="2">
        <v>32332.95</v>
      </c>
      <c r="L1143" s="2">
        <v>20387.64</v>
      </c>
      <c r="M1143" s="2">
        <v>11945.31</v>
      </c>
      <c r="N1143" s="2" t="s">
        <v>21</v>
      </c>
      <c r="O1143" s="2" t="s">
        <v>30</v>
      </c>
    </row>
    <row r="1144" spans="1:15" x14ac:dyDescent="0.3">
      <c r="A1144" s="2" t="s">
        <v>1297</v>
      </c>
      <c r="B1144" s="3">
        <v>45813</v>
      </c>
      <c r="C1144" s="2" t="s">
        <v>16</v>
      </c>
      <c r="D1144" s="2" t="s">
        <v>17</v>
      </c>
      <c r="E1144" s="2" t="s">
        <v>33</v>
      </c>
      <c r="F1144" s="2" t="s">
        <v>43</v>
      </c>
      <c r="G1144" s="2" t="s">
        <v>44</v>
      </c>
      <c r="H1144" s="2">
        <v>1</v>
      </c>
      <c r="I1144" s="2">
        <v>11860.14</v>
      </c>
      <c r="J1144" s="2">
        <v>0</v>
      </c>
      <c r="K1144" s="2">
        <v>11860.14</v>
      </c>
      <c r="L1144" s="2">
        <v>8758.2099999999991</v>
      </c>
      <c r="M1144" s="2">
        <v>3101.93</v>
      </c>
      <c r="N1144" s="2" t="s">
        <v>21</v>
      </c>
      <c r="O1144" s="2" t="s">
        <v>59</v>
      </c>
    </row>
    <row r="1145" spans="1:15" x14ac:dyDescent="0.3">
      <c r="A1145" s="2" t="s">
        <v>1298</v>
      </c>
      <c r="B1145" s="3">
        <v>45852</v>
      </c>
      <c r="C1145" s="2" t="s">
        <v>63</v>
      </c>
      <c r="D1145" s="2" t="s">
        <v>64</v>
      </c>
      <c r="E1145" s="2" t="s">
        <v>74</v>
      </c>
      <c r="F1145" s="2" t="s">
        <v>34</v>
      </c>
      <c r="G1145" s="2" t="s">
        <v>39</v>
      </c>
      <c r="H1145" s="2">
        <v>3</v>
      </c>
      <c r="I1145" s="2">
        <v>30526.53</v>
      </c>
      <c r="J1145" s="2">
        <v>0</v>
      </c>
      <c r="K1145" s="2">
        <v>91579.59</v>
      </c>
      <c r="L1145" s="2">
        <v>70576.350000000006</v>
      </c>
      <c r="M1145" s="2">
        <v>21003.24</v>
      </c>
      <c r="N1145" s="2" t="s">
        <v>21</v>
      </c>
      <c r="O1145" s="2" t="s">
        <v>45</v>
      </c>
    </row>
    <row r="1146" spans="1:15" x14ac:dyDescent="0.3">
      <c r="A1146" s="2" t="s">
        <v>1299</v>
      </c>
      <c r="B1146" s="3">
        <v>45868</v>
      </c>
      <c r="C1146" s="2" t="s">
        <v>16</v>
      </c>
      <c r="D1146" s="2" t="s">
        <v>32</v>
      </c>
      <c r="E1146" s="2" t="s">
        <v>74</v>
      </c>
      <c r="F1146" s="2" t="s">
        <v>43</v>
      </c>
      <c r="G1146" s="2" t="s">
        <v>44</v>
      </c>
      <c r="H1146" s="2">
        <v>6</v>
      </c>
      <c r="I1146" s="2">
        <v>11483.46</v>
      </c>
      <c r="J1146" s="2">
        <v>0.1</v>
      </c>
      <c r="K1146" s="2">
        <v>62010.66</v>
      </c>
      <c r="L1146" s="2">
        <v>40991.69</v>
      </c>
      <c r="M1146" s="2">
        <v>21018.97</v>
      </c>
      <c r="N1146" s="2" t="s">
        <v>29</v>
      </c>
      <c r="O1146" s="2" t="s">
        <v>45</v>
      </c>
    </row>
    <row r="1147" spans="1:15" x14ac:dyDescent="0.3">
      <c r="A1147" s="2" t="s">
        <v>1300</v>
      </c>
      <c r="B1147" s="3">
        <v>45984</v>
      </c>
      <c r="C1147" s="2" t="s">
        <v>54</v>
      </c>
      <c r="D1147" s="2" t="s">
        <v>174</v>
      </c>
      <c r="E1147" s="2" t="s">
        <v>65</v>
      </c>
      <c r="F1147" s="2" t="s">
        <v>43</v>
      </c>
      <c r="G1147" s="2" t="s">
        <v>84</v>
      </c>
      <c r="H1147" s="2">
        <v>3</v>
      </c>
      <c r="I1147" s="2">
        <v>43464.07</v>
      </c>
      <c r="J1147" s="2">
        <v>0.1</v>
      </c>
      <c r="K1147" s="2">
        <v>117352.99</v>
      </c>
      <c r="L1147" s="2">
        <v>98156.15</v>
      </c>
      <c r="M1147" s="2">
        <v>19196.84</v>
      </c>
      <c r="N1147" s="2" t="s">
        <v>58</v>
      </c>
      <c r="O1147" s="2" t="s">
        <v>45</v>
      </c>
    </row>
    <row r="1148" spans="1:15" x14ac:dyDescent="0.3">
      <c r="A1148" s="2" t="s">
        <v>1301</v>
      </c>
      <c r="B1148" s="3">
        <v>45992</v>
      </c>
      <c r="C1148" s="2" t="s">
        <v>37</v>
      </c>
      <c r="D1148" s="2" t="s">
        <v>42</v>
      </c>
      <c r="E1148" s="2" t="s">
        <v>69</v>
      </c>
      <c r="F1148" s="2" t="s">
        <v>27</v>
      </c>
      <c r="G1148" s="2" t="s">
        <v>125</v>
      </c>
      <c r="H1148" s="2">
        <v>6</v>
      </c>
      <c r="I1148" s="2">
        <v>8191.39</v>
      </c>
      <c r="J1148" s="2">
        <v>0.03</v>
      </c>
      <c r="K1148" s="2">
        <v>47673.89</v>
      </c>
      <c r="L1148" s="2">
        <v>36563.74</v>
      </c>
      <c r="M1148" s="2">
        <v>11110.15</v>
      </c>
      <c r="N1148" s="2" t="s">
        <v>29</v>
      </c>
      <c r="O1148" s="2" t="s">
        <v>40</v>
      </c>
    </row>
    <row r="1149" spans="1:15" x14ac:dyDescent="0.3">
      <c r="A1149" s="2" t="s">
        <v>1302</v>
      </c>
      <c r="B1149" s="3">
        <v>45702</v>
      </c>
      <c r="C1149" s="2" t="s">
        <v>527</v>
      </c>
      <c r="D1149" s="2" t="s">
        <v>117</v>
      </c>
      <c r="E1149" s="2" t="s">
        <v>65</v>
      </c>
      <c r="F1149" s="2" t="s">
        <v>27</v>
      </c>
      <c r="G1149" s="2" t="s">
        <v>125</v>
      </c>
      <c r="H1149" s="2">
        <v>2</v>
      </c>
      <c r="I1149" s="2">
        <v>8857.76</v>
      </c>
      <c r="J1149" s="2">
        <v>0.08</v>
      </c>
      <c r="K1149" s="2">
        <v>16298.28</v>
      </c>
      <c r="L1149" s="2">
        <v>11066.55</v>
      </c>
      <c r="M1149" s="2">
        <v>5231.7299999999996</v>
      </c>
      <c r="N1149" s="2" t="s">
        <v>29</v>
      </c>
      <c r="O1149" s="2" t="s">
        <v>22</v>
      </c>
    </row>
    <row r="1150" spans="1:15" x14ac:dyDescent="0.3">
      <c r="A1150" s="2" t="s">
        <v>1303</v>
      </c>
      <c r="B1150" s="3">
        <v>45945</v>
      </c>
      <c r="C1150" s="2" t="s">
        <v>63</v>
      </c>
      <c r="D1150" s="2" t="s">
        <v>64</v>
      </c>
      <c r="E1150" s="2" t="s">
        <v>18</v>
      </c>
      <c r="F1150" s="2" t="s">
        <v>19</v>
      </c>
      <c r="G1150" s="2" t="s">
        <v>61</v>
      </c>
      <c r="H1150" s="2">
        <v>3</v>
      </c>
      <c r="I1150" s="2">
        <v>9279.69</v>
      </c>
      <c r="J1150" s="2">
        <v>0.1</v>
      </c>
      <c r="K1150" s="2">
        <v>25055.15</v>
      </c>
      <c r="L1150" s="2">
        <v>19344.97</v>
      </c>
      <c r="M1150" s="2">
        <v>5710.18</v>
      </c>
      <c r="N1150" s="2" t="s">
        <v>21</v>
      </c>
      <c r="O1150" s="2" t="s">
        <v>40</v>
      </c>
    </row>
    <row r="1151" spans="1:15" x14ac:dyDescent="0.3">
      <c r="A1151" s="2" t="s">
        <v>1304</v>
      </c>
      <c r="B1151" s="3">
        <v>45862</v>
      </c>
      <c r="C1151" s="2" t="s">
        <v>16</v>
      </c>
      <c r="D1151" s="2" t="s">
        <v>32</v>
      </c>
      <c r="E1151" s="2" t="s">
        <v>49</v>
      </c>
      <c r="F1151" s="2" t="s">
        <v>19</v>
      </c>
      <c r="G1151" s="2" t="s">
        <v>20</v>
      </c>
      <c r="H1151" s="2">
        <v>5</v>
      </c>
      <c r="I1151" s="2">
        <v>697.21</v>
      </c>
      <c r="J1151" s="2">
        <v>0.03</v>
      </c>
      <c r="K1151" s="2">
        <v>3381.47</v>
      </c>
      <c r="L1151" s="2">
        <v>2788.88</v>
      </c>
      <c r="M1151" s="2">
        <v>592.59</v>
      </c>
      <c r="N1151" s="2" t="s">
        <v>21</v>
      </c>
      <c r="O1151" s="2" t="s">
        <v>30</v>
      </c>
    </row>
    <row r="1152" spans="1:15" x14ac:dyDescent="0.3">
      <c r="A1152" s="2" t="s">
        <v>1305</v>
      </c>
      <c r="B1152" s="3">
        <v>45900</v>
      </c>
      <c r="C1152" s="2" t="s">
        <v>54</v>
      </c>
      <c r="D1152" s="2" t="s">
        <v>174</v>
      </c>
      <c r="E1152" s="2" t="s">
        <v>56</v>
      </c>
      <c r="F1152" s="2" t="s">
        <v>43</v>
      </c>
      <c r="G1152" s="2" t="s">
        <v>75</v>
      </c>
      <c r="H1152" s="2">
        <v>4</v>
      </c>
      <c r="I1152" s="2">
        <v>33790.47</v>
      </c>
      <c r="J1152" s="2">
        <v>0</v>
      </c>
      <c r="K1152" s="2">
        <v>135161.85999999999</v>
      </c>
      <c r="L1152" s="2">
        <v>107303.62</v>
      </c>
      <c r="M1152" s="2">
        <v>27858.240000000002</v>
      </c>
      <c r="N1152" s="2" t="s">
        <v>21</v>
      </c>
      <c r="O1152" s="2" t="s">
        <v>40</v>
      </c>
    </row>
    <row r="1153" spans="1:15" x14ac:dyDescent="0.3">
      <c r="A1153" s="2" t="s">
        <v>1306</v>
      </c>
      <c r="B1153" s="3">
        <v>45763</v>
      </c>
      <c r="C1153" s="2" t="s">
        <v>16</v>
      </c>
      <c r="D1153" s="2" t="s">
        <v>17</v>
      </c>
      <c r="E1153" s="2" t="s">
        <v>26</v>
      </c>
      <c r="F1153" s="2" t="s">
        <v>27</v>
      </c>
      <c r="G1153" s="2" t="s">
        <v>125</v>
      </c>
      <c r="H1153" s="2">
        <v>7</v>
      </c>
      <c r="I1153" s="2">
        <v>7967.1</v>
      </c>
      <c r="J1153" s="2">
        <v>0.05</v>
      </c>
      <c r="K1153" s="2">
        <v>52981.2</v>
      </c>
      <c r="L1153" s="2">
        <v>38759.4</v>
      </c>
      <c r="M1153" s="2">
        <v>14221.8</v>
      </c>
      <c r="N1153" s="2" t="s">
        <v>21</v>
      </c>
      <c r="O1153" s="2" t="s">
        <v>30</v>
      </c>
    </row>
    <row r="1154" spans="1:15" x14ac:dyDescent="0.3">
      <c r="A1154" s="2" t="s">
        <v>1307</v>
      </c>
      <c r="B1154" s="3">
        <v>45974</v>
      </c>
      <c r="C1154" s="2" t="s">
        <v>54</v>
      </c>
      <c r="D1154" s="2" t="s">
        <v>124</v>
      </c>
      <c r="E1154" s="2" t="s">
        <v>49</v>
      </c>
      <c r="F1154" s="2" t="s">
        <v>43</v>
      </c>
      <c r="G1154" s="2" t="s">
        <v>121</v>
      </c>
      <c r="H1154" s="2">
        <v>3</v>
      </c>
      <c r="I1154" s="2">
        <v>5357.67</v>
      </c>
      <c r="J1154" s="2">
        <v>0.08</v>
      </c>
      <c r="K1154" s="2">
        <v>14787.17</v>
      </c>
      <c r="L1154" s="2">
        <v>11223.13</v>
      </c>
      <c r="M1154" s="2">
        <v>3564.04</v>
      </c>
      <c r="N1154" s="2" t="s">
        <v>29</v>
      </c>
      <c r="O1154" s="2" t="s">
        <v>30</v>
      </c>
    </row>
    <row r="1155" spans="1:15" x14ac:dyDescent="0.3">
      <c r="A1155" s="2" t="s">
        <v>1308</v>
      </c>
      <c r="B1155" s="3">
        <v>45769</v>
      </c>
      <c r="C1155" s="2" t="s">
        <v>54</v>
      </c>
      <c r="D1155" s="2" t="s">
        <v>48</v>
      </c>
      <c r="E1155" s="2" t="s">
        <v>69</v>
      </c>
      <c r="F1155" s="2" t="s">
        <v>43</v>
      </c>
      <c r="G1155" s="2" t="s">
        <v>44</v>
      </c>
      <c r="H1155" s="2">
        <v>1</v>
      </c>
      <c r="I1155" s="2">
        <v>12646.89</v>
      </c>
      <c r="J1155" s="2">
        <v>0</v>
      </c>
      <c r="K1155" s="2">
        <v>12646.89</v>
      </c>
      <c r="L1155" s="2">
        <v>10372.450000000001</v>
      </c>
      <c r="M1155" s="2">
        <v>2274.44</v>
      </c>
      <c r="N1155" s="2" t="s">
        <v>58</v>
      </c>
      <c r="O1155" s="2" t="s">
        <v>45</v>
      </c>
    </row>
    <row r="1156" spans="1:15" x14ac:dyDescent="0.3">
      <c r="A1156" s="2" t="s">
        <v>1309</v>
      </c>
      <c r="B1156" s="3">
        <v>45923</v>
      </c>
      <c r="C1156" s="2" t="s">
        <v>16</v>
      </c>
      <c r="D1156" s="2" t="s">
        <v>82</v>
      </c>
      <c r="E1156" s="2" t="s">
        <v>33</v>
      </c>
      <c r="F1156" s="2" t="s">
        <v>43</v>
      </c>
      <c r="G1156" s="2" t="s">
        <v>75</v>
      </c>
      <c r="H1156" s="2">
        <v>3</v>
      </c>
      <c r="I1156" s="2">
        <v>36520.199999999997</v>
      </c>
      <c r="J1156" s="2">
        <v>0.08</v>
      </c>
      <c r="K1156" s="2">
        <v>100795.74</v>
      </c>
      <c r="L1156" s="2">
        <v>84673.46</v>
      </c>
      <c r="M1156" s="2">
        <v>16122.28</v>
      </c>
      <c r="N1156" s="2" t="s">
        <v>21</v>
      </c>
      <c r="O1156" s="2" t="s">
        <v>40</v>
      </c>
    </row>
    <row r="1157" spans="1:15" x14ac:dyDescent="0.3">
      <c r="A1157" s="2" t="s">
        <v>1310</v>
      </c>
      <c r="B1157" s="3">
        <v>45962</v>
      </c>
      <c r="C1157" s="2" t="s">
        <v>54</v>
      </c>
      <c r="D1157" s="2" t="s">
        <v>174</v>
      </c>
      <c r="E1157" s="2" t="s">
        <v>56</v>
      </c>
      <c r="F1157" s="2" t="s">
        <v>34</v>
      </c>
      <c r="G1157" s="2" t="s">
        <v>35</v>
      </c>
      <c r="H1157" s="2">
        <v>6</v>
      </c>
      <c r="I1157" s="2">
        <v>18986.34</v>
      </c>
      <c r="J1157" s="2">
        <v>0.08</v>
      </c>
      <c r="K1157" s="2">
        <v>104804.58</v>
      </c>
      <c r="L1157" s="2">
        <v>83201.210000000006</v>
      </c>
      <c r="M1157" s="2">
        <v>21603.37</v>
      </c>
      <c r="N1157" s="2" t="s">
        <v>58</v>
      </c>
      <c r="O1157" s="2" t="s">
        <v>22</v>
      </c>
    </row>
    <row r="1158" spans="1:15" x14ac:dyDescent="0.3">
      <c r="A1158" s="2" t="s">
        <v>1311</v>
      </c>
      <c r="B1158" s="3">
        <v>45891</v>
      </c>
      <c r="C1158" s="2" t="s">
        <v>63</v>
      </c>
      <c r="D1158" s="2" t="s">
        <v>88</v>
      </c>
      <c r="E1158" s="2" t="s">
        <v>49</v>
      </c>
      <c r="F1158" s="2" t="s">
        <v>34</v>
      </c>
      <c r="G1158" s="2" t="s">
        <v>57</v>
      </c>
      <c r="H1158" s="2">
        <v>7</v>
      </c>
      <c r="I1158" s="2">
        <v>23647.25</v>
      </c>
      <c r="J1158" s="2">
        <v>0.03</v>
      </c>
      <c r="K1158" s="2">
        <v>160564.84</v>
      </c>
      <c r="L1158" s="2">
        <v>100982.98</v>
      </c>
      <c r="M1158" s="2">
        <v>59581.86</v>
      </c>
      <c r="N1158" s="2" t="s">
        <v>29</v>
      </c>
      <c r="O1158" s="2" t="s">
        <v>22</v>
      </c>
    </row>
    <row r="1159" spans="1:15" x14ac:dyDescent="0.3">
      <c r="A1159" s="2" t="s">
        <v>1312</v>
      </c>
      <c r="B1159" s="3">
        <v>45707</v>
      </c>
      <c r="C1159" s="2" t="s">
        <v>16</v>
      </c>
      <c r="D1159" s="2" t="s">
        <v>32</v>
      </c>
      <c r="E1159" s="2" t="s">
        <v>306</v>
      </c>
      <c r="F1159" s="2" t="s">
        <v>19</v>
      </c>
      <c r="G1159" s="2" t="s">
        <v>108</v>
      </c>
      <c r="H1159" s="2">
        <v>6</v>
      </c>
      <c r="I1159" s="2">
        <v>16155.31</v>
      </c>
      <c r="J1159" s="2">
        <v>0.05</v>
      </c>
      <c r="K1159" s="2">
        <v>92085.24</v>
      </c>
      <c r="L1159" s="2">
        <v>77463.45</v>
      </c>
      <c r="M1159" s="2">
        <v>14621.79</v>
      </c>
      <c r="N1159" s="2" t="s">
        <v>29</v>
      </c>
      <c r="O1159" s="2" t="s">
        <v>59</v>
      </c>
    </row>
    <row r="1160" spans="1:15" x14ac:dyDescent="0.3">
      <c r="A1160" s="2" t="s">
        <v>1313</v>
      </c>
      <c r="B1160" s="3">
        <v>45701</v>
      </c>
      <c r="C1160" s="2" t="s">
        <v>54</v>
      </c>
      <c r="D1160" s="2" t="s">
        <v>48</v>
      </c>
      <c r="E1160" s="2"/>
      <c r="F1160" s="2" t="s">
        <v>27</v>
      </c>
      <c r="G1160" s="2" t="s">
        <v>89</v>
      </c>
      <c r="H1160" s="2">
        <v>6</v>
      </c>
      <c r="I1160" s="2">
        <v>33250.839999999997</v>
      </c>
      <c r="J1160" s="2">
        <v>0.05</v>
      </c>
      <c r="K1160" s="2">
        <v>189529.76</v>
      </c>
      <c r="L1160" s="2">
        <v>127870.46</v>
      </c>
      <c r="M1160" s="2">
        <v>61659.3</v>
      </c>
      <c r="N1160" s="2" t="s">
        <v>21</v>
      </c>
      <c r="O1160" s="2" t="s">
        <v>22</v>
      </c>
    </row>
    <row r="1161" spans="1:15" x14ac:dyDescent="0.3">
      <c r="A1161" s="2" t="s">
        <v>1314</v>
      </c>
      <c r="B1161" s="3">
        <v>45816</v>
      </c>
      <c r="C1161" s="2" t="s">
        <v>63</v>
      </c>
      <c r="D1161" s="2" t="s">
        <v>117</v>
      </c>
      <c r="E1161" s="2" t="s">
        <v>74</v>
      </c>
      <c r="F1161" s="2" t="s">
        <v>19</v>
      </c>
      <c r="G1161" s="2" t="s">
        <v>20</v>
      </c>
      <c r="H1161" s="2">
        <v>1</v>
      </c>
      <c r="I1161" s="2">
        <v>697.92</v>
      </c>
      <c r="J1161" s="2">
        <v>0</v>
      </c>
      <c r="K1161" s="2">
        <v>697.92</v>
      </c>
      <c r="L1161" s="2">
        <v>569.65</v>
      </c>
      <c r="M1161" s="2">
        <v>128.27000000000001</v>
      </c>
      <c r="N1161" s="2" t="s">
        <v>58</v>
      </c>
      <c r="O1161" s="2" t="s">
        <v>59</v>
      </c>
    </row>
    <row r="1162" spans="1:15" x14ac:dyDescent="0.3">
      <c r="A1162" s="2" t="s">
        <v>1315</v>
      </c>
      <c r="B1162" s="3">
        <v>45788</v>
      </c>
      <c r="C1162" s="2" t="s">
        <v>37</v>
      </c>
      <c r="D1162" s="2" t="s">
        <v>42</v>
      </c>
      <c r="E1162" s="2" t="s">
        <v>33</v>
      </c>
      <c r="F1162" s="2" t="s">
        <v>19</v>
      </c>
      <c r="G1162" s="2" t="s">
        <v>20</v>
      </c>
      <c r="H1162" s="2">
        <v>6</v>
      </c>
      <c r="I1162" s="2">
        <v>732.24</v>
      </c>
      <c r="J1162" s="2">
        <v>0.03</v>
      </c>
      <c r="K1162" s="2">
        <v>4261.6400000000003</v>
      </c>
      <c r="L1162" s="2">
        <v>3423.25</v>
      </c>
      <c r="M1162" s="2">
        <v>838.39</v>
      </c>
      <c r="N1162" s="2" t="s">
        <v>21</v>
      </c>
      <c r="O1162" s="2" t="s">
        <v>45</v>
      </c>
    </row>
    <row r="1163" spans="1:15" x14ac:dyDescent="0.3">
      <c r="A1163" s="2" t="s">
        <v>1316</v>
      </c>
      <c r="B1163" s="3">
        <v>45918</v>
      </c>
      <c r="C1163" s="2" t="s">
        <v>16</v>
      </c>
      <c r="D1163" s="2" t="s">
        <v>17</v>
      </c>
      <c r="E1163" s="2" t="s">
        <v>18</v>
      </c>
      <c r="F1163" s="2" t="s">
        <v>43</v>
      </c>
      <c r="G1163" s="2" t="s">
        <v>75</v>
      </c>
      <c r="H1163" s="2">
        <v>1</v>
      </c>
      <c r="I1163" s="2">
        <v>35546.06</v>
      </c>
      <c r="J1163" s="2">
        <v>0.1</v>
      </c>
      <c r="K1163" s="2">
        <v>31991.46</v>
      </c>
      <c r="L1163" s="2">
        <v>24366.639999999999</v>
      </c>
      <c r="M1163" s="2">
        <v>7624.82</v>
      </c>
      <c r="N1163" s="2" t="s">
        <v>29</v>
      </c>
      <c r="O1163" s="2" t="s">
        <v>30</v>
      </c>
    </row>
    <row r="1164" spans="1:15" x14ac:dyDescent="0.3">
      <c r="A1164" s="2" t="s">
        <v>1317</v>
      </c>
      <c r="B1164" s="3">
        <v>45937</v>
      </c>
      <c r="C1164" s="2" t="s">
        <v>16</v>
      </c>
      <c r="D1164" s="2" t="s">
        <v>82</v>
      </c>
      <c r="E1164" s="2" t="s">
        <v>33</v>
      </c>
      <c r="F1164" s="2" t="s">
        <v>34</v>
      </c>
      <c r="G1164" s="2" t="s">
        <v>35</v>
      </c>
      <c r="H1164" s="2">
        <v>6</v>
      </c>
      <c r="I1164" s="2">
        <v>16769.560000000001</v>
      </c>
      <c r="J1164" s="2">
        <v>0</v>
      </c>
      <c r="K1164" s="2">
        <v>100617.33</v>
      </c>
      <c r="L1164" s="2">
        <v>72426.36</v>
      </c>
      <c r="M1164" s="2">
        <v>28190.97</v>
      </c>
      <c r="N1164" s="2" t="s">
        <v>29</v>
      </c>
      <c r="O1164" s="2" t="s">
        <v>30</v>
      </c>
    </row>
    <row r="1165" spans="1:15" x14ac:dyDescent="0.3">
      <c r="A1165" s="2" t="s">
        <v>1318</v>
      </c>
      <c r="B1165" s="3">
        <v>45942</v>
      </c>
      <c r="C1165" s="2" t="s">
        <v>16</v>
      </c>
      <c r="D1165" s="2" t="s">
        <v>52</v>
      </c>
      <c r="E1165" s="2" t="s">
        <v>49</v>
      </c>
      <c r="F1165" s="2" t="s">
        <v>43</v>
      </c>
      <c r="G1165" s="2" t="s">
        <v>121</v>
      </c>
      <c r="H1165" s="2">
        <v>2</v>
      </c>
      <c r="I1165" s="2">
        <v>4805.45</v>
      </c>
      <c r="J1165" s="2">
        <v>0.05</v>
      </c>
      <c r="K1165" s="2">
        <v>9130.36</v>
      </c>
      <c r="L1165" s="2">
        <v>7183.3</v>
      </c>
      <c r="M1165" s="2">
        <v>1947.06</v>
      </c>
      <c r="N1165" s="2" t="s">
        <v>21</v>
      </c>
      <c r="O1165" s="2" t="s">
        <v>30</v>
      </c>
    </row>
    <row r="1166" spans="1:15" x14ac:dyDescent="0.3">
      <c r="A1166" s="2" t="s">
        <v>1319</v>
      </c>
      <c r="B1166" s="3">
        <v>45874</v>
      </c>
      <c r="C1166" s="2" t="s">
        <v>63</v>
      </c>
      <c r="D1166" s="2" t="s">
        <v>64</v>
      </c>
      <c r="E1166" s="2" t="s">
        <v>49</v>
      </c>
      <c r="F1166" s="2" t="s">
        <v>43</v>
      </c>
      <c r="G1166" s="2" t="s">
        <v>91</v>
      </c>
      <c r="H1166" s="2">
        <v>4</v>
      </c>
      <c r="I1166" s="2">
        <v>48978.239999999998</v>
      </c>
      <c r="J1166" s="2">
        <v>0.15</v>
      </c>
      <c r="K1166" s="2">
        <v>166526.03</v>
      </c>
      <c r="L1166" s="2">
        <v>121806.58</v>
      </c>
      <c r="M1166" s="2">
        <v>44719.45</v>
      </c>
      <c r="N1166" s="2" t="s">
        <v>29</v>
      </c>
      <c r="O1166" s="2" t="s">
        <v>59</v>
      </c>
    </row>
    <row r="1167" spans="1:15" x14ac:dyDescent="0.3">
      <c r="A1167" s="2" t="s">
        <v>1320</v>
      </c>
      <c r="B1167" s="3">
        <v>45809</v>
      </c>
      <c r="C1167" s="2" t="s">
        <v>16</v>
      </c>
      <c r="D1167" s="2" t="s">
        <v>52</v>
      </c>
      <c r="E1167" s="2" t="s">
        <v>65</v>
      </c>
      <c r="F1167" s="2" t="s">
        <v>34</v>
      </c>
      <c r="G1167" s="2" t="s">
        <v>57</v>
      </c>
      <c r="H1167" s="2">
        <v>5</v>
      </c>
      <c r="I1167" s="2">
        <v>21028.12</v>
      </c>
      <c r="J1167" s="2">
        <v>0.05</v>
      </c>
      <c r="K1167" s="2">
        <v>99883.56</v>
      </c>
      <c r="L1167" s="2">
        <v>73535.39</v>
      </c>
      <c r="M1167" s="2">
        <v>26348.17</v>
      </c>
      <c r="N1167" s="2" t="s">
        <v>58</v>
      </c>
      <c r="O1167" s="2" t="s">
        <v>30</v>
      </c>
    </row>
    <row r="1168" spans="1:15" x14ac:dyDescent="0.3">
      <c r="A1168" s="2" t="s">
        <v>1321</v>
      </c>
      <c r="B1168" s="3">
        <v>45725</v>
      </c>
      <c r="C1168" s="2" t="s">
        <v>63</v>
      </c>
      <c r="D1168" s="2" t="s">
        <v>64</v>
      </c>
      <c r="E1168" s="2" t="s">
        <v>65</v>
      </c>
      <c r="F1168" s="2" t="s">
        <v>27</v>
      </c>
      <c r="G1168" s="2" t="s">
        <v>28</v>
      </c>
      <c r="H1168" s="2">
        <v>8</v>
      </c>
      <c r="I1168" s="2">
        <v>27003.41</v>
      </c>
      <c r="J1168" s="2">
        <v>0.05</v>
      </c>
      <c r="K1168" s="2">
        <v>205225.91</v>
      </c>
      <c r="L1168" s="2">
        <v>148456.87</v>
      </c>
      <c r="M1168" s="2">
        <v>56769.04</v>
      </c>
      <c r="N1168" s="2" t="s">
        <v>21</v>
      </c>
      <c r="O1168" s="2" t="s">
        <v>40</v>
      </c>
    </row>
    <row r="1169" spans="1:15" x14ac:dyDescent="0.3">
      <c r="A1169" s="2" t="s">
        <v>1322</v>
      </c>
      <c r="B1169" s="3">
        <v>45907</v>
      </c>
      <c r="C1169" s="2" t="s">
        <v>16</v>
      </c>
      <c r="D1169" s="2" t="s">
        <v>52</v>
      </c>
      <c r="E1169" s="2" t="s">
        <v>65</v>
      </c>
      <c r="F1169" s="2" t="s">
        <v>27</v>
      </c>
      <c r="G1169" s="2" t="s">
        <v>50</v>
      </c>
      <c r="H1169" s="2">
        <v>7</v>
      </c>
      <c r="I1169" s="2">
        <v>27989.7</v>
      </c>
      <c r="J1169" s="2">
        <v>0.08</v>
      </c>
      <c r="K1169" s="2">
        <v>180253.68</v>
      </c>
      <c r="L1169" s="2">
        <v>126308.89</v>
      </c>
      <c r="M1169" s="2">
        <v>53944.79</v>
      </c>
      <c r="N1169" s="2" t="s">
        <v>58</v>
      </c>
      <c r="O1169" s="2" t="s">
        <v>45</v>
      </c>
    </row>
    <row r="1170" spans="1:15" x14ac:dyDescent="0.3">
      <c r="A1170" s="2" t="s">
        <v>1323</v>
      </c>
      <c r="B1170" s="3">
        <v>45973</v>
      </c>
      <c r="C1170" s="2" t="s">
        <v>37</v>
      </c>
      <c r="D1170" s="2" t="s">
        <v>38</v>
      </c>
      <c r="E1170" s="2" t="s">
        <v>33</v>
      </c>
      <c r="F1170" s="2" t="s">
        <v>34</v>
      </c>
      <c r="G1170" s="2" t="s">
        <v>57</v>
      </c>
      <c r="H1170" s="2">
        <v>2</v>
      </c>
      <c r="I1170" s="2">
        <v>23161.45</v>
      </c>
      <c r="J1170" s="2">
        <v>0.03</v>
      </c>
      <c r="K1170" s="2">
        <v>44933.21</v>
      </c>
      <c r="L1170" s="2">
        <v>36731.440000000002</v>
      </c>
      <c r="M1170" s="2">
        <v>8201.77</v>
      </c>
      <c r="N1170" s="2" t="s">
        <v>58</v>
      </c>
      <c r="O1170" s="2" t="s">
        <v>40</v>
      </c>
    </row>
    <row r="1171" spans="1:15" x14ac:dyDescent="0.3">
      <c r="A1171" s="2" t="s">
        <v>1324</v>
      </c>
      <c r="B1171" s="3">
        <v>45774</v>
      </c>
      <c r="C1171" s="2" t="s">
        <v>16</v>
      </c>
      <c r="D1171" s="2" t="s">
        <v>17</v>
      </c>
      <c r="E1171" s="2" t="s">
        <v>18</v>
      </c>
      <c r="F1171" s="2" t="s">
        <v>19</v>
      </c>
      <c r="G1171" s="2" t="s">
        <v>20</v>
      </c>
      <c r="H1171" s="2">
        <v>4</v>
      </c>
      <c r="I1171" s="2">
        <v>656.9</v>
      </c>
      <c r="J1171" s="2">
        <v>0.05</v>
      </c>
      <c r="K1171" s="2">
        <v>2496.21</v>
      </c>
      <c r="L1171" s="2">
        <v>1705.24</v>
      </c>
      <c r="M1171" s="2">
        <v>790.97</v>
      </c>
      <c r="N1171" s="2" t="s">
        <v>29</v>
      </c>
      <c r="O1171" s="2" t="s">
        <v>40</v>
      </c>
    </row>
    <row r="1172" spans="1:15" x14ac:dyDescent="0.3">
      <c r="A1172" s="2" t="s">
        <v>1325</v>
      </c>
      <c r="B1172" s="3">
        <v>45835</v>
      </c>
      <c r="C1172" s="2" t="s">
        <v>16</v>
      </c>
      <c r="D1172" s="2" t="s">
        <v>82</v>
      </c>
      <c r="E1172" s="2" t="s">
        <v>69</v>
      </c>
      <c r="F1172" s="2" t="s">
        <v>43</v>
      </c>
      <c r="G1172" s="2" t="s">
        <v>121</v>
      </c>
      <c r="H1172" s="2">
        <v>4</v>
      </c>
      <c r="I1172" s="2">
        <v>4986.03</v>
      </c>
      <c r="J1172" s="2">
        <v>0.1</v>
      </c>
      <c r="K1172" s="2">
        <v>17949.71</v>
      </c>
      <c r="L1172" s="2">
        <v>12393.96</v>
      </c>
      <c r="M1172" s="2">
        <v>5555.75</v>
      </c>
      <c r="N1172" s="2" t="s">
        <v>58</v>
      </c>
      <c r="O1172" s="2" t="s">
        <v>22</v>
      </c>
    </row>
    <row r="1173" spans="1:15" x14ac:dyDescent="0.3">
      <c r="A1173" s="2" t="s">
        <v>1326</v>
      </c>
      <c r="B1173" s="3">
        <v>46020</v>
      </c>
      <c r="C1173" s="2" t="s">
        <v>16</v>
      </c>
      <c r="D1173" s="2" t="s">
        <v>82</v>
      </c>
      <c r="E1173" s="2" t="s">
        <v>74</v>
      </c>
      <c r="F1173" s="2" t="s">
        <v>34</v>
      </c>
      <c r="G1173" s="2" t="s">
        <v>70</v>
      </c>
      <c r="H1173" s="2">
        <v>2</v>
      </c>
      <c r="I1173" s="2">
        <v>62615.63</v>
      </c>
      <c r="J1173" s="2">
        <v>0.15</v>
      </c>
      <c r="K1173" s="2">
        <v>106446.57</v>
      </c>
      <c r="L1173" s="2">
        <v>73874.47</v>
      </c>
      <c r="M1173" s="2">
        <v>32572.1</v>
      </c>
      <c r="N1173" s="2" t="s">
        <v>21</v>
      </c>
      <c r="O1173" s="2" t="s">
        <v>40</v>
      </c>
    </row>
    <row r="1174" spans="1:15" x14ac:dyDescent="0.3">
      <c r="A1174" s="2" t="s">
        <v>1327</v>
      </c>
      <c r="B1174" s="3">
        <v>45659</v>
      </c>
      <c r="C1174" s="2" t="s">
        <v>54</v>
      </c>
      <c r="D1174" s="2" t="s">
        <v>48</v>
      </c>
      <c r="E1174" s="2" t="s">
        <v>26</v>
      </c>
      <c r="F1174" s="2" t="s">
        <v>34</v>
      </c>
      <c r="G1174" s="2" t="s">
        <v>70</v>
      </c>
      <c r="H1174" s="2">
        <v>2</v>
      </c>
      <c r="I1174" s="2">
        <v>63331.56</v>
      </c>
      <c r="J1174" s="2">
        <v>0.05</v>
      </c>
      <c r="K1174" s="2">
        <v>120329.97</v>
      </c>
      <c r="L1174" s="2">
        <v>75818.8</v>
      </c>
      <c r="M1174" s="2">
        <v>44511.17</v>
      </c>
      <c r="N1174" s="2" t="s">
        <v>58</v>
      </c>
      <c r="O1174" s="2" t="s">
        <v>22</v>
      </c>
    </row>
    <row r="1175" spans="1:15" x14ac:dyDescent="0.3">
      <c r="A1175" s="2" t="s">
        <v>1328</v>
      </c>
      <c r="B1175" s="3">
        <v>45958</v>
      </c>
      <c r="C1175" s="2" t="s">
        <v>16</v>
      </c>
      <c r="D1175" s="2" t="s">
        <v>52</v>
      </c>
      <c r="E1175" s="2" t="s">
        <v>49</v>
      </c>
      <c r="F1175" s="2" t="s">
        <v>43</v>
      </c>
      <c r="G1175" s="2" t="s">
        <v>91</v>
      </c>
      <c r="H1175" s="2">
        <v>5</v>
      </c>
      <c r="I1175" s="2">
        <v>49607.61</v>
      </c>
      <c r="J1175" s="2">
        <v>0.1</v>
      </c>
      <c r="K1175" s="2">
        <v>223234.23</v>
      </c>
      <c r="L1175" s="2">
        <v>175150.71</v>
      </c>
      <c r="M1175" s="2">
        <v>48083.519999999997</v>
      </c>
      <c r="N1175" s="2" t="s">
        <v>29</v>
      </c>
      <c r="O1175" s="2" t="s">
        <v>59</v>
      </c>
    </row>
    <row r="1176" spans="1:15" x14ac:dyDescent="0.3">
      <c r="A1176" s="2" t="s">
        <v>1329</v>
      </c>
      <c r="B1176" s="3">
        <v>45923</v>
      </c>
      <c r="C1176" s="2" t="s">
        <v>63</v>
      </c>
      <c r="D1176" s="2" t="s">
        <v>117</v>
      </c>
      <c r="E1176" s="2" t="s">
        <v>33</v>
      </c>
      <c r="F1176" s="2" t="s">
        <v>34</v>
      </c>
      <c r="G1176" s="2" t="s">
        <v>57</v>
      </c>
      <c r="H1176" s="2">
        <v>8</v>
      </c>
      <c r="I1176" s="2">
        <v>22269.34</v>
      </c>
      <c r="J1176" s="2">
        <v>0.15</v>
      </c>
      <c r="K1176" s="2">
        <v>151431.48000000001</v>
      </c>
      <c r="L1176" s="2">
        <v>101158.65</v>
      </c>
      <c r="M1176" s="2">
        <v>50272.83</v>
      </c>
      <c r="N1176" s="2" t="s">
        <v>21</v>
      </c>
      <c r="O1176" s="2" t="s">
        <v>45</v>
      </c>
    </row>
    <row r="1177" spans="1:15" x14ac:dyDescent="0.3">
      <c r="A1177" s="2" t="s">
        <v>1330</v>
      </c>
      <c r="B1177" s="3">
        <v>45683</v>
      </c>
      <c r="C1177" s="2" t="s">
        <v>37</v>
      </c>
      <c r="D1177" s="2" t="s">
        <v>42</v>
      </c>
      <c r="E1177" s="2" t="s">
        <v>69</v>
      </c>
      <c r="F1177" s="2" t="s">
        <v>27</v>
      </c>
      <c r="G1177" s="2" t="s">
        <v>50</v>
      </c>
      <c r="H1177" s="2">
        <v>4</v>
      </c>
      <c r="I1177" s="2">
        <v>30030.58</v>
      </c>
      <c r="J1177" s="2">
        <v>0.08</v>
      </c>
      <c r="K1177" s="2">
        <v>110512.55</v>
      </c>
      <c r="L1177" s="2">
        <v>87299.98</v>
      </c>
      <c r="M1177" s="2">
        <v>23212.57</v>
      </c>
      <c r="N1177" s="2" t="s">
        <v>29</v>
      </c>
      <c r="O1177" s="2" t="s">
        <v>59</v>
      </c>
    </row>
    <row r="1178" spans="1:15" x14ac:dyDescent="0.3">
      <c r="A1178" s="2" t="s">
        <v>1331</v>
      </c>
      <c r="B1178" s="3">
        <v>45760</v>
      </c>
      <c r="C1178" s="2" t="s">
        <v>37</v>
      </c>
      <c r="D1178" s="2" t="s">
        <v>42</v>
      </c>
      <c r="E1178" s="2" t="s">
        <v>56</v>
      </c>
      <c r="F1178" s="2" t="s">
        <v>34</v>
      </c>
      <c r="G1178" s="2" t="s">
        <v>70</v>
      </c>
      <c r="H1178" s="2">
        <v>8</v>
      </c>
      <c r="I1178" s="2">
        <v>60247.22</v>
      </c>
      <c r="J1178" s="2">
        <v>0</v>
      </c>
      <c r="K1178" s="2">
        <v>481977.78</v>
      </c>
      <c r="L1178" s="2">
        <v>398906.88</v>
      </c>
      <c r="M1178" s="2">
        <v>83070.899999999994</v>
      </c>
      <c r="N1178" s="2" t="s">
        <v>21</v>
      </c>
      <c r="O1178" s="2" t="s">
        <v>30</v>
      </c>
    </row>
    <row r="1179" spans="1:15" x14ac:dyDescent="0.3">
      <c r="A1179" s="2" t="s">
        <v>1332</v>
      </c>
      <c r="B1179" s="3">
        <v>45806</v>
      </c>
      <c r="C1179" s="2" t="s">
        <v>54</v>
      </c>
      <c r="D1179" s="2" t="s">
        <v>48</v>
      </c>
      <c r="E1179" s="2" t="s">
        <v>26</v>
      </c>
      <c r="F1179" s="2" t="s">
        <v>43</v>
      </c>
      <c r="G1179" s="2" t="s">
        <v>121</v>
      </c>
      <c r="H1179" s="2">
        <v>2</v>
      </c>
      <c r="I1179" s="2" t="s">
        <v>1333</v>
      </c>
      <c r="J1179" s="2">
        <v>0.05</v>
      </c>
      <c r="K1179" s="2">
        <v>9253.24</v>
      </c>
      <c r="L1179" s="2">
        <v>6440.74</v>
      </c>
      <c r="M1179" s="2">
        <v>2812.5</v>
      </c>
      <c r="N1179" s="2" t="s">
        <v>21</v>
      </c>
      <c r="O1179" s="2" t="s">
        <v>22</v>
      </c>
    </row>
    <row r="1180" spans="1:15" x14ac:dyDescent="0.3">
      <c r="A1180" s="2" t="s">
        <v>1334</v>
      </c>
      <c r="B1180" s="3">
        <v>45704</v>
      </c>
      <c r="C1180" s="2" t="s">
        <v>37</v>
      </c>
      <c r="D1180" s="2" t="s">
        <v>38</v>
      </c>
      <c r="E1180" s="2" t="s">
        <v>74</v>
      </c>
      <c r="F1180" s="2" t="s">
        <v>34</v>
      </c>
      <c r="G1180" s="2" t="s">
        <v>57</v>
      </c>
      <c r="H1180" s="2">
        <v>5</v>
      </c>
      <c r="I1180" s="2">
        <v>21449.85</v>
      </c>
      <c r="J1180" s="2">
        <v>0.08</v>
      </c>
      <c r="K1180" s="2">
        <v>98669.31</v>
      </c>
      <c r="L1180" s="2">
        <v>65630.41</v>
      </c>
      <c r="M1180" s="2">
        <v>33038.9</v>
      </c>
      <c r="N1180" s="2" t="s">
        <v>58</v>
      </c>
      <c r="O1180" s="2" t="s">
        <v>59</v>
      </c>
    </row>
    <row r="1181" spans="1:15" x14ac:dyDescent="0.3">
      <c r="A1181" s="2" t="s">
        <v>1335</v>
      </c>
      <c r="B1181" s="3">
        <v>45709</v>
      </c>
      <c r="C1181" s="2" t="s">
        <v>16</v>
      </c>
      <c r="D1181" s="2" t="s">
        <v>17</v>
      </c>
      <c r="E1181" s="2" t="s">
        <v>26</v>
      </c>
      <c r="F1181" s="2" t="s">
        <v>43</v>
      </c>
      <c r="G1181" s="2" t="s">
        <v>91</v>
      </c>
      <c r="H1181" s="2">
        <v>3</v>
      </c>
      <c r="I1181" s="2">
        <v>51105.279999999999</v>
      </c>
      <c r="J1181" s="2">
        <v>0</v>
      </c>
      <c r="K1181" s="2">
        <v>153315.82999999999</v>
      </c>
      <c r="L1181" s="2">
        <v>129935.93</v>
      </c>
      <c r="M1181" s="2">
        <v>23379.9</v>
      </c>
      <c r="N1181" s="2" t="s">
        <v>21</v>
      </c>
      <c r="O1181" s="2" t="s">
        <v>22</v>
      </c>
    </row>
    <row r="1182" spans="1:15" x14ac:dyDescent="0.3">
      <c r="A1182" s="2" t="s">
        <v>1336</v>
      </c>
      <c r="B1182" s="3">
        <v>45949</v>
      </c>
      <c r="C1182" s="2" t="s">
        <v>37</v>
      </c>
      <c r="D1182" s="2" t="s">
        <v>25</v>
      </c>
      <c r="E1182" s="2" t="s">
        <v>33</v>
      </c>
      <c r="F1182" s="2" t="s">
        <v>27</v>
      </c>
      <c r="G1182" s="2" t="s">
        <v>125</v>
      </c>
      <c r="H1182" s="2">
        <v>3</v>
      </c>
      <c r="I1182" s="2">
        <v>8513.69</v>
      </c>
      <c r="J1182" s="2">
        <v>0.03</v>
      </c>
      <c r="K1182" s="2">
        <v>24774.85</v>
      </c>
      <c r="L1182" s="2">
        <v>17352.96</v>
      </c>
      <c r="M1182" s="2">
        <v>7421.89</v>
      </c>
      <c r="N1182" s="2" t="s">
        <v>29</v>
      </c>
      <c r="O1182" s="2" t="s">
        <v>45</v>
      </c>
    </row>
    <row r="1183" spans="1:15" x14ac:dyDescent="0.3">
      <c r="A1183" s="2" t="s">
        <v>1337</v>
      </c>
      <c r="B1183" s="3">
        <v>45687</v>
      </c>
      <c r="C1183" s="2" t="s">
        <v>54</v>
      </c>
      <c r="D1183" s="2" t="s">
        <v>48</v>
      </c>
      <c r="E1183" s="2" t="s">
        <v>26</v>
      </c>
      <c r="F1183" s="2" t="s">
        <v>43</v>
      </c>
      <c r="G1183" s="2" t="s">
        <v>121</v>
      </c>
      <c r="H1183" s="2">
        <v>4</v>
      </c>
      <c r="I1183" s="2">
        <v>5207.13</v>
      </c>
      <c r="J1183" s="2">
        <v>0.03</v>
      </c>
      <c r="K1183" s="2">
        <v>20203.66</v>
      </c>
      <c r="L1183" s="2">
        <v>13258.89</v>
      </c>
      <c r="M1183" s="2">
        <v>6944.77</v>
      </c>
      <c r="N1183" s="2" t="s">
        <v>21</v>
      </c>
      <c r="O1183" s="2" t="s">
        <v>45</v>
      </c>
    </row>
    <row r="1184" spans="1:15" x14ac:dyDescent="0.3">
      <c r="A1184" s="2" t="s">
        <v>1338</v>
      </c>
      <c r="B1184" s="3">
        <v>45743</v>
      </c>
      <c r="C1184" s="2" t="s">
        <v>16</v>
      </c>
      <c r="D1184" s="2" t="s">
        <v>82</v>
      </c>
      <c r="E1184" s="2" t="s">
        <v>56</v>
      </c>
      <c r="F1184" s="2" t="s">
        <v>27</v>
      </c>
      <c r="G1184" s="2" t="s">
        <v>28</v>
      </c>
      <c r="H1184" s="2">
        <v>3</v>
      </c>
      <c r="I1184" s="2">
        <v>27451.4</v>
      </c>
      <c r="J1184" s="2">
        <v>0.1</v>
      </c>
      <c r="K1184" s="2">
        <v>74118.789999999994</v>
      </c>
      <c r="L1184" s="2">
        <v>52205.27</v>
      </c>
      <c r="M1184" s="2">
        <v>21913.52</v>
      </c>
      <c r="N1184" s="2" t="s">
        <v>21</v>
      </c>
      <c r="O1184" s="2" t="s">
        <v>45</v>
      </c>
    </row>
    <row r="1185" spans="1:15" x14ac:dyDescent="0.3">
      <c r="A1185" s="2" t="s">
        <v>1339</v>
      </c>
      <c r="B1185" s="3">
        <v>45744</v>
      </c>
      <c r="C1185" s="2" t="s">
        <v>54</v>
      </c>
      <c r="D1185" s="2" t="s">
        <v>55</v>
      </c>
      <c r="E1185" s="2" t="s">
        <v>26</v>
      </c>
      <c r="F1185" s="2" t="s">
        <v>27</v>
      </c>
      <c r="G1185" s="2" t="s">
        <v>89</v>
      </c>
      <c r="H1185" s="2">
        <v>8</v>
      </c>
      <c r="I1185" s="2">
        <v>29568.02</v>
      </c>
      <c r="J1185" s="2">
        <v>0.1</v>
      </c>
      <c r="K1185" s="2">
        <v>212889.75</v>
      </c>
      <c r="L1185" s="2">
        <v>148411.57</v>
      </c>
      <c r="M1185" s="2">
        <v>64478.18</v>
      </c>
      <c r="N1185" s="2" t="s">
        <v>29</v>
      </c>
      <c r="O1185" s="2" t="s">
        <v>30</v>
      </c>
    </row>
    <row r="1186" spans="1:15" x14ac:dyDescent="0.3">
      <c r="A1186" s="2" t="s">
        <v>1340</v>
      </c>
      <c r="B1186" s="3">
        <v>45673</v>
      </c>
      <c r="C1186" s="2" t="s">
        <v>37</v>
      </c>
      <c r="D1186" s="2" t="s">
        <v>38</v>
      </c>
      <c r="E1186" s="2" t="s">
        <v>33</v>
      </c>
      <c r="F1186" s="2" t="s">
        <v>34</v>
      </c>
      <c r="G1186" s="2" t="s">
        <v>80</v>
      </c>
      <c r="H1186" s="2">
        <v>2</v>
      </c>
      <c r="I1186" s="2">
        <v>4687.6000000000004</v>
      </c>
      <c r="J1186" s="2">
        <v>0.05</v>
      </c>
      <c r="K1186" s="2">
        <v>8906.44</v>
      </c>
      <c r="L1186" s="2">
        <v>6254.94</v>
      </c>
      <c r="M1186" s="2">
        <v>2651.5</v>
      </c>
      <c r="N1186" s="2" t="s">
        <v>58</v>
      </c>
      <c r="O1186" s="2" t="s">
        <v>59</v>
      </c>
    </row>
    <row r="1187" spans="1:15" x14ac:dyDescent="0.3">
      <c r="A1187" s="2" t="s">
        <v>1341</v>
      </c>
      <c r="B1187" s="3">
        <v>45994</v>
      </c>
      <c r="C1187" s="2" t="s">
        <v>37</v>
      </c>
      <c r="D1187" s="2" t="s">
        <v>42</v>
      </c>
      <c r="E1187" s="2" t="s">
        <v>69</v>
      </c>
      <c r="F1187" s="2" t="s">
        <v>19</v>
      </c>
      <c r="G1187" s="2" t="s">
        <v>20</v>
      </c>
      <c r="H1187" s="2">
        <v>5</v>
      </c>
      <c r="I1187" s="2">
        <v>712.74</v>
      </c>
      <c r="J1187" s="2">
        <v>0.08</v>
      </c>
      <c r="K1187" s="2">
        <v>3278.58</v>
      </c>
      <c r="L1187" s="2">
        <v>2411.75</v>
      </c>
      <c r="M1187" s="2">
        <v>866.83</v>
      </c>
      <c r="N1187" s="2" t="s">
        <v>21</v>
      </c>
      <c r="O1187" s="2" t="s">
        <v>22</v>
      </c>
    </row>
    <row r="1188" spans="1:15" x14ac:dyDescent="0.3">
      <c r="A1188" s="2" t="s">
        <v>1342</v>
      </c>
      <c r="B1188" s="3">
        <v>45996</v>
      </c>
      <c r="C1188" s="2" t="s">
        <v>54</v>
      </c>
      <c r="D1188" s="2" t="s">
        <v>48</v>
      </c>
      <c r="E1188" s="2" t="s">
        <v>18</v>
      </c>
      <c r="F1188" s="2" t="s">
        <v>43</v>
      </c>
      <c r="G1188" s="2" t="s">
        <v>75</v>
      </c>
      <c r="H1188" s="2">
        <v>4</v>
      </c>
      <c r="I1188" s="2">
        <v>37027.35</v>
      </c>
      <c r="J1188" s="2">
        <v>0.03</v>
      </c>
      <c r="K1188" s="2">
        <v>143666.13</v>
      </c>
      <c r="L1188" s="2">
        <v>97766.83</v>
      </c>
      <c r="M1188" s="2">
        <v>45899.3</v>
      </c>
      <c r="N1188" s="2" t="s">
        <v>29</v>
      </c>
      <c r="O1188" s="2" t="s">
        <v>59</v>
      </c>
    </row>
    <row r="1189" spans="1:15" x14ac:dyDescent="0.3">
      <c r="A1189" s="2" t="s">
        <v>1343</v>
      </c>
      <c r="B1189" s="3">
        <v>45816</v>
      </c>
      <c r="C1189" s="2" t="s">
        <v>63</v>
      </c>
      <c r="D1189" s="2" t="s">
        <v>95</v>
      </c>
      <c r="E1189" s="2" t="s">
        <v>33</v>
      </c>
      <c r="F1189" s="2" t="s">
        <v>34</v>
      </c>
      <c r="G1189" s="2" t="s">
        <v>70</v>
      </c>
      <c r="H1189" s="2">
        <v>2</v>
      </c>
      <c r="I1189" s="2">
        <v>64541.61</v>
      </c>
      <c r="J1189" s="2">
        <v>0.1</v>
      </c>
      <c r="K1189" s="2">
        <v>116174.91</v>
      </c>
      <c r="L1189" s="2">
        <v>82642.990000000005</v>
      </c>
      <c r="M1189" s="2">
        <v>33531.919999999998</v>
      </c>
      <c r="N1189" s="2" t="s">
        <v>58</v>
      </c>
      <c r="O1189" s="2" t="s">
        <v>22</v>
      </c>
    </row>
    <row r="1190" spans="1:15" x14ac:dyDescent="0.3">
      <c r="A1190" s="2" t="s">
        <v>1344</v>
      </c>
      <c r="B1190" s="3">
        <v>45862</v>
      </c>
      <c r="C1190" s="2" t="s">
        <v>54</v>
      </c>
      <c r="D1190" s="2" t="s">
        <v>48</v>
      </c>
      <c r="E1190" s="2" t="s">
        <v>65</v>
      </c>
      <c r="F1190" s="2" t="s">
        <v>34</v>
      </c>
      <c r="G1190" s="2" t="s">
        <v>57</v>
      </c>
      <c r="H1190" s="2">
        <v>4</v>
      </c>
      <c r="I1190" s="2">
        <v>23172.36</v>
      </c>
      <c r="J1190" s="2">
        <v>0.08</v>
      </c>
      <c r="K1190" s="2">
        <v>85274.29</v>
      </c>
      <c r="L1190" s="2">
        <v>53303.19</v>
      </c>
      <c r="M1190" s="2">
        <v>31971.1</v>
      </c>
      <c r="N1190" s="2" t="s">
        <v>21</v>
      </c>
      <c r="O1190" s="2" t="s">
        <v>30</v>
      </c>
    </row>
    <row r="1191" spans="1:15" x14ac:dyDescent="0.3">
      <c r="A1191" s="2" t="s">
        <v>1345</v>
      </c>
      <c r="B1191" s="3">
        <v>46008</v>
      </c>
      <c r="C1191" s="2" t="s">
        <v>54</v>
      </c>
      <c r="D1191" s="2" t="s">
        <v>55</v>
      </c>
      <c r="E1191" s="2" t="s">
        <v>33</v>
      </c>
      <c r="F1191" s="2" t="s">
        <v>43</v>
      </c>
      <c r="G1191" s="2" t="s">
        <v>44</v>
      </c>
      <c r="H1191" s="2">
        <v>1</v>
      </c>
      <c r="I1191" s="2">
        <v>12151.14</v>
      </c>
      <c r="J1191" s="2">
        <v>0.05</v>
      </c>
      <c r="K1191" s="2">
        <v>11543.58</v>
      </c>
      <c r="L1191" s="2">
        <v>7379.53</v>
      </c>
      <c r="M1191" s="2">
        <v>4164.05</v>
      </c>
      <c r="N1191" s="2" t="s">
        <v>29</v>
      </c>
      <c r="O1191" s="2" t="s">
        <v>40</v>
      </c>
    </row>
    <row r="1192" spans="1:15" x14ac:dyDescent="0.3">
      <c r="A1192" s="2" t="s">
        <v>1346</v>
      </c>
      <c r="B1192" s="3">
        <v>45694</v>
      </c>
      <c r="C1192" s="2" t="s">
        <v>16</v>
      </c>
      <c r="D1192" s="2" t="s">
        <v>32</v>
      </c>
      <c r="E1192" s="2" t="s">
        <v>56</v>
      </c>
      <c r="F1192" s="2" t="s">
        <v>34</v>
      </c>
      <c r="G1192" s="2" t="s">
        <v>35</v>
      </c>
      <c r="H1192" s="2">
        <v>1</v>
      </c>
      <c r="I1192" s="2">
        <v>16842.580000000002</v>
      </c>
      <c r="J1192" s="2">
        <v>0.05</v>
      </c>
      <c r="K1192" s="2">
        <v>16000.45</v>
      </c>
      <c r="L1192" s="2">
        <v>12738.93</v>
      </c>
      <c r="M1192" s="2">
        <v>3261.52</v>
      </c>
      <c r="N1192" s="2" t="s">
        <v>29</v>
      </c>
      <c r="O1192" s="2" t="s">
        <v>40</v>
      </c>
    </row>
    <row r="1193" spans="1:15" x14ac:dyDescent="0.3">
      <c r="A1193" s="2" t="s">
        <v>1347</v>
      </c>
      <c r="B1193" s="3">
        <v>45998</v>
      </c>
      <c r="C1193" s="2" t="s">
        <v>54</v>
      </c>
      <c r="D1193" s="2" t="s">
        <v>55</v>
      </c>
      <c r="E1193" s="2" t="s">
        <v>56</v>
      </c>
      <c r="F1193" s="2" t="s">
        <v>34</v>
      </c>
      <c r="G1193" s="2" t="s">
        <v>80</v>
      </c>
      <c r="H1193" s="2">
        <v>7</v>
      </c>
      <c r="I1193" s="2">
        <v>4224.58</v>
      </c>
      <c r="J1193" s="2">
        <v>0.03</v>
      </c>
      <c r="K1193" s="2">
        <v>28684.9</v>
      </c>
      <c r="L1193" s="2">
        <v>24463.78</v>
      </c>
      <c r="M1193" s="2">
        <v>4221.12</v>
      </c>
      <c r="N1193" s="2" t="s">
        <v>21</v>
      </c>
      <c r="O1193" s="2" t="s">
        <v>30</v>
      </c>
    </row>
    <row r="1194" spans="1:15" x14ac:dyDescent="0.3">
      <c r="A1194" s="2" t="s">
        <v>1348</v>
      </c>
      <c r="B1194" s="3">
        <v>45755</v>
      </c>
      <c r="C1194" s="2" t="s">
        <v>54</v>
      </c>
      <c r="D1194" s="2" t="s">
        <v>48</v>
      </c>
      <c r="E1194" s="2" t="s">
        <v>18</v>
      </c>
      <c r="F1194" s="2" t="s">
        <v>19</v>
      </c>
      <c r="G1194" s="2" t="s">
        <v>61</v>
      </c>
      <c r="H1194" s="2">
        <v>5</v>
      </c>
      <c r="I1194" s="2">
        <v>9647.27</v>
      </c>
      <c r="J1194" s="2">
        <v>0.15</v>
      </c>
      <c r="K1194" s="2">
        <v>41000.910000000003</v>
      </c>
      <c r="L1194" s="2">
        <v>29113.02</v>
      </c>
      <c r="M1194" s="2">
        <v>11887.89</v>
      </c>
      <c r="N1194" s="2" t="s">
        <v>21</v>
      </c>
      <c r="O1194" s="2" t="s">
        <v>22</v>
      </c>
    </row>
    <row r="1195" spans="1:15" x14ac:dyDescent="0.3">
      <c r="A1195" s="2" t="s">
        <v>1349</v>
      </c>
      <c r="B1195" s="3">
        <v>45750</v>
      </c>
      <c r="C1195" s="2" t="s">
        <v>37</v>
      </c>
      <c r="D1195" s="2" t="s">
        <v>25</v>
      </c>
      <c r="E1195" s="2" t="s">
        <v>33</v>
      </c>
      <c r="F1195" s="2" t="s">
        <v>43</v>
      </c>
      <c r="G1195" s="2" t="s">
        <v>84</v>
      </c>
      <c r="H1195" s="2">
        <v>5</v>
      </c>
      <c r="I1195" s="2">
        <v>41346.5</v>
      </c>
      <c r="J1195" s="2">
        <v>0</v>
      </c>
      <c r="K1195" s="2">
        <v>206732.52</v>
      </c>
      <c r="L1195" s="2">
        <v>162677.35</v>
      </c>
      <c r="M1195" s="2">
        <v>44055.17</v>
      </c>
      <c r="N1195" s="2" t="s">
        <v>58</v>
      </c>
      <c r="O1195" s="2" t="s">
        <v>40</v>
      </c>
    </row>
    <row r="1196" spans="1:15" x14ac:dyDescent="0.3">
      <c r="A1196" s="2" t="s">
        <v>1350</v>
      </c>
      <c r="B1196" s="3">
        <v>45944</v>
      </c>
      <c r="C1196" s="2" t="s">
        <v>37</v>
      </c>
      <c r="D1196" s="2" t="s">
        <v>68</v>
      </c>
      <c r="E1196" s="2" t="s">
        <v>49</v>
      </c>
      <c r="F1196" s="2" t="s">
        <v>43</v>
      </c>
      <c r="G1196" s="2" t="s">
        <v>75</v>
      </c>
      <c r="H1196" s="2">
        <v>4</v>
      </c>
      <c r="I1196" s="2" t="s">
        <v>1351</v>
      </c>
      <c r="J1196" s="2">
        <v>0.05</v>
      </c>
      <c r="K1196" s="2">
        <v>138319.74</v>
      </c>
      <c r="L1196" s="2">
        <v>92149.6</v>
      </c>
      <c r="M1196" s="2">
        <v>46170.14</v>
      </c>
      <c r="N1196" s="2" t="s">
        <v>29</v>
      </c>
      <c r="O1196" s="2" t="s">
        <v>30</v>
      </c>
    </row>
    <row r="1197" spans="1:15" x14ac:dyDescent="0.3">
      <c r="A1197" s="2" t="s">
        <v>1352</v>
      </c>
      <c r="B1197" s="3">
        <v>45773</v>
      </c>
      <c r="C1197" s="2" t="s">
        <v>37</v>
      </c>
      <c r="D1197" s="2" t="s">
        <v>25</v>
      </c>
      <c r="E1197" s="2" t="s">
        <v>18</v>
      </c>
      <c r="F1197" s="2" t="s">
        <v>34</v>
      </c>
      <c r="G1197" s="2" t="s">
        <v>80</v>
      </c>
      <c r="H1197" s="2">
        <v>5</v>
      </c>
      <c r="I1197" s="2">
        <v>4482.16</v>
      </c>
      <c r="J1197" s="2">
        <v>0.05</v>
      </c>
      <c r="K1197" s="2">
        <v>21290.28</v>
      </c>
      <c r="L1197" s="2">
        <v>16820.580000000002</v>
      </c>
      <c r="M1197" s="2">
        <v>4469.7</v>
      </c>
      <c r="N1197" s="2" t="s">
        <v>29</v>
      </c>
      <c r="O1197" s="2" t="s">
        <v>45</v>
      </c>
    </row>
    <row r="1198" spans="1:15" x14ac:dyDescent="0.3">
      <c r="A1198" s="2" t="s">
        <v>1353</v>
      </c>
      <c r="B1198" s="3">
        <v>45743</v>
      </c>
      <c r="C1198" s="2" t="s">
        <v>16</v>
      </c>
      <c r="D1198" s="2" t="s">
        <v>32</v>
      </c>
      <c r="E1198" s="2" t="s">
        <v>49</v>
      </c>
      <c r="F1198" s="2" t="s">
        <v>43</v>
      </c>
      <c r="G1198" s="2" t="s">
        <v>84</v>
      </c>
      <c r="H1198" s="2">
        <v>6</v>
      </c>
      <c r="I1198" s="2">
        <v>45258.78</v>
      </c>
      <c r="J1198" s="2">
        <v>0.1</v>
      </c>
      <c r="K1198" s="2">
        <v>244397.43</v>
      </c>
      <c r="L1198" s="2">
        <v>161184.29</v>
      </c>
      <c r="M1198" s="2">
        <v>83213.14</v>
      </c>
      <c r="N1198" s="2" t="s">
        <v>58</v>
      </c>
      <c r="O1198" s="2" t="s">
        <v>30</v>
      </c>
    </row>
    <row r="1199" spans="1:15" x14ac:dyDescent="0.3">
      <c r="A1199" s="2" t="s">
        <v>1354</v>
      </c>
      <c r="B1199" s="3">
        <v>45784</v>
      </c>
      <c r="C1199" s="2" t="s">
        <v>16</v>
      </c>
      <c r="D1199" s="2" t="s">
        <v>17</v>
      </c>
      <c r="E1199" s="2" t="s">
        <v>26</v>
      </c>
      <c r="F1199" s="2" t="s">
        <v>19</v>
      </c>
      <c r="G1199" s="2" t="s">
        <v>108</v>
      </c>
      <c r="H1199" s="2">
        <v>1</v>
      </c>
      <c r="I1199" s="2">
        <v>14758.32</v>
      </c>
      <c r="J1199" s="2">
        <v>0.05</v>
      </c>
      <c r="K1199" s="2">
        <v>14020.4</v>
      </c>
      <c r="L1199" s="2">
        <v>11418.91</v>
      </c>
      <c r="M1199" s="2">
        <v>2601.4899999999998</v>
      </c>
      <c r="N1199" s="2" t="s">
        <v>21</v>
      </c>
      <c r="O1199" s="2" t="s">
        <v>59</v>
      </c>
    </row>
    <row r="1200" spans="1:15" x14ac:dyDescent="0.3">
      <c r="A1200" s="2" t="s">
        <v>1355</v>
      </c>
      <c r="B1200" s="3">
        <v>45802</v>
      </c>
      <c r="C1200" s="2" t="s">
        <v>16</v>
      </c>
      <c r="D1200" s="2" t="s">
        <v>17</v>
      </c>
      <c r="E1200" s="2" t="s">
        <v>18</v>
      </c>
      <c r="F1200" s="2" t="s">
        <v>34</v>
      </c>
      <c r="G1200" s="2" t="s">
        <v>80</v>
      </c>
      <c r="H1200" s="2">
        <v>3</v>
      </c>
      <c r="I1200" s="2">
        <v>4319.0600000000004</v>
      </c>
      <c r="J1200" s="2">
        <v>0.05</v>
      </c>
      <c r="K1200" s="2">
        <v>12309.32</v>
      </c>
      <c r="L1200" s="2">
        <v>9504.91</v>
      </c>
      <c r="M1200" s="2">
        <v>2804.41</v>
      </c>
      <c r="N1200" s="2" t="s">
        <v>58</v>
      </c>
      <c r="O1200" s="2" t="s">
        <v>22</v>
      </c>
    </row>
    <row r="1201" spans="1:15" x14ac:dyDescent="0.3">
      <c r="A1201" s="2" t="s">
        <v>60</v>
      </c>
      <c r="B1201" s="3">
        <v>45756</v>
      </c>
      <c r="C1201" s="2" t="s">
        <v>37</v>
      </c>
      <c r="D1201" s="2" t="s">
        <v>38</v>
      </c>
      <c r="E1201" s="2" t="s">
        <v>56</v>
      </c>
      <c r="F1201" s="2" t="s">
        <v>19</v>
      </c>
      <c r="G1201" s="2" t="s">
        <v>61</v>
      </c>
      <c r="H1201" s="2">
        <v>1</v>
      </c>
      <c r="I1201" s="2">
        <v>8371.52</v>
      </c>
      <c r="J1201" s="2">
        <v>0.03</v>
      </c>
      <c r="K1201" s="2">
        <v>8120.38</v>
      </c>
      <c r="L1201" s="2">
        <v>5668.38</v>
      </c>
      <c r="M1201" s="2">
        <v>2452</v>
      </c>
      <c r="N1201" s="2" t="s">
        <v>29</v>
      </c>
      <c r="O1201" s="2" t="s">
        <v>22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DF8F-50F9-4269-B6AD-5DFEFF0C2C6A}">
  <dimension ref="A1:O1181"/>
  <sheetViews>
    <sheetView tabSelected="1" topLeftCell="A2" workbookViewId="0">
      <selection activeCell="P5" sqref="P5"/>
    </sheetView>
  </sheetViews>
  <sheetFormatPr defaultRowHeight="14.4" x14ac:dyDescent="0.3"/>
  <cols>
    <col min="1" max="1" width="10.77734375" bestFit="1" customWidth="1"/>
    <col min="2" max="2" width="14.44140625" bestFit="1" customWidth="1"/>
    <col min="3" max="3" width="9" bestFit="1" customWidth="1"/>
    <col min="4" max="4" width="13.77734375" bestFit="1" customWidth="1"/>
    <col min="5" max="5" width="13.21875" bestFit="1" customWidth="1"/>
    <col min="6" max="6" width="15.109375" bestFit="1" customWidth="1"/>
    <col min="7" max="7" width="15.44140625" bestFit="1" customWidth="1"/>
    <col min="8" max="8" width="10.5546875" bestFit="1" customWidth="1"/>
    <col min="9" max="9" width="11.88671875" bestFit="1" customWidth="1"/>
    <col min="10" max="11" width="10.5546875" bestFit="1" customWidth="1"/>
    <col min="12" max="13" width="10" bestFit="1" customWidth="1"/>
    <col min="14" max="14" width="16.5546875" bestFit="1" customWidth="1"/>
    <col min="15" max="15" width="16.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2" t="s">
        <v>920</v>
      </c>
      <c r="B2" s="5">
        <v>45748</v>
      </c>
      <c r="C2" s="6" t="s">
        <v>63</v>
      </c>
      <c r="D2" s="6" t="s">
        <v>64</v>
      </c>
      <c r="E2" s="6" t="s">
        <v>65</v>
      </c>
      <c r="F2" s="6" t="s">
        <v>19</v>
      </c>
      <c r="G2" s="6" t="s">
        <v>102</v>
      </c>
      <c r="H2" s="2">
        <v>1</v>
      </c>
      <c r="I2" s="2">
        <v>241.09</v>
      </c>
      <c r="J2" s="2">
        <v>0.15</v>
      </c>
      <c r="K2" s="2">
        <v>204.93</v>
      </c>
      <c r="L2" s="2">
        <v>163.98</v>
      </c>
      <c r="M2" s="2">
        <v>40.950000000000003</v>
      </c>
      <c r="N2" s="6" t="s">
        <v>29</v>
      </c>
      <c r="O2" s="6" t="s">
        <v>40</v>
      </c>
    </row>
    <row r="3" spans="1:15" x14ac:dyDescent="0.3">
      <c r="A3" s="2" t="s">
        <v>844</v>
      </c>
      <c r="B3" s="5">
        <v>46000</v>
      </c>
      <c r="C3" s="6" t="s">
        <v>16</v>
      </c>
      <c r="D3" s="6" t="s">
        <v>82</v>
      </c>
      <c r="E3" s="6" t="s">
        <v>56</v>
      </c>
      <c r="F3" s="6" t="s">
        <v>19</v>
      </c>
      <c r="G3" s="6" t="s">
        <v>102</v>
      </c>
      <c r="H3" s="2">
        <v>1</v>
      </c>
      <c r="I3" s="2">
        <v>267.39</v>
      </c>
      <c r="J3" s="2">
        <v>0.1</v>
      </c>
      <c r="K3" s="2">
        <v>240.65</v>
      </c>
      <c r="L3" s="2">
        <v>197.86</v>
      </c>
      <c r="M3" s="2">
        <v>42.79</v>
      </c>
      <c r="N3" s="6" t="s">
        <v>58</v>
      </c>
      <c r="O3" s="6" t="s">
        <v>45</v>
      </c>
    </row>
    <row r="4" spans="1:15" x14ac:dyDescent="0.3">
      <c r="A4" s="2" t="s">
        <v>171</v>
      </c>
      <c r="B4" s="5">
        <v>45923</v>
      </c>
      <c r="C4" s="6" t="s">
        <v>16</v>
      </c>
      <c r="D4" s="6" t="s">
        <v>52</v>
      </c>
      <c r="E4" s="6" t="s">
        <v>74</v>
      </c>
      <c r="F4" s="6" t="s">
        <v>19</v>
      </c>
      <c r="G4" s="6" t="s">
        <v>102</v>
      </c>
      <c r="H4" s="2">
        <v>1</v>
      </c>
      <c r="I4" s="2">
        <v>243.37</v>
      </c>
      <c r="J4" s="2">
        <v>0</v>
      </c>
      <c r="K4" s="2">
        <v>243.37</v>
      </c>
      <c r="L4" s="2">
        <v>194.89</v>
      </c>
      <c r="M4" s="2">
        <v>48.48</v>
      </c>
      <c r="N4" s="6" t="s">
        <v>21</v>
      </c>
      <c r="O4" s="6" t="s">
        <v>59</v>
      </c>
    </row>
    <row r="5" spans="1:15" x14ac:dyDescent="0.3">
      <c r="A5" s="2" t="s">
        <v>700</v>
      </c>
      <c r="B5" s="5">
        <v>45983</v>
      </c>
      <c r="C5" s="6" t="s">
        <v>54</v>
      </c>
      <c r="D5" s="6" t="s">
        <v>124</v>
      </c>
      <c r="E5" s="6" t="s">
        <v>18</v>
      </c>
      <c r="F5" s="6" t="s">
        <v>19</v>
      </c>
      <c r="G5" s="6" t="s">
        <v>102</v>
      </c>
      <c r="H5" s="2">
        <v>1</v>
      </c>
      <c r="I5" s="2">
        <v>234.23</v>
      </c>
      <c r="J5" s="2">
        <v>0.1</v>
      </c>
      <c r="K5" s="2">
        <v>210.8</v>
      </c>
      <c r="L5" s="2">
        <v>159.97999999999999</v>
      </c>
      <c r="M5" s="2">
        <v>50.82</v>
      </c>
      <c r="N5" s="6" t="s">
        <v>58</v>
      </c>
      <c r="O5" s="6" t="s">
        <v>59</v>
      </c>
    </row>
    <row r="6" spans="1:15" x14ac:dyDescent="0.3">
      <c r="A6" s="2" t="s">
        <v>942</v>
      </c>
      <c r="B6" s="5">
        <v>45872</v>
      </c>
      <c r="C6" s="6" t="s">
        <v>16</v>
      </c>
      <c r="D6" s="6" t="s">
        <v>32</v>
      </c>
      <c r="E6" s="6" t="s">
        <v>18</v>
      </c>
      <c r="F6" s="6" t="s">
        <v>19</v>
      </c>
      <c r="G6" s="6" t="s">
        <v>102</v>
      </c>
      <c r="H6" s="2">
        <v>1</v>
      </c>
      <c r="I6" s="2">
        <v>269.68</v>
      </c>
      <c r="J6" s="2">
        <v>0</v>
      </c>
      <c r="K6" s="2">
        <v>269.68</v>
      </c>
      <c r="L6" s="2">
        <v>218.73</v>
      </c>
      <c r="M6" s="2">
        <v>50.95</v>
      </c>
      <c r="N6" s="6" t="s">
        <v>21</v>
      </c>
      <c r="O6" s="6" t="s">
        <v>22</v>
      </c>
    </row>
    <row r="7" spans="1:15" x14ac:dyDescent="0.3">
      <c r="A7" s="2" t="s">
        <v>1149</v>
      </c>
      <c r="B7" s="5">
        <v>45842</v>
      </c>
      <c r="C7" s="6" t="s">
        <v>16</v>
      </c>
      <c r="D7" s="6" t="s">
        <v>52</v>
      </c>
      <c r="E7" s="6" t="s">
        <v>65</v>
      </c>
      <c r="F7" s="6" t="s">
        <v>19</v>
      </c>
      <c r="G7" s="6" t="s">
        <v>102</v>
      </c>
      <c r="H7" s="2">
        <v>1</v>
      </c>
      <c r="I7" s="2">
        <v>262.61</v>
      </c>
      <c r="J7" s="2">
        <v>0</v>
      </c>
      <c r="K7" s="2">
        <v>262.61</v>
      </c>
      <c r="L7" s="2">
        <v>202.08</v>
      </c>
      <c r="M7" s="2">
        <v>60.53</v>
      </c>
      <c r="N7" s="6" t="s">
        <v>29</v>
      </c>
      <c r="O7" s="6" t="s">
        <v>30</v>
      </c>
    </row>
    <row r="8" spans="1:15" x14ac:dyDescent="0.3">
      <c r="A8" s="2" t="s">
        <v>386</v>
      </c>
      <c r="B8" s="5">
        <v>45813</v>
      </c>
      <c r="C8" s="6" t="s">
        <v>37</v>
      </c>
      <c r="D8" s="6" t="s">
        <v>42</v>
      </c>
      <c r="E8" s="6" t="s">
        <v>33</v>
      </c>
      <c r="F8" s="6" t="s">
        <v>19</v>
      </c>
      <c r="G8" s="6" t="s">
        <v>102</v>
      </c>
      <c r="H8" s="2">
        <v>1</v>
      </c>
      <c r="I8" s="2">
        <v>263.42</v>
      </c>
      <c r="J8" s="2">
        <v>0.1</v>
      </c>
      <c r="K8" s="2">
        <v>237.07</v>
      </c>
      <c r="L8" s="2">
        <v>168.43</v>
      </c>
      <c r="M8" s="2">
        <v>68.64</v>
      </c>
      <c r="N8" s="6" t="s">
        <v>21</v>
      </c>
      <c r="O8" s="6" t="s">
        <v>22</v>
      </c>
    </row>
    <row r="9" spans="1:15" x14ac:dyDescent="0.3">
      <c r="A9" s="2" t="s">
        <v>475</v>
      </c>
      <c r="B9" s="5">
        <v>45985</v>
      </c>
      <c r="C9" s="6" t="s">
        <v>54</v>
      </c>
      <c r="D9" s="6" t="s">
        <v>55</v>
      </c>
      <c r="E9" s="6" t="s">
        <v>49</v>
      </c>
      <c r="F9" s="6" t="s">
        <v>19</v>
      </c>
      <c r="G9" s="6" t="s">
        <v>102</v>
      </c>
      <c r="H9" s="2">
        <v>1</v>
      </c>
      <c r="I9" s="2">
        <v>252.17</v>
      </c>
      <c r="J9" s="2">
        <v>0.03</v>
      </c>
      <c r="K9" s="2">
        <v>244.61</v>
      </c>
      <c r="L9" s="2">
        <v>168.91</v>
      </c>
      <c r="M9" s="2">
        <v>75.7</v>
      </c>
      <c r="N9" s="6" t="s">
        <v>58</v>
      </c>
      <c r="O9" s="6" t="s">
        <v>45</v>
      </c>
    </row>
    <row r="10" spans="1:15" x14ac:dyDescent="0.3">
      <c r="A10" s="2" t="s">
        <v>250</v>
      </c>
      <c r="B10" s="5">
        <v>45693</v>
      </c>
      <c r="C10" s="6" t="s">
        <v>37</v>
      </c>
      <c r="D10" s="6" t="s">
        <v>42</v>
      </c>
      <c r="E10" s="6" t="s">
        <v>49</v>
      </c>
      <c r="F10" s="6" t="s">
        <v>19</v>
      </c>
      <c r="G10" s="6" t="s">
        <v>102</v>
      </c>
      <c r="H10" s="2">
        <v>2</v>
      </c>
      <c r="I10" s="2">
        <v>243.49</v>
      </c>
      <c r="J10" s="2">
        <v>0.1</v>
      </c>
      <c r="K10" s="2">
        <v>438.28</v>
      </c>
      <c r="L10" s="2">
        <v>353</v>
      </c>
      <c r="M10" s="2">
        <v>85.28</v>
      </c>
      <c r="N10" s="6" t="s">
        <v>21</v>
      </c>
      <c r="O10" s="6" t="s">
        <v>30</v>
      </c>
    </row>
    <row r="11" spans="1:15" x14ac:dyDescent="0.3">
      <c r="A11" s="2" t="s">
        <v>514</v>
      </c>
      <c r="B11" s="5">
        <v>45865</v>
      </c>
      <c r="C11" s="6" t="s">
        <v>16</v>
      </c>
      <c r="D11" s="6" t="s">
        <v>52</v>
      </c>
      <c r="E11" s="6" t="s">
        <v>69</v>
      </c>
      <c r="F11" s="6" t="s">
        <v>19</v>
      </c>
      <c r="G11" s="6" t="s">
        <v>20</v>
      </c>
      <c r="H11" s="2">
        <v>1</v>
      </c>
      <c r="I11" s="2">
        <v>669.32</v>
      </c>
      <c r="J11" s="2">
        <v>0.1</v>
      </c>
      <c r="K11" s="2">
        <v>602.39</v>
      </c>
      <c r="L11" s="2">
        <v>507.99</v>
      </c>
      <c r="M11" s="2">
        <v>94.4</v>
      </c>
      <c r="N11" s="6" t="s">
        <v>21</v>
      </c>
      <c r="O11" s="6" t="s">
        <v>45</v>
      </c>
    </row>
    <row r="12" spans="1:15" x14ac:dyDescent="0.3">
      <c r="A12" s="2" t="s">
        <v>225</v>
      </c>
      <c r="B12" s="5">
        <v>45900</v>
      </c>
      <c r="C12" s="6" t="s">
        <v>63</v>
      </c>
      <c r="D12" s="6" t="s">
        <v>88</v>
      </c>
      <c r="E12" s="6" t="s">
        <v>33</v>
      </c>
      <c r="F12" s="6" t="s">
        <v>19</v>
      </c>
      <c r="G12" s="6" t="s">
        <v>102</v>
      </c>
      <c r="H12" s="2">
        <v>2</v>
      </c>
      <c r="I12" s="2">
        <v>253.91</v>
      </c>
      <c r="J12" s="2">
        <v>0.1</v>
      </c>
      <c r="K12" s="2">
        <v>457.04</v>
      </c>
      <c r="L12" s="2">
        <v>355.21</v>
      </c>
      <c r="M12" s="2">
        <v>101.83</v>
      </c>
      <c r="N12" s="6" t="s">
        <v>29</v>
      </c>
      <c r="O12" s="6" t="s">
        <v>45</v>
      </c>
    </row>
    <row r="13" spans="1:15" x14ac:dyDescent="0.3">
      <c r="A13" s="2" t="s">
        <v>694</v>
      </c>
      <c r="B13" s="5">
        <v>45914</v>
      </c>
      <c r="C13" s="6" t="s">
        <v>16</v>
      </c>
      <c r="D13" s="6" t="s">
        <v>17</v>
      </c>
      <c r="E13" s="6" t="s">
        <v>65</v>
      </c>
      <c r="F13" s="6" t="s">
        <v>19</v>
      </c>
      <c r="G13" s="6" t="s">
        <v>102</v>
      </c>
      <c r="H13" s="2">
        <v>2</v>
      </c>
      <c r="I13" s="2">
        <v>242.63</v>
      </c>
      <c r="J13" s="2">
        <v>0</v>
      </c>
      <c r="K13" s="2">
        <v>485.25</v>
      </c>
      <c r="L13" s="2">
        <v>377.2</v>
      </c>
      <c r="M13" s="2">
        <v>108.05</v>
      </c>
      <c r="N13" s="6" t="s">
        <v>21</v>
      </c>
      <c r="O13" s="6" t="s">
        <v>22</v>
      </c>
    </row>
    <row r="14" spans="1:15" x14ac:dyDescent="0.3">
      <c r="A14" s="2" t="s">
        <v>673</v>
      </c>
      <c r="B14" s="5">
        <v>45858</v>
      </c>
      <c r="C14" s="6" t="s">
        <v>54</v>
      </c>
      <c r="D14" s="6" t="s">
        <v>48</v>
      </c>
      <c r="E14" s="6" t="s">
        <v>18</v>
      </c>
      <c r="F14" s="6" t="s">
        <v>19</v>
      </c>
      <c r="G14" s="6" t="s">
        <v>102</v>
      </c>
      <c r="H14" s="2">
        <v>2</v>
      </c>
      <c r="I14" s="2">
        <v>235.26</v>
      </c>
      <c r="J14" s="2">
        <v>0.03</v>
      </c>
      <c r="K14" s="2">
        <v>456.4</v>
      </c>
      <c r="L14" s="2">
        <v>346.63</v>
      </c>
      <c r="M14" s="2">
        <v>109.77</v>
      </c>
      <c r="N14" s="6" t="s">
        <v>21</v>
      </c>
      <c r="O14" s="6" t="s">
        <v>22</v>
      </c>
    </row>
    <row r="15" spans="1:15" x14ac:dyDescent="0.3">
      <c r="A15" s="2" t="s">
        <v>186</v>
      </c>
      <c r="B15" s="5">
        <v>45682</v>
      </c>
      <c r="C15" s="6" t="s">
        <v>16</v>
      </c>
      <c r="D15" s="6" t="s">
        <v>82</v>
      </c>
      <c r="E15" s="6" t="s">
        <v>69</v>
      </c>
      <c r="F15" s="6" t="s">
        <v>19</v>
      </c>
      <c r="G15" s="6" t="s">
        <v>20</v>
      </c>
      <c r="H15" s="2">
        <v>1</v>
      </c>
      <c r="I15" s="2">
        <v>717.78</v>
      </c>
      <c r="J15" s="2">
        <v>0.08</v>
      </c>
      <c r="K15" s="2">
        <v>660.36</v>
      </c>
      <c r="L15" s="2">
        <v>544.01</v>
      </c>
      <c r="M15" s="2">
        <v>116.35</v>
      </c>
      <c r="N15" s="6" t="s">
        <v>58</v>
      </c>
      <c r="O15" s="6" t="s">
        <v>40</v>
      </c>
    </row>
    <row r="16" spans="1:15" x14ac:dyDescent="0.3">
      <c r="A16" s="2" t="s">
        <v>807</v>
      </c>
      <c r="B16" s="5">
        <v>45696</v>
      </c>
      <c r="C16" s="6" t="s">
        <v>63</v>
      </c>
      <c r="D16" s="6" t="s">
        <v>64</v>
      </c>
      <c r="E16" s="6" t="s">
        <v>33</v>
      </c>
      <c r="F16" s="6" t="s">
        <v>19</v>
      </c>
      <c r="G16" s="6" t="s">
        <v>102</v>
      </c>
      <c r="H16" s="2">
        <v>2</v>
      </c>
      <c r="I16" s="2">
        <v>262.31</v>
      </c>
      <c r="J16" s="2">
        <v>0.08</v>
      </c>
      <c r="K16" s="2">
        <v>482.66</v>
      </c>
      <c r="L16" s="2">
        <v>363.64</v>
      </c>
      <c r="M16" s="2">
        <v>119.02</v>
      </c>
      <c r="N16" s="6" t="s">
        <v>29</v>
      </c>
      <c r="O16" s="6" t="s">
        <v>40</v>
      </c>
    </row>
    <row r="17" spans="1:15" x14ac:dyDescent="0.3">
      <c r="A17" s="2" t="s">
        <v>483</v>
      </c>
      <c r="B17" s="5">
        <v>45871</v>
      </c>
      <c r="C17" s="6" t="s">
        <v>63</v>
      </c>
      <c r="D17" s="6" t="s">
        <v>64</v>
      </c>
      <c r="E17" s="6" t="s">
        <v>56</v>
      </c>
      <c r="F17" s="6" t="s">
        <v>19</v>
      </c>
      <c r="G17" s="6" t="s">
        <v>102</v>
      </c>
      <c r="H17" s="2">
        <v>2</v>
      </c>
      <c r="I17" s="2">
        <v>254.78</v>
      </c>
      <c r="J17" s="2">
        <v>0.08</v>
      </c>
      <c r="K17" s="2">
        <v>468.8</v>
      </c>
      <c r="L17" s="2">
        <v>347.62</v>
      </c>
      <c r="M17" s="2">
        <v>121.18</v>
      </c>
      <c r="N17" s="6" t="s">
        <v>21</v>
      </c>
      <c r="O17" s="6" t="s">
        <v>22</v>
      </c>
    </row>
    <row r="18" spans="1:15" x14ac:dyDescent="0.3">
      <c r="A18" s="2" t="s">
        <v>1314</v>
      </c>
      <c r="B18" s="5">
        <v>45816</v>
      </c>
      <c r="C18" s="6" t="s">
        <v>63</v>
      </c>
      <c r="D18" s="6" t="s">
        <v>117</v>
      </c>
      <c r="E18" s="6" t="s">
        <v>74</v>
      </c>
      <c r="F18" s="6" t="s">
        <v>19</v>
      </c>
      <c r="G18" s="6" t="s">
        <v>20</v>
      </c>
      <c r="H18" s="2">
        <v>1</v>
      </c>
      <c r="I18" s="2">
        <v>697.92</v>
      </c>
      <c r="J18" s="2">
        <v>0</v>
      </c>
      <c r="K18" s="2">
        <v>697.92</v>
      </c>
      <c r="L18" s="2">
        <v>569.65</v>
      </c>
      <c r="M18" s="2">
        <v>128.27000000000001</v>
      </c>
      <c r="N18" s="6" t="s">
        <v>58</v>
      </c>
      <c r="O18" s="6" t="s">
        <v>59</v>
      </c>
    </row>
    <row r="19" spans="1:15" x14ac:dyDescent="0.3">
      <c r="A19" s="2" t="s">
        <v>376</v>
      </c>
      <c r="B19" s="5">
        <v>45969</v>
      </c>
      <c r="C19" s="6" t="s">
        <v>37</v>
      </c>
      <c r="D19" s="6" t="s">
        <v>42</v>
      </c>
      <c r="E19" s="6" t="s">
        <v>65</v>
      </c>
      <c r="F19" s="6" t="s">
        <v>19</v>
      </c>
      <c r="G19" s="6" t="s">
        <v>102</v>
      </c>
      <c r="H19" s="2">
        <v>2</v>
      </c>
      <c r="I19" s="2">
        <v>253.29</v>
      </c>
      <c r="J19" s="2">
        <v>0.15</v>
      </c>
      <c r="K19" s="2">
        <v>430.59</v>
      </c>
      <c r="L19" s="2">
        <v>291.68</v>
      </c>
      <c r="M19" s="2">
        <v>138.91</v>
      </c>
      <c r="N19" s="6" t="s">
        <v>58</v>
      </c>
      <c r="O19" s="6" t="s">
        <v>59</v>
      </c>
    </row>
    <row r="20" spans="1:15" x14ac:dyDescent="0.3">
      <c r="A20" s="2" t="s">
        <v>874</v>
      </c>
      <c r="B20" s="5">
        <v>45862</v>
      </c>
      <c r="C20" s="6" t="s">
        <v>37</v>
      </c>
      <c r="D20" s="6" t="s">
        <v>38</v>
      </c>
      <c r="E20" s="6" t="s">
        <v>33</v>
      </c>
      <c r="F20" s="6" t="s">
        <v>19</v>
      </c>
      <c r="G20" s="6" t="s">
        <v>20</v>
      </c>
      <c r="H20" s="2">
        <v>1</v>
      </c>
      <c r="I20" s="2">
        <v>672.7</v>
      </c>
      <c r="J20" s="2">
        <v>0.03</v>
      </c>
      <c r="K20" s="2">
        <v>652.52</v>
      </c>
      <c r="L20" s="2">
        <v>509.48</v>
      </c>
      <c r="M20" s="2">
        <v>143.04</v>
      </c>
      <c r="N20" s="6" t="s">
        <v>21</v>
      </c>
      <c r="O20" s="6" t="s">
        <v>45</v>
      </c>
    </row>
    <row r="21" spans="1:15" x14ac:dyDescent="0.3">
      <c r="A21" s="2" t="s">
        <v>693</v>
      </c>
      <c r="B21" s="5">
        <v>45834</v>
      </c>
      <c r="C21" s="6" t="s">
        <v>16</v>
      </c>
      <c r="D21" s="6" t="s">
        <v>17</v>
      </c>
      <c r="E21" s="6" t="s">
        <v>18</v>
      </c>
      <c r="F21" s="6" t="s">
        <v>19</v>
      </c>
      <c r="G21" s="6" t="s">
        <v>102</v>
      </c>
      <c r="H21" s="2">
        <v>4</v>
      </c>
      <c r="I21" s="2">
        <v>251.01</v>
      </c>
      <c r="J21" s="2">
        <v>0</v>
      </c>
      <c r="K21" s="2">
        <v>1004.05</v>
      </c>
      <c r="L21" s="2">
        <v>856.87</v>
      </c>
      <c r="M21" s="2">
        <v>147.18</v>
      </c>
      <c r="N21" s="6" t="s">
        <v>58</v>
      </c>
      <c r="O21" s="6" t="s">
        <v>45</v>
      </c>
    </row>
    <row r="22" spans="1:15" x14ac:dyDescent="0.3">
      <c r="A22" s="2" t="s">
        <v>1111</v>
      </c>
      <c r="B22" s="5">
        <v>45895</v>
      </c>
      <c r="C22" s="6" t="s">
        <v>16</v>
      </c>
      <c r="D22" s="6" t="s">
        <v>52</v>
      </c>
      <c r="E22" s="6" t="s">
        <v>18</v>
      </c>
      <c r="F22" s="6" t="s">
        <v>19</v>
      </c>
      <c r="G22" s="6" t="s">
        <v>102</v>
      </c>
      <c r="H22" s="2">
        <v>2</v>
      </c>
      <c r="I22" s="2">
        <v>230.31</v>
      </c>
      <c r="J22" s="2">
        <v>0.08</v>
      </c>
      <c r="K22" s="2">
        <v>423.77</v>
      </c>
      <c r="L22" s="2">
        <v>273.56</v>
      </c>
      <c r="M22" s="2">
        <v>150.21</v>
      </c>
      <c r="N22" s="6" t="s">
        <v>21</v>
      </c>
      <c r="O22" s="6" t="s">
        <v>45</v>
      </c>
    </row>
    <row r="23" spans="1:15" x14ac:dyDescent="0.3">
      <c r="A23" s="2" t="s">
        <v>833</v>
      </c>
      <c r="B23" s="5">
        <v>45795</v>
      </c>
      <c r="C23" s="6" t="s">
        <v>37</v>
      </c>
      <c r="D23" s="6" t="s">
        <v>25</v>
      </c>
      <c r="E23" s="6" t="s">
        <v>26</v>
      </c>
      <c r="F23" s="6" t="s">
        <v>19</v>
      </c>
      <c r="G23" s="6" t="s">
        <v>20</v>
      </c>
      <c r="H23" s="2">
        <v>1</v>
      </c>
      <c r="I23" s="2">
        <v>645.1</v>
      </c>
      <c r="J23" s="2">
        <v>0</v>
      </c>
      <c r="K23" s="2">
        <v>645.1</v>
      </c>
      <c r="L23" s="2">
        <v>482.9</v>
      </c>
      <c r="M23" s="2">
        <v>162.19999999999999</v>
      </c>
      <c r="N23" s="6" t="s">
        <v>21</v>
      </c>
      <c r="O23" s="6" t="s">
        <v>40</v>
      </c>
    </row>
    <row r="24" spans="1:15" x14ac:dyDescent="0.3">
      <c r="A24" s="2" t="s">
        <v>1089</v>
      </c>
      <c r="B24" s="5">
        <v>45831</v>
      </c>
      <c r="C24" s="6" t="s">
        <v>54</v>
      </c>
      <c r="D24" s="6" t="s">
        <v>124</v>
      </c>
      <c r="E24" s="6" t="s">
        <v>49</v>
      </c>
      <c r="F24" s="6" t="s">
        <v>19</v>
      </c>
      <c r="G24" s="6" t="s">
        <v>102</v>
      </c>
      <c r="H24" s="2">
        <v>4</v>
      </c>
      <c r="I24" s="2">
        <v>248.69</v>
      </c>
      <c r="J24" s="2">
        <v>0.08</v>
      </c>
      <c r="K24" s="2">
        <v>915.19</v>
      </c>
      <c r="L24" s="2">
        <v>742.08</v>
      </c>
      <c r="M24" s="2">
        <v>173.11</v>
      </c>
      <c r="N24" s="6" t="s">
        <v>29</v>
      </c>
      <c r="O24" s="6" t="s">
        <v>30</v>
      </c>
    </row>
    <row r="25" spans="1:15" x14ac:dyDescent="0.3">
      <c r="A25" s="2" t="s">
        <v>629</v>
      </c>
      <c r="B25" s="5">
        <v>45891</v>
      </c>
      <c r="C25" s="6" t="s">
        <v>16</v>
      </c>
      <c r="D25" s="6" t="s">
        <v>52</v>
      </c>
      <c r="E25" s="6" t="s">
        <v>26</v>
      </c>
      <c r="F25" s="6" t="s">
        <v>19</v>
      </c>
      <c r="G25" s="6" t="s">
        <v>102</v>
      </c>
      <c r="H25" s="2">
        <v>2</v>
      </c>
      <c r="I25" s="2">
        <v>250.44</v>
      </c>
      <c r="J25" s="2">
        <v>0.05</v>
      </c>
      <c r="K25" s="2">
        <v>475.83</v>
      </c>
      <c r="L25" s="2">
        <v>301.16000000000003</v>
      </c>
      <c r="M25" s="2">
        <v>174.67</v>
      </c>
      <c r="N25" s="6" t="s">
        <v>58</v>
      </c>
      <c r="O25" s="6" t="s">
        <v>45</v>
      </c>
    </row>
    <row r="26" spans="1:15" x14ac:dyDescent="0.3">
      <c r="A26" s="2" t="s">
        <v>1126</v>
      </c>
      <c r="B26" s="5">
        <v>45820</v>
      </c>
      <c r="C26" s="6" t="s">
        <v>63</v>
      </c>
      <c r="D26" s="6" t="s">
        <v>117</v>
      </c>
      <c r="E26" s="6" t="s">
        <v>33</v>
      </c>
      <c r="F26" s="6" t="s">
        <v>19</v>
      </c>
      <c r="G26" s="6" t="s">
        <v>102</v>
      </c>
      <c r="H26" s="2">
        <v>5</v>
      </c>
      <c r="I26" s="2">
        <v>241.15</v>
      </c>
      <c r="J26" s="2">
        <v>0.05</v>
      </c>
      <c r="K26" s="2">
        <v>1145.46</v>
      </c>
      <c r="L26" s="2">
        <v>962.51</v>
      </c>
      <c r="M26" s="2">
        <v>182.95</v>
      </c>
      <c r="N26" s="6" t="s">
        <v>58</v>
      </c>
      <c r="O26" s="6" t="s">
        <v>30</v>
      </c>
    </row>
    <row r="27" spans="1:15" x14ac:dyDescent="0.3">
      <c r="A27" s="2" t="s">
        <v>982</v>
      </c>
      <c r="B27" s="5">
        <v>45961</v>
      </c>
      <c r="C27" s="6" t="s">
        <v>37</v>
      </c>
      <c r="D27" s="6" t="s">
        <v>38</v>
      </c>
      <c r="E27" s="6" t="s">
        <v>69</v>
      </c>
      <c r="F27" s="6" t="s">
        <v>19</v>
      </c>
      <c r="G27" s="6" t="s">
        <v>102</v>
      </c>
      <c r="H27" s="2">
        <v>3</v>
      </c>
      <c r="I27" s="2">
        <v>230.56</v>
      </c>
      <c r="J27" s="2">
        <v>0.08</v>
      </c>
      <c r="K27" s="2">
        <v>636.34</v>
      </c>
      <c r="L27" s="2">
        <v>450.29</v>
      </c>
      <c r="M27" s="2">
        <v>186.05</v>
      </c>
      <c r="N27" s="6" t="s">
        <v>58</v>
      </c>
      <c r="O27" s="6" t="s">
        <v>40</v>
      </c>
    </row>
    <row r="28" spans="1:15" x14ac:dyDescent="0.3">
      <c r="A28" s="2" t="s">
        <v>602</v>
      </c>
      <c r="B28" s="5">
        <v>45818</v>
      </c>
      <c r="C28" s="6" t="s">
        <v>63</v>
      </c>
      <c r="D28" s="6" t="s">
        <v>64</v>
      </c>
      <c r="E28" s="6" t="s">
        <v>56</v>
      </c>
      <c r="F28" s="6" t="s">
        <v>19</v>
      </c>
      <c r="G28" s="6" t="s">
        <v>102</v>
      </c>
      <c r="H28" s="2">
        <v>4</v>
      </c>
      <c r="I28" s="2">
        <v>239.69</v>
      </c>
      <c r="J28" s="2">
        <v>0</v>
      </c>
      <c r="K28" s="2">
        <v>958.75</v>
      </c>
      <c r="L28" s="2">
        <v>765.63</v>
      </c>
      <c r="M28" s="2">
        <v>193.12</v>
      </c>
      <c r="N28" s="6" t="s">
        <v>58</v>
      </c>
      <c r="O28" s="6" t="s">
        <v>30</v>
      </c>
    </row>
    <row r="29" spans="1:15" x14ac:dyDescent="0.3">
      <c r="A29" s="2" t="s">
        <v>802</v>
      </c>
      <c r="B29" s="5">
        <v>46010</v>
      </c>
      <c r="C29" s="6" t="s">
        <v>16</v>
      </c>
      <c r="D29" s="6" t="s">
        <v>82</v>
      </c>
      <c r="E29" s="6" t="s">
        <v>49</v>
      </c>
      <c r="F29" s="6" t="s">
        <v>19</v>
      </c>
      <c r="G29" s="6" t="s">
        <v>102</v>
      </c>
      <c r="H29" s="2">
        <v>5</v>
      </c>
      <c r="I29" s="2">
        <v>244.82</v>
      </c>
      <c r="J29" s="2">
        <v>0.05</v>
      </c>
      <c r="K29" s="2">
        <v>1162.8900000000001</v>
      </c>
      <c r="L29" s="2">
        <v>967.07</v>
      </c>
      <c r="M29" s="2">
        <v>195.82</v>
      </c>
      <c r="N29" s="6" t="s">
        <v>58</v>
      </c>
      <c r="O29" s="6" t="s">
        <v>40</v>
      </c>
    </row>
    <row r="30" spans="1:15" x14ac:dyDescent="0.3">
      <c r="A30" s="2" t="s">
        <v>965</v>
      </c>
      <c r="B30" s="5">
        <v>45767</v>
      </c>
      <c r="C30" s="6" t="s">
        <v>37</v>
      </c>
      <c r="D30" s="6" t="s">
        <v>25</v>
      </c>
      <c r="E30" s="6" t="s">
        <v>49</v>
      </c>
      <c r="F30" s="6" t="s">
        <v>19</v>
      </c>
      <c r="G30" s="6" t="s">
        <v>20</v>
      </c>
      <c r="H30" s="2">
        <v>2</v>
      </c>
      <c r="I30" s="2">
        <v>699.96</v>
      </c>
      <c r="J30" s="2">
        <v>0.03</v>
      </c>
      <c r="K30" s="2">
        <v>1357.92</v>
      </c>
      <c r="L30" s="2">
        <v>1159.25</v>
      </c>
      <c r="M30" s="2">
        <v>198.67</v>
      </c>
      <c r="N30" s="6" t="s">
        <v>21</v>
      </c>
      <c r="O30" s="6" t="s">
        <v>22</v>
      </c>
    </row>
    <row r="31" spans="1:15" x14ac:dyDescent="0.3">
      <c r="A31" s="2" t="s">
        <v>427</v>
      </c>
      <c r="B31" s="5">
        <v>45940</v>
      </c>
      <c r="C31" s="6" t="s">
        <v>63</v>
      </c>
      <c r="D31" s="6" t="s">
        <v>64</v>
      </c>
      <c r="E31" s="6" t="s">
        <v>69</v>
      </c>
      <c r="F31" s="6" t="s">
        <v>19</v>
      </c>
      <c r="G31" s="6" t="s">
        <v>102</v>
      </c>
      <c r="H31" s="2">
        <v>3</v>
      </c>
      <c r="I31" s="2">
        <v>234.42</v>
      </c>
      <c r="J31" s="2">
        <v>0.03</v>
      </c>
      <c r="K31" s="2">
        <v>682.15</v>
      </c>
      <c r="L31" s="2">
        <v>473.65</v>
      </c>
      <c r="M31" s="2">
        <v>208.5</v>
      </c>
      <c r="N31" s="6" t="s">
        <v>29</v>
      </c>
      <c r="O31" s="6" t="s">
        <v>30</v>
      </c>
    </row>
    <row r="32" spans="1:15" x14ac:dyDescent="0.3">
      <c r="A32" s="2" t="s">
        <v>140</v>
      </c>
      <c r="B32" s="5">
        <v>45795</v>
      </c>
      <c r="C32" s="6" t="s">
        <v>16</v>
      </c>
      <c r="D32" s="6" t="s">
        <v>52</v>
      </c>
      <c r="E32" s="6" t="s">
        <v>56</v>
      </c>
      <c r="F32" s="6" t="s">
        <v>19</v>
      </c>
      <c r="G32" s="6" t="s">
        <v>102</v>
      </c>
      <c r="H32" s="2">
        <v>6</v>
      </c>
      <c r="I32" s="2">
        <v>254.88</v>
      </c>
      <c r="J32" s="2">
        <v>0.1</v>
      </c>
      <c r="K32" s="2">
        <v>1376.37</v>
      </c>
      <c r="L32" s="2">
        <v>1167</v>
      </c>
      <c r="M32" s="2">
        <v>209.37</v>
      </c>
      <c r="N32" s="6" t="s">
        <v>58</v>
      </c>
      <c r="O32" s="6" t="s">
        <v>59</v>
      </c>
    </row>
    <row r="33" spans="1:15" x14ac:dyDescent="0.3">
      <c r="A33" s="2" t="s">
        <v>895</v>
      </c>
      <c r="B33" s="5">
        <v>45870</v>
      </c>
      <c r="C33" s="6" t="s">
        <v>63</v>
      </c>
      <c r="D33" s="6" t="s">
        <v>117</v>
      </c>
      <c r="E33" s="6" t="s">
        <v>26</v>
      </c>
      <c r="F33" s="6" t="s">
        <v>19</v>
      </c>
      <c r="G33" s="6" t="s">
        <v>20</v>
      </c>
      <c r="H33" s="2">
        <v>1</v>
      </c>
      <c r="I33" s="2">
        <v>672.67</v>
      </c>
      <c r="J33" s="2">
        <v>0.08</v>
      </c>
      <c r="K33" s="2">
        <v>618.86</v>
      </c>
      <c r="L33" s="2">
        <v>400.96</v>
      </c>
      <c r="M33" s="2">
        <v>217.9</v>
      </c>
      <c r="N33" s="6" t="s">
        <v>58</v>
      </c>
      <c r="O33" s="6" t="s">
        <v>59</v>
      </c>
    </row>
    <row r="34" spans="1:15" x14ac:dyDescent="0.3">
      <c r="A34" s="2" t="s">
        <v>1139</v>
      </c>
      <c r="B34" s="5">
        <v>45981</v>
      </c>
      <c r="C34" s="6" t="s">
        <v>63</v>
      </c>
      <c r="D34" s="6" t="s">
        <v>117</v>
      </c>
      <c r="E34" s="6" t="s">
        <v>26</v>
      </c>
      <c r="F34" s="6" t="s">
        <v>19</v>
      </c>
      <c r="G34" s="6" t="s">
        <v>20</v>
      </c>
      <c r="H34" s="2">
        <v>1</v>
      </c>
      <c r="I34" s="2">
        <v>678.92</v>
      </c>
      <c r="J34" s="2">
        <v>0.08</v>
      </c>
      <c r="K34" s="2">
        <v>624.61</v>
      </c>
      <c r="L34" s="2">
        <v>388.66</v>
      </c>
      <c r="M34" s="2">
        <v>235.95</v>
      </c>
      <c r="N34" s="6" t="s">
        <v>29</v>
      </c>
      <c r="O34" s="6" t="s">
        <v>30</v>
      </c>
    </row>
    <row r="35" spans="1:15" x14ac:dyDescent="0.3">
      <c r="A35" s="2" t="s">
        <v>101</v>
      </c>
      <c r="B35" s="5">
        <v>45872</v>
      </c>
      <c r="C35" s="6" t="s">
        <v>63</v>
      </c>
      <c r="D35" s="6" t="s">
        <v>88</v>
      </c>
      <c r="E35" s="6" t="s">
        <v>74</v>
      </c>
      <c r="F35" s="6" t="s">
        <v>19</v>
      </c>
      <c r="G35" s="6" t="s">
        <v>102</v>
      </c>
      <c r="H35" s="2">
        <v>3</v>
      </c>
      <c r="I35" s="2">
        <v>243.52</v>
      </c>
      <c r="J35" s="2">
        <v>0.05</v>
      </c>
      <c r="K35" s="2">
        <v>694.03</v>
      </c>
      <c r="L35" s="2">
        <v>445.95</v>
      </c>
      <c r="M35" s="2">
        <v>248.08</v>
      </c>
      <c r="N35" s="6" t="s">
        <v>29</v>
      </c>
      <c r="O35" s="6" t="s">
        <v>22</v>
      </c>
    </row>
    <row r="36" spans="1:15" x14ac:dyDescent="0.3">
      <c r="A36" s="2" t="s">
        <v>1201</v>
      </c>
      <c r="B36" s="5">
        <v>46000</v>
      </c>
      <c r="C36" s="6" t="s">
        <v>63</v>
      </c>
      <c r="D36" s="6" t="s">
        <v>88</v>
      </c>
      <c r="E36" s="6" t="s">
        <v>74</v>
      </c>
      <c r="F36" s="6" t="s">
        <v>19</v>
      </c>
      <c r="G36" s="6" t="s">
        <v>102</v>
      </c>
      <c r="H36" s="2">
        <v>7</v>
      </c>
      <c r="I36" s="2">
        <v>266.68</v>
      </c>
      <c r="J36" s="2">
        <v>0.15</v>
      </c>
      <c r="K36" s="2">
        <v>1586.76</v>
      </c>
      <c r="L36" s="2">
        <v>1281.03</v>
      </c>
      <c r="M36" s="2">
        <v>305.73</v>
      </c>
      <c r="N36" s="6" t="s">
        <v>58</v>
      </c>
      <c r="O36" s="6" t="s">
        <v>59</v>
      </c>
    </row>
    <row r="37" spans="1:15" x14ac:dyDescent="0.3">
      <c r="A37" s="2" t="s">
        <v>284</v>
      </c>
      <c r="B37" s="5">
        <v>45866</v>
      </c>
      <c r="C37" s="6" t="s">
        <v>37</v>
      </c>
      <c r="D37" s="6" t="s">
        <v>68</v>
      </c>
      <c r="E37" s="6" t="s">
        <v>26</v>
      </c>
      <c r="F37" s="6" t="s">
        <v>19</v>
      </c>
      <c r="G37" s="6" t="s">
        <v>102</v>
      </c>
      <c r="H37" s="2">
        <v>4</v>
      </c>
      <c r="I37" s="2">
        <v>230.21</v>
      </c>
      <c r="J37" s="2">
        <v>0.08</v>
      </c>
      <c r="K37" s="2">
        <v>847.17</v>
      </c>
      <c r="L37" s="2">
        <v>532.41999999999996</v>
      </c>
      <c r="M37" s="2">
        <v>314.75</v>
      </c>
      <c r="N37" s="6" t="s">
        <v>21</v>
      </c>
      <c r="O37" s="6" t="s">
        <v>30</v>
      </c>
    </row>
    <row r="38" spans="1:15" x14ac:dyDescent="0.3">
      <c r="A38" s="2" t="s">
        <v>719</v>
      </c>
      <c r="B38" s="5">
        <v>45715</v>
      </c>
      <c r="C38" s="6" t="s">
        <v>37</v>
      </c>
      <c r="D38" s="6" t="s">
        <v>25</v>
      </c>
      <c r="E38" s="6" t="s">
        <v>56</v>
      </c>
      <c r="F38" s="6" t="s">
        <v>19</v>
      </c>
      <c r="G38" s="6" t="s">
        <v>102</v>
      </c>
      <c r="H38" s="2">
        <v>7</v>
      </c>
      <c r="I38" s="2">
        <v>267.14999999999998</v>
      </c>
      <c r="J38" s="2">
        <v>0.05</v>
      </c>
      <c r="K38" s="2">
        <v>1776.55</v>
      </c>
      <c r="L38" s="2">
        <v>1460.87</v>
      </c>
      <c r="M38" s="2">
        <v>315.68</v>
      </c>
      <c r="N38" s="6" t="s">
        <v>21</v>
      </c>
      <c r="O38" s="6" t="s">
        <v>59</v>
      </c>
    </row>
    <row r="39" spans="1:15" x14ac:dyDescent="0.3">
      <c r="A39" s="2" t="s">
        <v>1120</v>
      </c>
      <c r="B39" s="5">
        <v>45806</v>
      </c>
      <c r="C39" s="6" t="s">
        <v>37</v>
      </c>
      <c r="D39" s="6" t="s">
        <v>25</v>
      </c>
      <c r="E39" s="6" t="s">
        <v>33</v>
      </c>
      <c r="F39" s="6" t="s">
        <v>19</v>
      </c>
      <c r="G39" s="6" t="s">
        <v>20</v>
      </c>
      <c r="H39" s="2">
        <v>2</v>
      </c>
      <c r="I39" s="2">
        <v>737.27</v>
      </c>
      <c r="J39" s="2">
        <v>0</v>
      </c>
      <c r="K39" s="2">
        <v>1474.54</v>
      </c>
      <c r="L39" s="2">
        <v>1158.6500000000001</v>
      </c>
      <c r="M39" s="2">
        <v>315.89</v>
      </c>
      <c r="N39" s="6" t="s">
        <v>29</v>
      </c>
      <c r="O39" s="6" t="s">
        <v>22</v>
      </c>
    </row>
    <row r="40" spans="1:15" x14ac:dyDescent="0.3">
      <c r="A40" s="2" t="s">
        <v>220</v>
      </c>
      <c r="B40" s="5">
        <v>45865</v>
      </c>
      <c r="C40" s="6" t="s">
        <v>54</v>
      </c>
      <c r="D40" s="6" t="s">
        <v>55</v>
      </c>
      <c r="E40" s="6" t="s">
        <v>33</v>
      </c>
      <c r="F40" s="6" t="s">
        <v>19</v>
      </c>
      <c r="G40" s="6" t="s">
        <v>102</v>
      </c>
      <c r="H40" s="2">
        <v>6</v>
      </c>
      <c r="I40" s="2">
        <v>254.49</v>
      </c>
      <c r="J40" s="2">
        <v>0.05</v>
      </c>
      <c r="K40" s="2">
        <v>1450.59</v>
      </c>
      <c r="L40" s="2">
        <v>1129.42</v>
      </c>
      <c r="M40" s="2">
        <v>321.17</v>
      </c>
      <c r="N40" s="6" t="s">
        <v>29</v>
      </c>
      <c r="O40" s="6" t="s">
        <v>59</v>
      </c>
    </row>
    <row r="41" spans="1:15" x14ac:dyDescent="0.3">
      <c r="A41" s="2" t="s">
        <v>267</v>
      </c>
      <c r="B41" s="5">
        <v>45670</v>
      </c>
      <c r="C41" s="6" t="s">
        <v>37</v>
      </c>
      <c r="D41" s="6" t="s">
        <v>68</v>
      </c>
      <c r="E41" s="6" t="s">
        <v>74</v>
      </c>
      <c r="F41" s="6" t="s">
        <v>19</v>
      </c>
      <c r="G41" s="6" t="s">
        <v>20</v>
      </c>
      <c r="H41" s="2">
        <v>2</v>
      </c>
      <c r="I41" s="2">
        <v>720.27</v>
      </c>
      <c r="J41" s="2">
        <v>0.03</v>
      </c>
      <c r="K41" s="2">
        <v>1397.32</v>
      </c>
      <c r="L41" s="2">
        <v>1073.9100000000001</v>
      </c>
      <c r="M41" s="2">
        <v>323.41000000000003</v>
      </c>
      <c r="N41" s="6" t="s">
        <v>21</v>
      </c>
      <c r="O41" s="6" t="s">
        <v>59</v>
      </c>
    </row>
    <row r="42" spans="1:15" x14ac:dyDescent="0.3">
      <c r="A42" s="2" t="s">
        <v>1226</v>
      </c>
      <c r="B42" s="5">
        <v>45880</v>
      </c>
      <c r="C42" s="6" t="s">
        <v>16</v>
      </c>
      <c r="D42" s="6" t="s">
        <v>32</v>
      </c>
      <c r="E42" s="6" t="s">
        <v>69</v>
      </c>
      <c r="F42" s="6" t="s">
        <v>19</v>
      </c>
      <c r="G42" s="6" t="s">
        <v>102</v>
      </c>
      <c r="H42" s="2">
        <v>4</v>
      </c>
      <c r="I42" s="2">
        <v>245.13</v>
      </c>
      <c r="J42" s="2">
        <v>0.08</v>
      </c>
      <c r="K42" s="2">
        <v>902.07</v>
      </c>
      <c r="L42" s="2">
        <v>563.62</v>
      </c>
      <c r="M42" s="2">
        <v>338.45</v>
      </c>
      <c r="N42" s="6" t="s">
        <v>58</v>
      </c>
      <c r="O42" s="6" t="s">
        <v>40</v>
      </c>
    </row>
    <row r="43" spans="1:15" x14ac:dyDescent="0.3">
      <c r="A43" s="2" t="s">
        <v>238</v>
      </c>
      <c r="B43" s="5">
        <v>45759</v>
      </c>
      <c r="C43" s="6" t="s">
        <v>16</v>
      </c>
      <c r="D43" s="6" t="s">
        <v>32</v>
      </c>
      <c r="E43" s="6" t="s">
        <v>18</v>
      </c>
      <c r="F43" s="6" t="s">
        <v>19</v>
      </c>
      <c r="G43" s="6" t="s">
        <v>102</v>
      </c>
      <c r="H43" s="2">
        <v>5</v>
      </c>
      <c r="I43" s="2">
        <v>247.95</v>
      </c>
      <c r="J43" s="2">
        <v>0.03</v>
      </c>
      <c r="K43" s="2">
        <v>1202.55</v>
      </c>
      <c r="L43" s="2">
        <v>853.31</v>
      </c>
      <c r="M43" s="2">
        <v>349.24</v>
      </c>
      <c r="N43" s="6" t="s">
        <v>21</v>
      </c>
      <c r="O43" s="6" t="s">
        <v>22</v>
      </c>
    </row>
    <row r="44" spans="1:15" x14ac:dyDescent="0.3">
      <c r="A44" s="2" t="s">
        <v>346</v>
      </c>
      <c r="B44" s="5">
        <v>45721</v>
      </c>
      <c r="C44" s="6" t="s">
        <v>54</v>
      </c>
      <c r="D44" s="6" t="s">
        <v>174</v>
      </c>
      <c r="E44" s="6" t="s">
        <v>65</v>
      </c>
      <c r="F44" s="6" t="s">
        <v>19</v>
      </c>
      <c r="G44" s="6" t="s">
        <v>102</v>
      </c>
      <c r="H44" s="2">
        <v>5</v>
      </c>
      <c r="I44" s="2">
        <v>249.02</v>
      </c>
      <c r="J44" s="2">
        <v>0.05</v>
      </c>
      <c r="K44" s="2">
        <v>1182.8499999999999</v>
      </c>
      <c r="L44" s="2">
        <v>798.02</v>
      </c>
      <c r="M44" s="2">
        <v>384.83</v>
      </c>
      <c r="N44" s="6" t="s">
        <v>29</v>
      </c>
      <c r="O44" s="6" t="s">
        <v>59</v>
      </c>
    </row>
    <row r="45" spans="1:15" x14ac:dyDescent="0.3">
      <c r="A45" s="2" t="s">
        <v>682</v>
      </c>
      <c r="B45" s="5">
        <v>45925</v>
      </c>
      <c r="C45" s="6" t="s">
        <v>16</v>
      </c>
      <c r="D45" s="6" t="s">
        <v>52</v>
      </c>
      <c r="E45" s="6" t="s">
        <v>49</v>
      </c>
      <c r="F45" s="6" t="s">
        <v>19</v>
      </c>
      <c r="G45" s="6" t="s">
        <v>102</v>
      </c>
      <c r="H45" s="2">
        <v>7</v>
      </c>
      <c r="I45" s="2">
        <v>269.49</v>
      </c>
      <c r="J45" s="2">
        <v>0.03</v>
      </c>
      <c r="K45" s="2">
        <v>1829.87</v>
      </c>
      <c r="L45" s="2">
        <v>1425.39</v>
      </c>
      <c r="M45" s="2">
        <v>404.48</v>
      </c>
      <c r="N45" s="6" t="s">
        <v>29</v>
      </c>
      <c r="O45" s="6" t="s">
        <v>59</v>
      </c>
    </row>
    <row r="46" spans="1:15" x14ac:dyDescent="0.3">
      <c r="A46" s="2" t="s">
        <v>1067</v>
      </c>
      <c r="B46" s="5">
        <v>45925</v>
      </c>
      <c r="C46" s="6" t="s">
        <v>37</v>
      </c>
      <c r="D46" s="6" t="s">
        <v>25</v>
      </c>
      <c r="E46" s="6" t="s">
        <v>56</v>
      </c>
      <c r="F46" s="6" t="s">
        <v>19</v>
      </c>
      <c r="G46" s="6" t="s">
        <v>20</v>
      </c>
      <c r="H46" s="2">
        <v>3</v>
      </c>
      <c r="I46" s="2">
        <v>701.92</v>
      </c>
      <c r="J46" s="2">
        <v>0.05</v>
      </c>
      <c r="K46" s="2">
        <v>2000.47</v>
      </c>
      <c r="L46" s="2">
        <v>1595.95</v>
      </c>
      <c r="M46" s="2">
        <v>404.52</v>
      </c>
      <c r="N46" s="6" t="s">
        <v>58</v>
      </c>
      <c r="O46" s="6" t="s">
        <v>30</v>
      </c>
    </row>
    <row r="47" spans="1:15" x14ac:dyDescent="0.3">
      <c r="A47" s="2" t="s">
        <v>734</v>
      </c>
      <c r="B47" s="5">
        <v>46013</v>
      </c>
      <c r="C47" s="6" t="s">
        <v>16</v>
      </c>
      <c r="D47" s="6" t="s">
        <v>32</v>
      </c>
      <c r="E47" s="6" t="s">
        <v>65</v>
      </c>
      <c r="F47" s="6" t="s">
        <v>19</v>
      </c>
      <c r="G47" s="6" t="s">
        <v>20</v>
      </c>
      <c r="H47" s="2">
        <v>3</v>
      </c>
      <c r="I47" s="2">
        <v>750.08</v>
      </c>
      <c r="J47" s="2">
        <v>0.05</v>
      </c>
      <c r="K47" s="2">
        <v>2137.73</v>
      </c>
      <c r="L47" s="2">
        <v>1721.39</v>
      </c>
      <c r="M47" s="2">
        <v>416.34</v>
      </c>
      <c r="N47" s="6" t="s">
        <v>21</v>
      </c>
      <c r="O47" s="6" t="s">
        <v>30</v>
      </c>
    </row>
    <row r="48" spans="1:15" x14ac:dyDescent="0.3">
      <c r="A48" s="2" t="s">
        <v>382</v>
      </c>
      <c r="B48" s="5">
        <v>45989</v>
      </c>
      <c r="C48" s="6" t="s">
        <v>63</v>
      </c>
      <c r="D48" s="6" t="s">
        <v>95</v>
      </c>
      <c r="E48" s="6" t="s">
        <v>26</v>
      </c>
      <c r="F48" s="6" t="s">
        <v>19</v>
      </c>
      <c r="G48" s="6" t="s">
        <v>102</v>
      </c>
      <c r="H48" s="2">
        <v>8</v>
      </c>
      <c r="I48" s="2">
        <v>246.27</v>
      </c>
      <c r="J48" s="2">
        <v>0.15</v>
      </c>
      <c r="K48" s="2">
        <v>1674.62</v>
      </c>
      <c r="L48" s="2">
        <v>1248.28</v>
      </c>
      <c r="M48" s="2">
        <v>426.34</v>
      </c>
      <c r="N48" s="6" t="s">
        <v>21</v>
      </c>
      <c r="O48" s="6" t="s">
        <v>30</v>
      </c>
    </row>
    <row r="49" spans="1:15" x14ac:dyDescent="0.3">
      <c r="A49" s="2" t="s">
        <v>753</v>
      </c>
      <c r="B49" s="5">
        <v>45758</v>
      </c>
      <c r="C49" s="6" t="s">
        <v>54</v>
      </c>
      <c r="D49" s="6" t="s">
        <v>174</v>
      </c>
      <c r="E49" s="6" t="s">
        <v>56</v>
      </c>
      <c r="F49" s="6" t="s">
        <v>19</v>
      </c>
      <c r="G49" s="6" t="s">
        <v>102</v>
      </c>
      <c r="H49" s="2">
        <v>6</v>
      </c>
      <c r="I49" s="2">
        <v>242</v>
      </c>
      <c r="J49" s="2">
        <v>0.03</v>
      </c>
      <c r="K49" s="2">
        <v>1408.46</v>
      </c>
      <c r="L49" s="2">
        <v>969.47</v>
      </c>
      <c r="M49" s="2">
        <v>438.99</v>
      </c>
      <c r="N49" s="6" t="s">
        <v>21</v>
      </c>
      <c r="O49" s="6" t="s">
        <v>45</v>
      </c>
    </row>
    <row r="50" spans="1:15" x14ac:dyDescent="0.3">
      <c r="A50" s="2" t="s">
        <v>252</v>
      </c>
      <c r="B50" s="5">
        <v>45829</v>
      </c>
      <c r="C50" s="6" t="s">
        <v>37</v>
      </c>
      <c r="D50" s="6" t="s">
        <v>42</v>
      </c>
      <c r="E50" s="6" t="s">
        <v>33</v>
      </c>
      <c r="F50" s="6" t="s">
        <v>19</v>
      </c>
      <c r="G50" s="6" t="s">
        <v>102</v>
      </c>
      <c r="H50" s="2">
        <v>5</v>
      </c>
      <c r="I50" s="2">
        <v>248.27</v>
      </c>
      <c r="J50" s="2">
        <v>0.03</v>
      </c>
      <c r="K50" s="2">
        <v>1204.1300000000001</v>
      </c>
      <c r="L50" s="2">
        <v>761.69</v>
      </c>
      <c r="M50" s="2">
        <v>442.44</v>
      </c>
      <c r="N50" s="6" t="s">
        <v>29</v>
      </c>
      <c r="O50" s="6" t="s">
        <v>30</v>
      </c>
    </row>
    <row r="51" spans="1:15" x14ac:dyDescent="0.3">
      <c r="A51" s="2" t="s">
        <v>699</v>
      </c>
      <c r="B51" s="5">
        <v>45959</v>
      </c>
      <c r="C51" s="6" t="s">
        <v>63</v>
      </c>
      <c r="D51" s="6" t="s">
        <v>88</v>
      </c>
      <c r="E51" s="6" t="s">
        <v>26</v>
      </c>
      <c r="F51" s="6" t="s">
        <v>19</v>
      </c>
      <c r="G51" s="6" t="s">
        <v>20</v>
      </c>
      <c r="H51" s="2">
        <v>2</v>
      </c>
      <c r="I51" s="2">
        <v>667.06</v>
      </c>
      <c r="J51" s="2">
        <v>0.05</v>
      </c>
      <c r="K51" s="2">
        <v>1267.4100000000001</v>
      </c>
      <c r="L51" s="2">
        <v>824.15</v>
      </c>
      <c r="M51" s="2">
        <v>443.26</v>
      </c>
      <c r="N51" s="6" t="s">
        <v>21</v>
      </c>
      <c r="O51" s="6" t="s">
        <v>30</v>
      </c>
    </row>
    <row r="52" spans="1:15" x14ac:dyDescent="0.3">
      <c r="A52" s="2" t="s">
        <v>524</v>
      </c>
      <c r="B52" s="5">
        <v>45962</v>
      </c>
      <c r="C52" s="6" t="s">
        <v>37</v>
      </c>
      <c r="D52" s="6" t="s">
        <v>42</v>
      </c>
      <c r="E52" s="6" t="s">
        <v>33</v>
      </c>
      <c r="F52" s="6" t="s">
        <v>19</v>
      </c>
      <c r="G52" s="6" t="s">
        <v>20</v>
      </c>
      <c r="H52" s="2">
        <v>3</v>
      </c>
      <c r="I52" s="2">
        <v>680.32</v>
      </c>
      <c r="J52" s="2">
        <v>0.08</v>
      </c>
      <c r="K52" s="2">
        <v>1877.7</v>
      </c>
      <c r="L52" s="2">
        <v>1431.97</v>
      </c>
      <c r="M52" s="2">
        <v>445.73</v>
      </c>
      <c r="N52" s="6" t="s">
        <v>29</v>
      </c>
      <c r="O52" s="6" t="s">
        <v>40</v>
      </c>
    </row>
    <row r="53" spans="1:15" x14ac:dyDescent="0.3">
      <c r="A53" s="2" t="s">
        <v>518</v>
      </c>
      <c r="B53" s="5">
        <v>45707</v>
      </c>
      <c r="C53" s="6" t="s">
        <v>37</v>
      </c>
      <c r="D53" s="6" t="s">
        <v>38</v>
      </c>
      <c r="E53" s="6" t="s">
        <v>69</v>
      </c>
      <c r="F53" s="6" t="s">
        <v>19</v>
      </c>
      <c r="G53" s="6" t="s">
        <v>102</v>
      </c>
      <c r="H53" s="2">
        <v>7</v>
      </c>
      <c r="I53" s="2">
        <v>261.62</v>
      </c>
      <c r="J53" s="2">
        <v>0</v>
      </c>
      <c r="K53" s="2">
        <v>1831.35</v>
      </c>
      <c r="L53" s="2">
        <v>1375.23</v>
      </c>
      <c r="M53" s="2">
        <v>456.12</v>
      </c>
      <c r="N53" s="6" t="s">
        <v>21</v>
      </c>
      <c r="O53" s="6" t="s">
        <v>40</v>
      </c>
    </row>
    <row r="54" spans="1:15" x14ac:dyDescent="0.3">
      <c r="A54" s="2" t="s">
        <v>489</v>
      </c>
      <c r="B54" s="5">
        <v>45723</v>
      </c>
      <c r="C54" s="6" t="s">
        <v>54</v>
      </c>
      <c r="D54" s="6" t="s">
        <v>48</v>
      </c>
      <c r="E54" s="6" t="s">
        <v>49</v>
      </c>
      <c r="F54" s="6" t="s">
        <v>19</v>
      </c>
      <c r="G54" s="6" t="s">
        <v>102</v>
      </c>
      <c r="H54" s="2">
        <v>7</v>
      </c>
      <c r="I54" s="2">
        <v>241.95</v>
      </c>
      <c r="J54" s="2">
        <v>0</v>
      </c>
      <c r="K54" s="2">
        <v>1693.68</v>
      </c>
      <c r="L54" s="2">
        <v>1228.96</v>
      </c>
      <c r="M54" s="2">
        <v>464.72</v>
      </c>
      <c r="N54" s="6" t="s">
        <v>21</v>
      </c>
      <c r="O54" s="6" t="s">
        <v>59</v>
      </c>
    </row>
    <row r="55" spans="1:15" x14ac:dyDescent="0.3">
      <c r="A55" s="2" t="s">
        <v>854</v>
      </c>
      <c r="B55" s="5">
        <v>45760</v>
      </c>
      <c r="C55" s="6" t="s">
        <v>54</v>
      </c>
      <c r="D55" s="6" t="s">
        <v>124</v>
      </c>
      <c r="E55" s="6" t="s">
        <v>33</v>
      </c>
      <c r="F55" s="6" t="s">
        <v>19</v>
      </c>
      <c r="G55" s="6" t="s">
        <v>102</v>
      </c>
      <c r="H55" s="2">
        <v>8</v>
      </c>
      <c r="I55" s="2">
        <v>266.85000000000002</v>
      </c>
      <c r="J55" s="2">
        <v>0.1</v>
      </c>
      <c r="K55" s="2">
        <v>1921.29</v>
      </c>
      <c r="L55" s="2">
        <v>1454.54</v>
      </c>
      <c r="M55" s="2">
        <v>466.75</v>
      </c>
      <c r="N55" s="6" t="s">
        <v>21</v>
      </c>
      <c r="O55" s="6" t="s">
        <v>40</v>
      </c>
    </row>
    <row r="56" spans="1:15" x14ac:dyDescent="0.3">
      <c r="A56" s="2" t="s">
        <v>507</v>
      </c>
      <c r="B56" s="5">
        <v>45871</v>
      </c>
      <c r="C56" s="6" t="s">
        <v>63</v>
      </c>
      <c r="D56" s="6" t="s">
        <v>117</v>
      </c>
      <c r="E56" s="6" t="s">
        <v>69</v>
      </c>
      <c r="F56" s="6" t="s">
        <v>19</v>
      </c>
      <c r="G56" s="6" t="s">
        <v>102</v>
      </c>
      <c r="H56" s="2">
        <v>7</v>
      </c>
      <c r="I56" s="2">
        <v>245.81</v>
      </c>
      <c r="J56" s="2">
        <v>0.08</v>
      </c>
      <c r="K56" s="2">
        <v>1582.99</v>
      </c>
      <c r="L56" s="2">
        <v>1112.83</v>
      </c>
      <c r="M56" s="2">
        <v>470.16</v>
      </c>
      <c r="N56" s="6" t="s">
        <v>58</v>
      </c>
      <c r="O56" s="6" t="s">
        <v>22</v>
      </c>
    </row>
    <row r="57" spans="1:15" x14ac:dyDescent="0.3">
      <c r="A57" s="2" t="s">
        <v>819</v>
      </c>
      <c r="B57" s="5">
        <v>45928</v>
      </c>
      <c r="C57" s="6" t="s">
        <v>63</v>
      </c>
      <c r="D57" s="6" t="s">
        <v>95</v>
      </c>
      <c r="E57" s="6" t="s">
        <v>49</v>
      </c>
      <c r="F57" s="6" t="s">
        <v>19</v>
      </c>
      <c r="G57" s="6" t="s">
        <v>20</v>
      </c>
      <c r="H57" s="2">
        <v>2</v>
      </c>
      <c r="I57" s="2">
        <v>755.39</v>
      </c>
      <c r="J57" s="2">
        <v>0.08</v>
      </c>
      <c r="K57" s="2">
        <v>1389.92</v>
      </c>
      <c r="L57" s="2">
        <v>886.46</v>
      </c>
      <c r="M57" s="2">
        <v>503.46</v>
      </c>
      <c r="N57" s="6" t="s">
        <v>58</v>
      </c>
      <c r="O57" s="6" t="s">
        <v>45</v>
      </c>
    </row>
    <row r="58" spans="1:15" x14ac:dyDescent="0.3">
      <c r="A58" s="2" t="s">
        <v>325</v>
      </c>
      <c r="B58" s="5">
        <v>45724</v>
      </c>
      <c r="C58" s="6" t="s">
        <v>63</v>
      </c>
      <c r="D58" s="6" t="s">
        <v>88</v>
      </c>
      <c r="E58" s="6" t="s">
        <v>56</v>
      </c>
      <c r="F58" s="6" t="s">
        <v>19</v>
      </c>
      <c r="G58" s="6" t="s">
        <v>102</v>
      </c>
      <c r="H58" s="2">
        <v>7</v>
      </c>
      <c r="I58" s="2">
        <v>250.49</v>
      </c>
      <c r="J58" s="2">
        <v>0</v>
      </c>
      <c r="K58" s="2">
        <v>1753.46</v>
      </c>
      <c r="L58" s="2">
        <v>1248.96</v>
      </c>
      <c r="M58" s="2">
        <v>504.5</v>
      </c>
      <c r="N58" s="6" t="s">
        <v>29</v>
      </c>
      <c r="O58" s="6" t="s">
        <v>59</v>
      </c>
    </row>
    <row r="59" spans="1:15" x14ac:dyDescent="0.3">
      <c r="A59" s="2" t="s">
        <v>118</v>
      </c>
      <c r="B59" s="5">
        <v>46018</v>
      </c>
      <c r="C59" s="6" t="s">
        <v>16</v>
      </c>
      <c r="D59" s="6" t="s">
        <v>52</v>
      </c>
      <c r="E59" s="6" t="s">
        <v>56</v>
      </c>
      <c r="F59" s="6" t="s">
        <v>19</v>
      </c>
      <c r="G59" s="6" t="s">
        <v>20</v>
      </c>
      <c r="H59" s="2">
        <v>4</v>
      </c>
      <c r="I59" s="2">
        <v>692.05</v>
      </c>
      <c r="J59" s="2">
        <v>0.08</v>
      </c>
      <c r="K59" s="2">
        <v>2546.73</v>
      </c>
      <c r="L59" s="2">
        <v>2040.16</v>
      </c>
      <c r="M59" s="2">
        <v>506.57</v>
      </c>
      <c r="N59" s="6" t="s">
        <v>21</v>
      </c>
      <c r="O59" s="6" t="s">
        <v>30</v>
      </c>
    </row>
    <row r="60" spans="1:15" x14ac:dyDescent="0.3">
      <c r="A60" s="2" t="s">
        <v>415</v>
      </c>
      <c r="B60" s="5">
        <v>45941</v>
      </c>
      <c r="C60" s="6" t="s">
        <v>37</v>
      </c>
      <c r="D60" s="6" t="s">
        <v>38</v>
      </c>
      <c r="E60" s="6" t="s">
        <v>69</v>
      </c>
      <c r="F60" s="6" t="s">
        <v>19</v>
      </c>
      <c r="G60" s="6" t="s">
        <v>20</v>
      </c>
      <c r="H60" s="2">
        <v>3</v>
      </c>
      <c r="I60" s="2">
        <v>730.5</v>
      </c>
      <c r="J60" s="2">
        <v>0.08</v>
      </c>
      <c r="K60" s="2">
        <v>2016.17</v>
      </c>
      <c r="L60" s="2">
        <v>1430.78</v>
      </c>
      <c r="M60" s="2">
        <v>585.39</v>
      </c>
      <c r="N60" s="6" t="s">
        <v>29</v>
      </c>
      <c r="O60" s="6" t="s">
        <v>45</v>
      </c>
    </row>
    <row r="61" spans="1:15" x14ac:dyDescent="0.3">
      <c r="A61" s="2" t="s">
        <v>1304</v>
      </c>
      <c r="B61" s="5">
        <v>45862</v>
      </c>
      <c r="C61" s="6" t="s">
        <v>16</v>
      </c>
      <c r="D61" s="6" t="s">
        <v>32</v>
      </c>
      <c r="E61" s="6" t="s">
        <v>49</v>
      </c>
      <c r="F61" s="6" t="s">
        <v>19</v>
      </c>
      <c r="G61" s="6" t="s">
        <v>20</v>
      </c>
      <c r="H61" s="2">
        <v>5</v>
      </c>
      <c r="I61" s="2">
        <v>697.21</v>
      </c>
      <c r="J61" s="2">
        <v>0.03</v>
      </c>
      <c r="K61" s="2">
        <v>3381.47</v>
      </c>
      <c r="L61" s="2">
        <v>2788.88</v>
      </c>
      <c r="M61" s="2">
        <v>592.59</v>
      </c>
      <c r="N61" s="6" t="s">
        <v>21</v>
      </c>
      <c r="O61" s="6" t="s">
        <v>30</v>
      </c>
    </row>
    <row r="62" spans="1:15" x14ac:dyDescent="0.3">
      <c r="A62" s="2" t="s">
        <v>520</v>
      </c>
      <c r="B62" s="5">
        <v>45844</v>
      </c>
      <c r="C62" s="6" t="s">
        <v>37</v>
      </c>
      <c r="D62" s="6" t="s">
        <v>38</v>
      </c>
      <c r="E62" s="6" t="s">
        <v>26</v>
      </c>
      <c r="F62" s="6" t="s">
        <v>19</v>
      </c>
      <c r="G62" s="6" t="s">
        <v>20</v>
      </c>
      <c r="H62" s="2">
        <v>5</v>
      </c>
      <c r="I62" s="2">
        <v>715.45</v>
      </c>
      <c r="J62" s="2">
        <v>0.15</v>
      </c>
      <c r="K62" s="2">
        <v>3040.64</v>
      </c>
      <c r="L62" s="2">
        <v>2445.65</v>
      </c>
      <c r="M62" s="2">
        <v>594.99</v>
      </c>
      <c r="N62" s="6" t="s">
        <v>21</v>
      </c>
      <c r="O62" s="6" t="s">
        <v>59</v>
      </c>
    </row>
    <row r="63" spans="1:15" x14ac:dyDescent="0.3">
      <c r="A63" s="2" t="s">
        <v>1066</v>
      </c>
      <c r="B63" s="5">
        <v>45798</v>
      </c>
      <c r="C63" s="6" t="s">
        <v>54</v>
      </c>
      <c r="D63" s="6" t="s">
        <v>124</v>
      </c>
      <c r="E63" s="6" t="s">
        <v>26</v>
      </c>
      <c r="F63" s="6" t="s">
        <v>19</v>
      </c>
      <c r="G63" s="6" t="s">
        <v>102</v>
      </c>
      <c r="H63" s="2">
        <v>8</v>
      </c>
      <c r="I63" s="2">
        <v>250.18</v>
      </c>
      <c r="J63" s="2">
        <v>0.05</v>
      </c>
      <c r="K63" s="2">
        <v>1901.33</v>
      </c>
      <c r="L63" s="2">
        <v>1294.46</v>
      </c>
      <c r="M63" s="2">
        <v>606.87</v>
      </c>
      <c r="N63" s="6" t="s">
        <v>58</v>
      </c>
      <c r="O63" s="6" t="s">
        <v>22</v>
      </c>
    </row>
    <row r="64" spans="1:15" x14ac:dyDescent="0.3">
      <c r="A64" s="2" t="s">
        <v>698</v>
      </c>
      <c r="B64" s="5">
        <v>45747</v>
      </c>
      <c r="C64" s="6" t="s">
        <v>54</v>
      </c>
      <c r="D64" s="6" t="s">
        <v>55</v>
      </c>
      <c r="E64" s="6" t="s">
        <v>74</v>
      </c>
      <c r="F64" s="6" t="s">
        <v>34</v>
      </c>
      <c r="G64" s="6" t="s">
        <v>80</v>
      </c>
      <c r="H64" s="2">
        <v>1</v>
      </c>
      <c r="I64" s="2">
        <v>4529.78</v>
      </c>
      <c r="J64" s="2">
        <v>0.03</v>
      </c>
      <c r="K64" s="2">
        <v>4393.8900000000003</v>
      </c>
      <c r="L64" s="2">
        <v>3773.24</v>
      </c>
      <c r="M64" s="2">
        <v>620.65</v>
      </c>
      <c r="N64" s="6" t="s">
        <v>29</v>
      </c>
      <c r="O64" s="6" t="s">
        <v>30</v>
      </c>
    </row>
    <row r="65" spans="1:15" x14ac:dyDescent="0.3">
      <c r="A65" s="2" t="s">
        <v>262</v>
      </c>
      <c r="B65" s="5">
        <v>45662</v>
      </c>
      <c r="C65" s="6" t="s">
        <v>16</v>
      </c>
      <c r="D65" s="6" t="s">
        <v>82</v>
      </c>
      <c r="E65" s="6" t="s">
        <v>18</v>
      </c>
      <c r="F65" s="6" t="s">
        <v>19</v>
      </c>
      <c r="G65" s="6" t="s">
        <v>20</v>
      </c>
      <c r="H65" s="2">
        <v>3</v>
      </c>
      <c r="I65" s="2">
        <v>713.39</v>
      </c>
      <c r="J65" s="2">
        <v>0.08</v>
      </c>
      <c r="K65" s="2">
        <v>1968.97</v>
      </c>
      <c r="L65" s="2">
        <v>1292.5999999999999</v>
      </c>
      <c r="M65" s="2">
        <v>676.37</v>
      </c>
      <c r="N65" s="6" t="s">
        <v>58</v>
      </c>
      <c r="O65" s="6" t="s">
        <v>59</v>
      </c>
    </row>
    <row r="66" spans="1:15" x14ac:dyDescent="0.3">
      <c r="A66" s="2" t="s">
        <v>1185</v>
      </c>
      <c r="B66" s="5">
        <v>45920</v>
      </c>
      <c r="C66" s="6" t="s">
        <v>54</v>
      </c>
      <c r="D66" s="6" t="s">
        <v>55</v>
      </c>
      <c r="E66" s="6" t="s">
        <v>69</v>
      </c>
      <c r="F66" s="6" t="s">
        <v>19</v>
      </c>
      <c r="G66" s="6" t="s">
        <v>20</v>
      </c>
      <c r="H66" s="2">
        <v>5</v>
      </c>
      <c r="I66" s="2">
        <v>700.59</v>
      </c>
      <c r="J66" s="2">
        <v>0.1</v>
      </c>
      <c r="K66" s="2">
        <v>3152.63</v>
      </c>
      <c r="L66" s="2">
        <v>2469.84</v>
      </c>
      <c r="M66" s="2">
        <v>682.79</v>
      </c>
      <c r="N66" s="6" t="s">
        <v>29</v>
      </c>
      <c r="O66" s="6" t="s">
        <v>45</v>
      </c>
    </row>
    <row r="67" spans="1:15" x14ac:dyDescent="0.3">
      <c r="A67" s="2" t="s">
        <v>739</v>
      </c>
      <c r="B67" s="5">
        <v>45726</v>
      </c>
      <c r="C67" s="6" t="s">
        <v>63</v>
      </c>
      <c r="D67" s="6" t="s">
        <v>117</v>
      </c>
      <c r="E67" s="6" t="s">
        <v>65</v>
      </c>
      <c r="F67" s="6" t="s">
        <v>43</v>
      </c>
      <c r="G67" s="6" t="s">
        <v>121</v>
      </c>
      <c r="H67" s="2">
        <v>1</v>
      </c>
      <c r="I67" s="2">
        <v>5242.95</v>
      </c>
      <c r="J67" s="2">
        <v>0.1</v>
      </c>
      <c r="K67" s="2">
        <v>4718.66</v>
      </c>
      <c r="L67" s="2">
        <v>4034.21</v>
      </c>
      <c r="M67" s="2">
        <v>684.45</v>
      </c>
      <c r="N67" s="6" t="s">
        <v>29</v>
      </c>
      <c r="O67" s="6" t="s">
        <v>30</v>
      </c>
    </row>
    <row r="68" spans="1:15" x14ac:dyDescent="0.3">
      <c r="A68" s="2" t="s">
        <v>450</v>
      </c>
      <c r="B68" s="5">
        <v>46014</v>
      </c>
      <c r="C68" s="6" t="s">
        <v>54</v>
      </c>
      <c r="D68" s="6" t="s">
        <v>48</v>
      </c>
      <c r="E68" s="6" t="s">
        <v>18</v>
      </c>
      <c r="F68" s="6" t="s">
        <v>19</v>
      </c>
      <c r="G68" s="6" t="s">
        <v>102</v>
      </c>
      <c r="H68" s="2">
        <v>8</v>
      </c>
      <c r="I68" s="2">
        <v>260.43</v>
      </c>
      <c r="J68" s="2">
        <v>0.03</v>
      </c>
      <c r="K68" s="2">
        <v>2020.97</v>
      </c>
      <c r="L68" s="2">
        <v>1295.8699999999999</v>
      </c>
      <c r="M68" s="2">
        <v>725.1</v>
      </c>
      <c r="N68" s="6" t="s">
        <v>58</v>
      </c>
      <c r="O68" s="6" t="s">
        <v>30</v>
      </c>
    </row>
    <row r="69" spans="1:15" x14ac:dyDescent="0.3">
      <c r="A69" s="2" t="s">
        <v>354</v>
      </c>
      <c r="B69" s="5">
        <v>45784</v>
      </c>
      <c r="C69" s="6" t="s">
        <v>63</v>
      </c>
      <c r="D69" s="6" t="s">
        <v>95</v>
      </c>
      <c r="E69" s="6" t="s">
        <v>65</v>
      </c>
      <c r="F69" s="6" t="s">
        <v>19</v>
      </c>
      <c r="G69" s="6" t="s">
        <v>20</v>
      </c>
      <c r="H69" s="2">
        <v>5</v>
      </c>
      <c r="I69" s="2">
        <v>728.38</v>
      </c>
      <c r="J69" s="2">
        <v>0.08</v>
      </c>
      <c r="K69" s="2">
        <v>3350.57</v>
      </c>
      <c r="L69" s="2">
        <v>2606.91</v>
      </c>
      <c r="M69" s="2">
        <v>743.66</v>
      </c>
      <c r="N69" s="6" t="s">
        <v>58</v>
      </c>
      <c r="O69" s="6" t="s">
        <v>22</v>
      </c>
    </row>
    <row r="70" spans="1:15" x14ac:dyDescent="0.3">
      <c r="A70" s="2" t="s">
        <v>237</v>
      </c>
      <c r="B70" s="5">
        <v>45759</v>
      </c>
      <c r="C70" s="6" t="s">
        <v>54</v>
      </c>
      <c r="D70" s="6" t="s">
        <v>124</v>
      </c>
      <c r="E70" s="6" t="s">
        <v>26</v>
      </c>
      <c r="F70" s="6" t="s">
        <v>19</v>
      </c>
      <c r="G70" s="6" t="s">
        <v>20</v>
      </c>
      <c r="H70" s="2">
        <v>5</v>
      </c>
      <c r="I70" s="2">
        <v>676.33</v>
      </c>
      <c r="J70" s="2">
        <v>0</v>
      </c>
      <c r="K70" s="2">
        <v>3381.66</v>
      </c>
      <c r="L70" s="2">
        <v>2624.58</v>
      </c>
      <c r="M70" s="2">
        <v>757.08</v>
      </c>
      <c r="N70" s="6" t="s">
        <v>21</v>
      </c>
      <c r="O70" s="6" t="s">
        <v>22</v>
      </c>
    </row>
    <row r="71" spans="1:15" x14ac:dyDescent="0.3">
      <c r="A71" s="2" t="s">
        <v>822</v>
      </c>
      <c r="B71" s="5">
        <v>45784</v>
      </c>
      <c r="C71" s="6" t="s">
        <v>16</v>
      </c>
      <c r="D71" s="6" t="s">
        <v>17</v>
      </c>
      <c r="E71" s="6" t="s">
        <v>49</v>
      </c>
      <c r="F71" s="6" t="s">
        <v>19</v>
      </c>
      <c r="G71" s="6" t="s">
        <v>102</v>
      </c>
      <c r="H71" s="2">
        <v>8</v>
      </c>
      <c r="I71" s="2">
        <v>262.27</v>
      </c>
      <c r="J71" s="2">
        <v>0.03</v>
      </c>
      <c r="K71" s="2">
        <v>2035.22</v>
      </c>
      <c r="L71" s="2">
        <v>1269.17</v>
      </c>
      <c r="M71" s="2">
        <v>766.05</v>
      </c>
      <c r="N71" s="6" t="s">
        <v>58</v>
      </c>
      <c r="O71" s="6" t="s">
        <v>59</v>
      </c>
    </row>
    <row r="72" spans="1:15" x14ac:dyDescent="0.3">
      <c r="A72" s="2" t="s">
        <v>1006</v>
      </c>
      <c r="B72" s="5">
        <v>45902</v>
      </c>
      <c r="C72" s="6" t="s">
        <v>63</v>
      </c>
      <c r="D72" s="6" t="s">
        <v>88</v>
      </c>
      <c r="E72" s="6" t="s">
        <v>65</v>
      </c>
      <c r="F72" s="6" t="s">
        <v>34</v>
      </c>
      <c r="G72" s="6" t="s">
        <v>80</v>
      </c>
      <c r="H72" s="2">
        <v>1</v>
      </c>
      <c r="I72" s="2">
        <v>4306.74</v>
      </c>
      <c r="J72" s="2">
        <v>0.03</v>
      </c>
      <c r="K72" s="2">
        <v>4177.54</v>
      </c>
      <c r="L72" s="2">
        <v>3402.49</v>
      </c>
      <c r="M72" s="2">
        <v>775.05</v>
      </c>
      <c r="N72" s="6" t="s">
        <v>58</v>
      </c>
      <c r="O72" s="6" t="s">
        <v>22</v>
      </c>
    </row>
    <row r="73" spans="1:15" x14ac:dyDescent="0.3">
      <c r="A73" s="2" t="s">
        <v>1324</v>
      </c>
      <c r="B73" s="5">
        <v>45774</v>
      </c>
      <c r="C73" s="6" t="s">
        <v>16</v>
      </c>
      <c r="D73" s="6" t="s">
        <v>17</v>
      </c>
      <c r="E73" s="6" t="s">
        <v>18</v>
      </c>
      <c r="F73" s="6" t="s">
        <v>19</v>
      </c>
      <c r="G73" s="6" t="s">
        <v>20</v>
      </c>
      <c r="H73" s="2">
        <v>4</v>
      </c>
      <c r="I73" s="2">
        <v>656.9</v>
      </c>
      <c r="J73" s="2">
        <v>0.05</v>
      </c>
      <c r="K73" s="2">
        <v>2496.21</v>
      </c>
      <c r="L73" s="2">
        <v>1705.24</v>
      </c>
      <c r="M73" s="2">
        <v>790.97</v>
      </c>
      <c r="N73" s="6" t="s">
        <v>29</v>
      </c>
      <c r="O73" s="6" t="s">
        <v>40</v>
      </c>
    </row>
    <row r="74" spans="1:15" x14ac:dyDescent="0.3">
      <c r="A74" s="2" t="s">
        <v>400</v>
      </c>
      <c r="B74" s="5">
        <v>45949</v>
      </c>
      <c r="C74" s="6" t="s">
        <v>63</v>
      </c>
      <c r="D74" s="6" t="s">
        <v>88</v>
      </c>
      <c r="E74" s="6" t="s">
        <v>18</v>
      </c>
      <c r="F74" s="6" t="s">
        <v>19</v>
      </c>
      <c r="G74" s="6" t="s">
        <v>20</v>
      </c>
      <c r="H74" s="2">
        <v>5</v>
      </c>
      <c r="I74" s="2">
        <v>655.48</v>
      </c>
      <c r="J74" s="2">
        <v>0.05</v>
      </c>
      <c r="K74" s="2">
        <v>3113.54</v>
      </c>
      <c r="L74" s="2">
        <v>2310.66</v>
      </c>
      <c r="M74" s="2">
        <v>802.88</v>
      </c>
      <c r="N74" s="6" t="s">
        <v>58</v>
      </c>
      <c r="O74" s="6" t="s">
        <v>59</v>
      </c>
    </row>
    <row r="75" spans="1:15" x14ac:dyDescent="0.3">
      <c r="A75" s="2" t="s">
        <v>562</v>
      </c>
      <c r="B75" s="5">
        <v>45935</v>
      </c>
      <c r="C75" s="6" t="s">
        <v>54</v>
      </c>
      <c r="D75" s="6" t="s">
        <v>124</v>
      </c>
      <c r="E75" s="6" t="s">
        <v>49</v>
      </c>
      <c r="F75" s="6" t="s">
        <v>34</v>
      </c>
      <c r="G75" s="6" t="s">
        <v>80</v>
      </c>
      <c r="H75" s="2">
        <v>1</v>
      </c>
      <c r="I75" s="2">
        <v>4800.63</v>
      </c>
      <c r="J75" s="2">
        <v>0.08</v>
      </c>
      <c r="K75" s="2">
        <v>4416.58</v>
      </c>
      <c r="L75" s="2">
        <v>3609.94</v>
      </c>
      <c r="M75" s="2">
        <v>806.64</v>
      </c>
      <c r="N75" s="6" t="s">
        <v>29</v>
      </c>
      <c r="O75" s="6" t="s">
        <v>45</v>
      </c>
    </row>
    <row r="76" spans="1:15" x14ac:dyDescent="0.3">
      <c r="A76" s="2" t="s">
        <v>1055</v>
      </c>
      <c r="B76" s="5">
        <v>45912</v>
      </c>
      <c r="C76" s="6" t="s">
        <v>37</v>
      </c>
      <c r="D76" s="6" t="s">
        <v>25</v>
      </c>
      <c r="E76" s="6" t="s">
        <v>1356</v>
      </c>
      <c r="F76" s="6" t="s">
        <v>19</v>
      </c>
      <c r="G76" s="6" t="s">
        <v>20</v>
      </c>
      <c r="H76" s="2">
        <v>4</v>
      </c>
      <c r="I76" s="2">
        <v>646.98</v>
      </c>
      <c r="J76" s="2">
        <v>0.05</v>
      </c>
      <c r="K76" s="2">
        <v>2458.52</v>
      </c>
      <c r="L76" s="2">
        <v>1650.7</v>
      </c>
      <c r="M76" s="2">
        <v>807.82</v>
      </c>
      <c r="N76" s="6" t="s">
        <v>58</v>
      </c>
      <c r="O76" s="6" t="s">
        <v>22</v>
      </c>
    </row>
    <row r="77" spans="1:15" x14ac:dyDescent="0.3">
      <c r="A77" s="2" t="s">
        <v>1315</v>
      </c>
      <c r="B77" s="5">
        <v>45788</v>
      </c>
      <c r="C77" s="6" t="s">
        <v>37</v>
      </c>
      <c r="D77" s="6" t="s">
        <v>42</v>
      </c>
      <c r="E77" s="6" t="s">
        <v>33</v>
      </c>
      <c r="F77" s="6" t="s">
        <v>19</v>
      </c>
      <c r="G77" s="6" t="s">
        <v>20</v>
      </c>
      <c r="H77" s="2">
        <v>6</v>
      </c>
      <c r="I77" s="2">
        <v>732.24</v>
      </c>
      <c r="J77" s="2">
        <v>0.03</v>
      </c>
      <c r="K77" s="2">
        <v>4261.6400000000003</v>
      </c>
      <c r="L77" s="2">
        <v>3423.25</v>
      </c>
      <c r="M77" s="2">
        <v>838.39</v>
      </c>
      <c r="N77" s="6" t="s">
        <v>21</v>
      </c>
      <c r="O77" s="6" t="s">
        <v>45</v>
      </c>
    </row>
    <row r="78" spans="1:15" x14ac:dyDescent="0.3">
      <c r="A78" s="2" t="s">
        <v>1341</v>
      </c>
      <c r="B78" s="5">
        <v>45994</v>
      </c>
      <c r="C78" s="6" t="s">
        <v>37</v>
      </c>
      <c r="D78" s="6" t="s">
        <v>42</v>
      </c>
      <c r="E78" s="6" t="s">
        <v>69</v>
      </c>
      <c r="F78" s="6" t="s">
        <v>19</v>
      </c>
      <c r="G78" s="6" t="s">
        <v>20</v>
      </c>
      <c r="H78" s="2">
        <v>5</v>
      </c>
      <c r="I78" s="2">
        <v>712.74</v>
      </c>
      <c r="J78" s="2">
        <v>0.08</v>
      </c>
      <c r="K78" s="2">
        <v>3278.58</v>
      </c>
      <c r="L78" s="2">
        <v>2411.75</v>
      </c>
      <c r="M78" s="2">
        <v>866.83</v>
      </c>
      <c r="N78" s="6" t="s">
        <v>21</v>
      </c>
      <c r="O78" s="6" t="s">
        <v>22</v>
      </c>
    </row>
    <row r="79" spans="1:15" x14ac:dyDescent="0.3">
      <c r="A79" s="2" t="s">
        <v>209</v>
      </c>
      <c r="B79" s="5">
        <v>45945</v>
      </c>
      <c r="C79" s="6" t="s">
        <v>37</v>
      </c>
      <c r="D79" s="6" t="s">
        <v>68</v>
      </c>
      <c r="E79" s="6" t="s">
        <v>49</v>
      </c>
      <c r="F79" s="6" t="s">
        <v>43</v>
      </c>
      <c r="G79" s="6" t="s">
        <v>121</v>
      </c>
      <c r="H79" s="2">
        <v>1</v>
      </c>
      <c r="I79" s="2">
        <v>4730.8999999999996</v>
      </c>
      <c r="J79" s="2">
        <v>0.1</v>
      </c>
      <c r="K79" s="2">
        <v>4257.8100000000004</v>
      </c>
      <c r="L79" s="2">
        <v>3348.7</v>
      </c>
      <c r="M79" s="2">
        <v>909.11</v>
      </c>
      <c r="N79" s="6" t="s">
        <v>21</v>
      </c>
      <c r="O79" s="6" t="s">
        <v>40</v>
      </c>
    </row>
    <row r="80" spans="1:15" x14ac:dyDescent="0.3">
      <c r="A80" s="2" t="s">
        <v>363</v>
      </c>
      <c r="B80" s="5">
        <v>45832</v>
      </c>
      <c r="C80" s="6" t="s">
        <v>63</v>
      </c>
      <c r="D80" s="6" t="s">
        <v>95</v>
      </c>
      <c r="E80" s="6" t="s">
        <v>33</v>
      </c>
      <c r="F80" s="6" t="s">
        <v>34</v>
      </c>
      <c r="G80" s="6" t="s">
        <v>80</v>
      </c>
      <c r="H80" s="2">
        <v>1</v>
      </c>
      <c r="I80" s="2">
        <v>4809.72</v>
      </c>
      <c r="J80" s="2">
        <v>0.1</v>
      </c>
      <c r="K80" s="2">
        <v>4328.75</v>
      </c>
      <c r="L80" s="2">
        <v>3385.96</v>
      </c>
      <c r="M80" s="2">
        <v>942.79</v>
      </c>
      <c r="N80" s="6" t="s">
        <v>21</v>
      </c>
      <c r="O80" s="6" t="s">
        <v>45</v>
      </c>
    </row>
    <row r="81" spans="1:15" x14ac:dyDescent="0.3">
      <c r="A81" s="2" t="s">
        <v>900</v>
      </c>
      <c r="B81" s="5">
        <v>45778</v>
      </c>
      <c r="C81" s="6" t="s">
        <v>54</v>
      </c>
      <c r="D81" s="6" t="s">
        <v>55</v>
      </c>
      <c r="E81" s="6" t="s">
        <v>65</v>
      </c>
      <c r="F81" s="6" t="s">
        <v>34</v>
      </c>
      <c r="G81" s="6" t="s">
        <v>80</v>
      </c>
      <c r="H81" s="2">
        <v>1</v>
      </c>
      <c r="I81" s="2">
        <v>4293.25</v>
      </c>
      <c r="J81" s="2">
        <v>0.08</v>
      </c>
      <c r="K81" s="2">
        <v>3949.79</v>
      </c>
      <c r="L81" s="2">
        <v>2963.49</v>
      </c>
      <c r="M81" s="2">
        <v>986.3</v>
      </c>
      <c r="N81" s="6" t="s">
        <v>21</v>
      </c>
      <c r="O81" s="6" t="s">
        <v>59</v>
      </c>
    </row>
    <row r="82" spans="1:15" x14ac:dyDescent="0.3">
      <c r="A82" s="2" t="s">
        <v>109</v>
      </c>
      <c r="B82" s="5">
        <v>45743</v>
      </c>
      <c r="C82" s="6" t="s">
        <v>37</v>
      </c>
      <c r="D82" s="6" t="s">
        <v>42</v>
      </c>
      <c r="E82" s="6" t="s">
        <v>65</v>
      </c>
      <c r="F82" s="6" t="s">
        <v>19</v>
      </c>
      <c r="G82" s="6" t="s">
        <v>20</v>
      </c>
      <c r="H82" s="2">
        <v>6</v>
      </c>
      <c r="I82" s="2">
        <v>725.76</v>
      </c>
      <c r="J82" s="2">
        <v>0</v>
      </c>
      <c r="K82" s="2">
        <v>4354.59</v>
      </c>
      <c r="L82" s="2">
        <v>3291.41</v>
      </c>
      <c r="M82" s="2">
        <v>1063.18</v>
      </c>
      <c r="N82" s="6" t="s">
        <v>21</v>
      </c>
      <c r="O82" s="6" t="s">
        <v>40</v>
      </c>
    </row>
    <row r="83" spans="1:15" x14ac:dyDescent="0.3">
      <c r="A83" s="2" t="s">
        <v>342</v>
      </c>
      <c r="B83" s="5">
        <v>45966</v>
      </c>
      <c r="C83" s="6" t="s">
        <v>37</v>
      </c>
      <c r="D83" s="6" t="s">
        <v>42</v>
      </c>
      <c r="E83" s="6" t="s">
        <v>26</v>
      </c>
      <c r="F83" s="6" t="s">
        <v>19</v>
      </c>
      <c r="G83" s="6" t="s">
        <v>20</v>
      </c>
      <c r="H83" s="2">
        <v>5</v>
      </c>
      <c r="I83" s="2">
        <v>697.52</v>
      </c>
      <c r="J83" s="2">
        <v>0.05</v>
      </c>
      <c r="K83" s="2">
        <v>3313.23</v>
      </c>
      <c r="L83" s="2">
        <v>2188.06</v>
      </c>
      <c r="M83" s="2">
        <v>1125.17</v>
      </c>
      <c r="N83" s="6" t="s">
        <v>58</v>
      </c>
      <c r="O83" s="6" t="s">
        <v>22</v>
      </c>
    </row>
    <row r="84" spans="1:15" x14ac:dyDescent="0.3">
      <c r="A84" s="2" t="s">
        <v>1056</v>
      </c>
      <c r="B84" s="5">
        <v>46020</v>
      </c>
      <c r="C84" s="6" t="s">
        <v>16</v>
      </c>
      <c r="D84" s="6" t="s">
        <v>52</v>
      </c>
      <c r="E84" s="6" t="s">
        <v>65</v>
      </c>
      <c r="F84" s="6" t="s">
        <v>43</v>
      </c>
      <c r="G84" s="6" t="s">
        <v>121</v>
      </c>
      <c r="H84" s="2">
        <v>1</v>
      </c>
      <c r="I84" s="2">
        <v>5073.53</v>
      </c>
      <c r="J84" s="2">
        <v>0.08</v>
      </c>
      <c r="K84" s="2">
        <v>4667.6499999999996</v>
      </c>
      <c r="L84" s="2">
        <v>3533.98</v>
      </c>
      <c r="M84" s="2">
        <v>1133.67</v>
      </c>
      <c r="N84" s="6" t="s">
        <v>29</v>
      </c>
      <c r="O84" s="6" t="s">
        <v>40</v>
      </c>
    </row>
    <row r="85" spans="1:15" x14ac:dyDescent="0.3">
      <c r="A85" s="2" t="s">
        <v>749</v>
      </c>
      <c r="B85" s="5">
        <v>45914</v>
      </c>
      <c r="C85" s="6" t="s">
        <v>63</v>
      </c>
      <c r="D85" s="6" t="s">
        <v>117</v>
      </c>
      <c r="E85" s="6" t="s">
        <v>56</v>
      </c>
      <c r="F85" s="6" t="s">
        <v>19</v>
      </c>
      <c r="G85" s="6" t="s">
        <v>20</v>
      </c>
      <c r="H85" s="2">
        <v>6</v>
      </c>
      <c r="I85" s="2">
        <v>690.92</v>
      </c>
      <c r="J85" s="2">
        <v>0.08</v>
      </c>
      <c r="K85" s="2">
        <v>3813.88</v>
      </c>
      <c r="L85" s="2">
        <v>2674.66</v>
      </c>
      <c r="M85" s="2">
        <v>1139.22</v>
      </c>
      <c r="N85" s="6" t="s">
        <v>58</v>
      </c>
      <c r="O85" s="6" t="s">
        <v>45</v>
      </c>
    </row>
    <row r="86" spans="1:15" x14ac:dyDescent="0.3">
      <c r="A86" s="2" t="s">
        <v>771</v>
      </c>
      <c r="B86" s="5">
        <v>45744</v>
      </c>
      <c r="C86" s="6" t="s">
        <v>37</v>
      </c>
      <c r="D86" s="6" t="s">
        <v>42</v>
      </c>
      <c r="E86" s="6" t="s">
        <v>56</v>
      </c>
      <c r="F86" s="6" t="s">
        <v>43</v>
      </c>
      <c r="G86" s="6" t="s">
        <v>121</v>
      </c>
      <c r="H86" s="2">
        <v>1</v>
      </c>
      <c r="I86" s="2">
        <v>4945.6899999999996</v>
      </c>
      <c r="J86" s="2">
        <v>0.15</v>
      </c>
      <c r="K86" s="2">
        <v>4203.84</v>
      </c>
      <c r="L86" s="2">
        <v>3062.63</v>
      </c>
      <c r="M86" s="2">
        <v>1141.21</v>
      </c>
      <c r="N86" s="6" t="s">
        <v>21</v>
      </c>
      <c r="O86" s="6" t="s">
        <v>45</v>
      </c>
    </row>
    <row r="87" spans="1:15" x14ac:dyDescent="0.3">
      <c r="A87" s="2" t="s">
        <v>597</v>
      </c>
      <c r="B87" s="5">
        <v>45866</v>
      </c>
      <c r="C87" s="6" t="s">
        <v>37</v>
      </c>
      <c r="D87" s="6" t="s">
        <v>38</v>
      </c>
      <c r="E87" s="6" t="s">
        <v>65</v>
      </c>
      <c r="F87" s="6" t="s">
        <v>34</v>
      </c>
      <c r="G87" s="6" t="s">
        <v>80</v>
      </c>
      <c r="H87" s="2">
        <v>1</v>
      </c>
      <c r="I87" s="2">
        <v>4239.63</v>
      </c>
      <c r="J87" s="2">
        <v>0.15</v>
      </c>
      <c r="K87" s="2">
        <v>3603.68</v>
      </c>
      <c r="L87" s="2">
        <v>2450.48</v>
      </c>
      <c r="M87" s="2">
        <v>1153.2</v>
      </c>
      <c r="N87" s="6" t="s">
        <v>29</v>
      </c>
      <c r="O87" s="6" t="s">
        <v>30</v>
      </c>
    </row>
    <row r="88" spans="1:15" x14ac:dyDescent="0.3">
      <c r="A88" s="2" t="s">
        <v>1042</v>
      </c>
      <c r="B88" s="5">
        <v>45782</v>
      </c>
      <c r="C88" s="6" t="s">
        <v>37</v>
      </c>
      <c r="D88" s="6" t="s">
        <v>38</v>
      </c>
      <c r="E88" s="6" t="s">
        <v>65</v>
      </c>
      <c r="F88" s="6" t="s">
        <v>43</v>
      </c>
      <c r="G88" s="6" t="s">
        <v>121</v>
      </c>
      <c r="H88" s="2">
        <v>1</v>
      </c>
      <c r="I88" s="2">
        <v>4881.84</v>
      </c>
      <c r="J88" s="2">
        <v>0.03</v>
      </c>
      <c r="K88" s="2">
        <v>4735.3900000000003</v>
      </c>
      <c r="L88" s="2">
        <v>3572.18</v>
      </c>
      <c r="M88" s="2">
        <v>1163.21</v>
      </c>
      <c r="N88" s="6" t="s">
        <v>58</v>
      </c>
      <c r="O88" s="6" t="s">
        <v>40</v>
      </c>
    </row>
    <row r="89" spans="1:15" x14ac:dyDescent="0.3">
      <c r="A89" s="2" t="s">
        <v>813</v>
      </c>
      <c r="B89" s="5">
        <v>45795</v>
      </c>
      <c r="C89" s="6" t="s">
        <v>37</v>
      </c>
      <c r="D89" s="6" t="s">
        <v>38</v>
      </c>
      <c r="E89" s="6" t="s">
        <v>69</v>
      </c>
      <c r="F89" s="6" t="s">
        <v>34</v>
      </c>
      <c r="G89" s="6" t="s">
        <v>80</v>
      </c>
      <c r="H89" s="2">
        <v>1</v>
      </c>
      <c r="I89" s="2">
        <v>4151.6099999999997</v>
      </c>
      <c r="J89" s="2">
        <v>0.05</v>
      </c>
      <c r="K89" s="2">
        <v>3944.03</v>
      </c>
      <c r="L89" s="2">
        <v>2778.22</v>
      </c>
      <c r="M89" s="2">
        <v>1165.81</v>
      </c>
      <c r="N89" s="6" t="s">
        <v>58</v>
      </c>
      <c r="O89" s="6" t="s">
        <v>40</v>
      </c>
    </row>
    <row r="90" spans="1:15" x14ac:dyDescent="0.3">
      <c r="A90" s="2" t="s">
        <v>15</v>
      </c>
      <c r="B90" s="5">
        <v>45745</v>
      </c>
      <c r="C90" s="6" t="s">
        <v>16</v>
      </c>
      <c r="D90" s="6" t="s">
        <v>17</v>
      </c>
      <c r="E90" s="6" t="s">
        <v>18</v>
      </c>
      <c r="F90" s="6" t="s">
        <v>19</v>
      </c>
      <c r="G90" s="6" t="s">
        <v>20</v>
      </c>
      <c r="H90" s="2">
        <v>5</v>
      </c>
      <c r="I90" s="2">
        <v>661.47</v>
      </c>
      <c r="J90" s="2">
        <v>0.03</v>
      </c>
      <c r="K90" s="2">
        <v>3208.15</v>
      </c>
      <c r="L90" s="2">
        <v>2033.77</v>
      </c>
      <c r="M90" s="2">
        <v>1174.3800000000001</v>
      </c>
      <c r="N90" s="6" t="s">
        <v>21</v>
      </c>
      <c r="O90" s="6" t="s">
        <v>22</v>
      </c>
    </row>
    <row r="91" spans="1:15" x14ac:dyDescent="0.3">
      <c r="A91" s="2" t="s">
        <v>1000</v>
      </c>
      <c r="B91" s="5">
        <v>45665</v>
      </c>
      <c r="C91" s="6" t="s">
        <v>54</v>
      </c>
      <c r="D91" s="6" t="s">
        <v>55</v>
      </c>
      <c r="E91" s="6" t="s">
        <v>69</v>
      </c>
      <c r="F91" s="6" t="s">
        <v>19</v>
      </c>
      <c r="G91" s="6" t="s">
        <v>20</v>
      </c>
      <c r="H91" s="2">
        <v>8</v>
      </c>
      <c r="I91" s="2">
        <v>741.61</v>
      </c>
      <c r="J91" s="2">
        <v>0</v>
      </c>
      <c r="K91" s="2">
        <v>5932.87</v>
      </c>
      <c r="L91" s="2">
        <v>4693.26</v>
      </c>
      <c r="M91" s="2">
        <v>1239.6099999999999</v>
      </c>
      <c r="N91" s="6" t="s">
        <v>21</v>
      </c>
      <c r="O91" s="6" t="s">
        <v>40</v>
      </c>
    </row>
    <row r="92" spans="1:15" x14ac:dyDescent="0.3">
      <c r="A92" s="2" t="s">
        <v>803</v>
      </c>
      <c r="B92" s="5">
        <v>45991</v>
      </c>
      <c r="C92" s="6" t="s">
        <v>16</v>
      </c>
      <c r="D92" s="6" t="s">
        <v>52</v>
      </c>
      <c r="E92" s="6" t="s">
        <v>74</v>
      </c>
      <c r="F92" s="6" t="s">
        <v>34</v>
      </c>
      <c r="G92" s="6" t="s">
        <v>80</v>
      </c>
      <c r="H92" s="2">
        <v>1</v>
      </c>
      <c r="I92" s="2">
        <v>4346.63</v>
      </c>
      <c r="J92" s="2">
        <v>0.03</v>
      </c>
      <c r="K92" s="2">
        <v>4216.2299999999996</v>
      </c>
      <c r="L92" s="2">
        <v>2974.55</v>
      </c>
      <c r="M92" s="2">
        <v>1241.68</v>
      </c>
      <c r="N92" s="6" t="s">
        <v>21</v>
      </c>
      <c r="O92" s="6" t="s">
        <v>22</v>
      </c>
    </row>
    <row r="93" spans="1:15" x14ac:dyDescent="0.3">
      <c r="A93" s="2" t="s">
        <v>170</v>
      </c>
      <c r="B93" s="5">
        <v>45832</v>
      </c>
      <c r="C93" s="6" t="s">
        <v>16</v>
      </c>
      <c r="D93" s="6" t="s">
        <v>52</v>
      </c>
      <c r="E93" s="6" t="s">
        <v>65</v>
      </c>
      <c r="F93" s="6" t="s">
        <v>19</v>
      </c>
      <c r="G93" s="6" t="s">
        <v>20</v>
      </c>
      <c r="H93" s="2">
        <v>6</v>
      </c>
      <c r="I93" s="2">
        <v>737.7</v>
      </c>
      <c r="J93" s="2">
        <v>0.08</v>
      </c>
      <c r="K93" s="2">
        <v>4072.08</v>
      </c>
      <c r="L93" s="2">
        <v>2812.06</v>
      </c>
      <c r="M93" s="2">
        <v>1260.02</v>
      </c>
      <c r="N93" s="6" t="s">
        <v>29</v>
      </c>
      <c r="O93" s="6" t="s">
        <v>40</v>
      </c>
    </row>
    <row r="94" spans="1:15" x14ac:dyDescent="0.3">
      <c r="A94" s="2" t="s">
        <v>641</v>
      </c>
      <c r="B94" s="5">
        <v>45877</v>
      </c>
      <c r="C94" s="6" t="s">
        <v>37</v>
      </c>
      <c r="D94" s="6" t="s">
        <v>42</v>
      </c>
      <c r="E94" s="6" t="s">
        <v>65</v>
      </c>
      <c r="F94" s="6" t="s">
        <v>43</v>
      </c>
      <c r="G94" s="6" t="s">
        <v>121</v>
      </c>
      <c r="H94" s="2">
        <v>1</v>
      </c>
      <c r="I94" s="2">
        <v>4789.29</v>
      </c>
      <c r="J94" s="2">
        <v>0.05</v>
      </c>
      <c r="K94" s="2">
        <v>4549.82</v>
      </c>
      <c r="L94" s="2">
        <v>3289.5</v>
      </c>
      <c r="M94" s="2">
        <v>1260.32</v>
      </c>
      <c r="N94" s="6" t="s">
        <v>21</v>
      </c>
      <c r="O94" s="6" t="s">
        <v>40</v>
      </c>
    </row>
    <row r="95" spans="1:15" x14ac:dyDescent="0.3">
      <c r="A95" s="2" t="s">
        <v>1151</v>
      </c>
      <c r="B95" s="5">
        <v>45764</v>
      </c>
      <c r="C95" s="6" t="s">
        <v>63</v>
      </c>
      <c r="D95" s="6" t="s">
        <v>117</v>
      </c>
      <c r="E95" s="6" t="s">
        <v>74</v>
      </c>
      <c r="F95" s="6" t="s">
        <v>19</v>
      </c>
      <c r="G95" s="6" t="s">
        <v>20</v>
      </c>
      <c r="H95" s="2">
        <v>6</v>
      </c>
      <c r="I95" s="2">
        <v>681.53</v>
      </c>
      <c r="J95" s="2">
        <v>0</v>
      </c>
      <c r="K95" s="2">
        <v>4089.18</v>
      </c>
      <c r="L95" s="2">
        <v>2818.06</v>
      </c>
      <c r="M95" s="2">
        <v>1271.1199999999999</v>
      </c>
      <c r="N95" s="6" t="s">
        <v>21</v>
      </c>
      <c r="O95" s="6" t="s">
        <v>59</v>
      </c>
    </row>
    <row r="96" spans="1:15" x14ac:dyDescent="0.3">
      <c r="A96" s="2" t="s">
        <v>583</v>
      </c>
      <c r="B96" s="5">
        <v>45944</v>
      </c>
      <c r="C96" s="6" t="s">
        <v>37</v>
      </c>
      <c r="D96" s="6" t="s">
        <v>42</v>
      </c>
      <c r="E96" s="6" t="s">
        <v>26</v>
      </c>
      <c r="F96" s="6" t="s">
        <v>19</v>
      </c>
      <c r="G96" s="6" t="s">
        <v>20</v>
      </c>
      <c r="H96" s="2">
        <v>6</v>
      </c>
      <c r="I96" s="2">
        <v>685.88</v>
      </c>
      <c r="J96" s="2">
        <v>0.1</v>
      </c>
      <c r="K96" s="2">
        <v>3703.76</v>
      </c>
      <c r="L96" s="2">
        <v>2430.89</v>
      </c>
      <c r="M96" s="2">
        <v>1272.8699999999999</v>
      </c>
      <c r="N96" s="6" t="s">
        <v>58</v>
      </c>
      <c r="O96" s="6" t="s">
        <v>40</v>
      </c>
    </row>
    <row r="97" spans="1:15" x14ac:dyDescent="0.3">
      <c r="A97" s="2" t="s">
        <v>1033</v>
      </c>
      <c r="B97" s="5">
        <v>45807</v>
      </c>
      <c r="C97" s="6" t="s">
        <v>37</v>
      </c>
      <c r="D97" s="6" t="s">
        <v>25</v>
      </c>
      <c r="E97" s="6" t="s">
        <v>26</v>
      </c>
      <c r="F97" s="6" t="s">
        <v>19</v>
      </c>
      <c r="G97" s="6" t="s">
        <v>20</v>
      </c>
      <c r="H97" s="2">
        <v>6</v>
      </c>
      <c r="I97" s="2">
        <v>702.59</v>
      </c>
      <c r="J97" s="2">
        <v>0.1</v>
      </c>
      <c r="K97" s="2">
        <v>3794.01</v>
      </c>
      <c r="L97" s="2">
        <v>2501.98</v>
      </c>
      <c r="M97" s="2">
        <v>1292.03</v>
      </c>
      <c r="N97" s="6" t="s">
        <v>21</v>
      </c>
      <c r="O97" s="6" t="s">
        <v>45</v>
      </c>
    </row>
    <row r="98" spans="1:15" x14ac:dyDescent="0.3">
      <c r="A98" s="2" t="s">
        <v>834</v>
      </c>
      <c r="B98" s="5">
        <v>45967</v>
      </c>
      <c r="C98" s="6" t="s">
        <v>16</v>
      </c>
      <c r="D98" s="6" t="s">
        <v>82</v>
      </c>
      <c r="E98" s="6" t="s">
        <v>69</v>
      </c>
      <c r="F98" s="6" t="s">
        <v>43</v>
      </c>
      <c r="G98" s="6" t="s">
        <v>121</v>
      </c>
      <c r="H98" s="2">
        <v>1</v>
      </c>
      <c r="I98" s="2">
        <v>5320.61</v>
      </c>
      <c r="J98" s="2">
        <v>0.1</v>
      </c>
      <c r="K98" s="2">
        <v>4788.55</v>
      </c>
      <c r="L98" s="2">
        <v>3409.72</v>
      </c>
      <c r="M98" s="2">
        <v>1378.83</v>
      </c>
      <c r="N98" s="6" t="s">
        <v>21</v>
      </c>
      <c r="O98" s="6" t="s">
        <v>59</v>
      </c>
    </row>
    <row r="99" spans="1:15" x14ac:dyDescent="0.3">
      <c r="A99" s="2" t="s">
        <v>291</v>
      </c>
      <c r="B99" s="5">
        <v>45855</v>
      </c>
      <c r="C99" s="6" t="s">
        <v>63</v>
      </c>
      <c r="D99" s="6" t="s">
        <v>64</v>
      </c>
      <c r="E99" s="6" t="s">
        <v>56</v>
      </c>
      <c r="F99" s="6" t="s">
        <v>27</v>
      </c>
      <c r="G99" s="6" t="s">
        <v>125</v>
      </c>
      <c r="H99" s="2">
        <v>1</v>
      </c>
      <c r="I99" s="2">
        <v>8392.9</v>
      </c>
      <c r="J99" s="2">
        <v>0.08</v>
      </c>
      <c r="K99" s="2">
        <v>7721.47</v>
      </c>
      <c r="L99" s="2">
        <v>6243.24</v>
      </c>
      <c r="M99" s="2">
        <v>1478.23</v>
      </c>
      <c r="N99" s="6" t="s">
        <v>58</v>
      </c>
      <c r="O99" s="6" t="s">
        <v>40</v>
      </c>
    </row>
    <row r="100" spans="1:15" x14ac:dyDescent="0.3">
      <c r="A100" s="2" t="s">
        <v>1028</v>
      </c>
      <c r="B100" s="5">
        <v>45884</v>
      </c>
      <c r="C100" s="6" t="s">
        <v>54</v>
      </c>
      <c r="D100" s="6" t="s">
        <v>48</v>
      </c>
      <c r="E100" s="6" t="s">
        <v>74</v>
      </c>
      <c r="F100" s="6" t="s">
        <v>34</v>
      </c>
      <c r="G100" s="6" t="s">
        <v>80</v>
      </c>
      <c r="H100" s="2">
        <v>2</v>
      </c>
      <c r="I100" s="2">
        <v>4504.38</v>
      </c>
      <c r="J100" s="2">
        <v>0.08</v>
      </c>
      <c r="K100" s="2">
        <v>8288.06</v>
      </c>
      <c r="L100" s="2">
        <v>6795.41</v>
      </c>
      <c r="M100" s="2">
        <v>1492.65</v>
      </c>
      <c r="N100" s="6" t="s">
        <v>58</v>
      </c>
      <c r="O100" s="6" t="s">
        <v>30</v>
      </c>
    </row>
    <row r="101" spans="1:15" x14ac:dyDescent="0.3">
      <c r="A101" s="2" t="s">
        <v>303</v>
      </c>
      <c r="B101" s="5">
        <v>45825</v>
      </c>
      <c r="C101" s="6" t="s">
        <v>16</v>
      </c>
      <c r="D101" s="6" t="s">
        <v>82</v>
      </c>
      <c r="E101" s="6" t="s">
        <v>74</v>
      </c>
      <c r="F101" s="6" t="s">
        <v>19</v>
      </c>
      <c r="G101" s="6" t="s">
        <v>20</v>
      </c>
      <c r="H101" s="2">
        <v>7</v>
      </c>
      <c r="I101" s="2">
        <v>742.51</v>
      </c>
      <c r="J101" s="2">
        <v>0.1</v>
      </c>
      <c r="K101" s="2">
        <v>4677.83</v>
      </c>
      <c r="L101" s="2">
        <v>3168.35</v>
      </c>
      <c r="M101" s="2">
        <v>1509.48</v>
      </c>
      <c r="N101" s="6" t="s">
        <v>58</v>
      </c>
      <c r="O101" s="6" t="s">
        <v>59</v>
      </c>
    </row>
    <row r="102" spans="1:15" x14ac:dyDescent="0.3">
      <c r="A102" s="2" t="s">
        <v>612</v>
      </c>
      <c r="B102" s="5">
        <v>45718</v>
      </c>
      <c r="C102" s="6" t="s">
        <v>63</v>
      </c>
      <c r="D102" s="6" t="s">
        <v>95</v>
      </c>
      <c r="E102" s="6" t="s">
        <v>49</v>
      </c>
      <c r="F102" s="6" t="s">
        <v>27</v>
      </c>
      <c r="G102" s="6" t="s">
        <v>125</v>
      </c>
      <c r="H102" s="2">
        <v>1</v>
      </c>
      <c r="I102" s="2">
        <v>9119.41</v>
      </c>
      <c r="J102" s="2">
        <v>0.03</v>
      </c>
      <c r="K102" s="2">
        <v>8845.83</v>
      </c>
      <c r="L102" s="2">
        <v>7309.44</v>
      </c>
      <c r="M102" s="2">
        <v>1536.39</v>
      </c>
      <c r="N102" s="6" t="s">
        <v>29</v>
      </c>
      <c r="O102" s="6" t="s">
        <v>59</v>
      </c>
    </row>
    <row r="103" spans="1:15" x14ac:dyDescent="0.3">
      <c r="A103" s="2" t="s">
        <v>1148</v>
      </c>
      <c r="B103" s="5">
        <v>45993</v>
      </c>
      <c r="C103" s="6" t="s">
        <v>37</v>
      </c>
      <c r="D103" s="6" t="s">
        <v>25</v>
      </c>
      <c r="E103" s="6" t="s">
        <v>74</v>
      </c>
      <c r="F103" s="6" t="s">
        <v>34</v>
      </c>
      <c r="G103" s="6" t="s">
        <v>80</v>
      </c>
      <c r="H103" s="2">
        <v>1</v>
      </c>
      <c r="I103" s="2">
        <v>4708.26</v>
      </c>
      <c r="J103" s="2">
        <v>0.05</v>
      </c>
      <c r="K103" s="2">
        <v>4472.84</v>
      </c>
      <c r="L103" s="2">
        <v>2900.2</v>
      </c>
      <c r="M103" s="2">
        <v>1572.64</v>
      </c>
      <c r="N103" s="6" t="s">
        <v>58</v>
      </c>
      <c r="O103" s="6" t="s">
        <v>59</v>
      </c>
    </row>
    <row r="104" spans="1:15" x14ac:dyDescent="0.3">
      <c r="A104" s="2" t="s">
        <v>766</v>
      </c>
      <c r="B104" s="5">
        <v>45765</v>
      </c>
      <c r="C104" s="6" t="s">
        <v>16</v>
      </c>
      <c r="D104" s="6" t="s">
        <v>52</v>
      </c>
      <c r="E104" s="6" t="s">
        <v>56</v>
      </c>
      <c r="F104" s="6" t="s">
        <v>19</v>
      </c>
      <c r="G104" s="6" t="s">
        <v>61</v>
      </c>
      <c r="H104" s="2">
        <v>1</v>
      </c>
      <c r="I104" s="2">
        <v>8520.17</v>
      </c>
      <c r="J104" s="2">
        <v>0.1</v>
      </c>
      <c r="K104" s="2">
        <v>7668.16</v>
      </c>
      <c r="L104" s="2">
        <v>6079.52</v>
      </c>
      <c r="M104" s="2">
        <v>1588.64</v>
      </c>
      <c r="N104" s="6" t="s">
        <v>29</v>
      </c>
      <c r="O104" s="6" t="s">
        <v>22</v>
      </c>
    </row>
    <row r="105" spans="1:15" x14ac:dyDescent="0.3">
      <c r="A105" s="2" t="s">
        <v>396</v>
      </c>
      <c r="B105" s="5">
        <v>45974</v>
      </c>
      <c r="C105" s="6" t="s">
        <v>63</v>
      </c>
      <c r="D105" s="6" t="s">
        <v>95</v>
      </c>
      <c r="E105" s="6" t="s">
        <v>65</v>
      </c>
      <c r="F105" s="6" t="s">
        <v>43</v>
      </c>
      <c r="G105" s="6" t="s">
        <v>121</v>
      </c>
      <c r="H105" s="2">
        <v>1</v>
      </c>
      <c r="I105" s="2">
        <v>5378.46</v>
      </c>
      <c r="J105" s="2">
        <v>0.03</v>
      </c>
      <c r="K105" s="2">
        <v>5217.1099999999997</v>
      </c>
      <c r="L105" s="2">
        <v>3615.5</v>
      </c>
      <c r="M105" s="2">
        <v>1601.61</v>
      </c>
      <c r="N105" s="6" t="s">
        <v>29</v>
      </c>
      <c r="O105" s="6" t="s">
        <v>22</v>
      </c>
    </row>
    <row r="106" spans="1:15" x14ac:dyDescent="0.3">
      <c r="A106" s="2" t="s">
        <v>1140</v>
      </c>
      <c r="B106" s="5">
        <v>45884</v>
      </c>
      <c r="C106" s="6" t="s">
        <v>54</v>
      </c>
      <c r="D106" s="6" t="s">
        <v>174</v>
      </c>
      <c r="E106" s="6" t="s">
        <v>33</v>
      </c>
      <c r="F106" s="6" t="s">
        <v>34</v>
      </c>
      <c r="G106" s="6" t="s">
        <v>80</v>
      </c>
      <c r="H106" s="2">
        <v>1</v>
      </c>
      <c r="I106" s="2">
        <v>4811.6000000000004</v>
      </c>
      <c r="J106" s="2">
        <v>0.05</v>
      </c>
      <c r="K106" s="2">
        <v>4571.0200000000004</v>
      </c>
      <c r="L106" s="2">
        <v>2950.85</v>
      </c>
      <c r="M106" s="2">
        <v>1620.17</v>
      </c>
      <c r="N106" s="6" t="s">
        <v>58</v>
      </c>
      <c r="O106" s="6" t="s">
        <v>22</v>
      </c>
    </row>
    <row r="107" spans="1:15" x14ac:dyDescent="0.3">
      <c r="A107" s="2" t="s">
        <v>215</v>
      </c>
      <c r="B107" s="5">
        <v>45871</v>
      </c>
      <c r="C107" s="6" t="s">
        <v>16</v>
      </c>
      <c r="D107" s="6" t="s">
        <v>32</v>
      </c>
      <c r="E107" s="6" t="s">
        <v>74</v>
      </c>
      <c r="F107" s="6" t="s">
        <v>34</v>
      </c>
      <c r="G107" s="6" t="s">
        <v>80</v>
      </c>
      <c r="H107" s="2">
        <v>1</v>
      </c>
      <c r="I107" s="2">
        <v>4759.29</v>
      </c>
      <c r="J107" s="2">
        <v>0.08</v>
      </c>
      <c r="K107" s="2">
        <v>4378.55</v>
      </c>
      <c r="L107" s="2">
        <v>2756.33</v>
      </c>
      <c r="M107" s="2">
        <v>1622.22</v>
      </c>
      <c r="N107" s="6" t="s">
        <v>58</v>
      </c>
      <c r="O107" s="6" t="s">
        <v>30</v>
      </c>
    </row>
    <row r="108" spans="1:15" x14ac:dyDescent="0.3">
      <c r="A108" s="2" t="s">
        <v>149</v>
      </c>
      <c r="B108" s="5">
        <v>45769</v>
      </c>
      <c r="C108" s="6" t="s">
        <v>63</v>
      </c>
      <c r="D108" s="6" t="s">
        <v>64</v>
      </c>
      <c r="E108" s="6" t="s">
        <v>26</v>
      </c>
      <c r="F108" s="6" t="s">
        <v>43</v>
      </c>
      <c r="G108" s="6" t="s">
        <v>121</v>
      </c>
      <c r="H108" s="2">
        <v>1</v>
      </c>
      <c r="I108" s="2">
        <v>4789.78</v>
      </c>
      <c r="J108" s="2">
        <v>0</v>
      </c>
      <c r="K108" s="2">
        <v>4789.78</v>
      </c>
      <c r="L108" s="2">
        <v>3145.38</v>
      </c>
      <c r="M108" s="2">
        <v>1644.4</v>
      </c>
      <c r="N108" s="6" t="s">
        <v>21</v>
      </c>
      <c r="O108" s="6" t="s">
        <v>22</v>
      </c>
    </row>
    <row r="109" spans="1:15" x14ac:dyDescent="0.3">
      <c r="A109" s="2" t="s">
        <v>510</v>
      </c>
      <c r="B109" s="5">
        <v>45682</v>
      </c>
      <c r="C109" s="6" t="s">
        <v>37</v>
      </c>
      <c r="D109" s="6" t="s">
        <v>42</v>
      </c>
      <c r="E109" s="6" t="s">
        <v>18</v>
      </c>
      <c r="F109" s="6" t="s">
        <v>19</v>
      </c>
      <c r="G109" s="6" t="s">
        <v>61</v>
      </c>
      <c r="H109" s="2">
        <v>1</v>
      </c>
      <c r="I109" s="2">
        <v>9274.18</v>
      </c>
      <c r="J109" s="2">
        <v>0.05</v>
      </c>
      <c r="K109" s="2">
        <v>8810.48</v>
      </c>
      <c r="L109" s="2">
        <v>7164.61</v>
      </c>
      <c r="M109" s="2">
        <v>1645.87</v>
      </c>
      <c r="N109" s="6" t="s">
        <v>29</v>
      </c>
      <c r="O109" s="6" t="s">
        <v>40</v>
      </c>
    </row>
    <row r="110" spans="1:15" x14ac:dyDescent="0.3">
      <c r="A110" s="2" t="s">
        <v>328</v>
      </c>
      <c r="B110" s="5">
        <v>45890</v>
      </c>
      <c r="C110" s="6" t="s">
        <v>54</v>
      </c>
      <c r="D110" s="6" t="s">
        <v>124</v>
      </c>
      <c r="E110" s="6" t="s">
        <v>33</v>
      </c>
      <c r="F110" s="6" t="s">
        <v>43</v>
      </c>
      <c r="G110" s="6" t="s">
        <v>121</v>
      </c>
      <c r="H110" s="2">
        <v>1</v>
      </c>
      <c r="I110" s="2">
        <v>4774.8100000000004</v>
      </c>
      <c r="J110" s="2">
        <v>0.05</v>
      </c>
      <c r="K110" s="2">
        <v>4536.07</v>
      </c>
      <c r="L110" s="2">
        <v>2860.69</v>
      </c>
      <c r="M110" s="2">
        <v>1675.38</v>
      </c>
      <c r="N110" s="6" t="s">
        <v>21</v>
      </c>
      <c r="O110" s="6" t="s">
        <v>45</v>
      </c>
    </row>
    <row r="111" spans="1:15" x14ac:dyDescent="0.3">
      <c r="A111" s="2" t="s">
        <v>1005</v>
      </c>
      <c r="B111" s="5">
        <v>45666</v>
      </c>
      <c r="C111" s="6" t="s">
        <v>63</v>
      </c>
      <c r="D111" s="6" t="s">
        <v>117</v>
      </c>
      <c r="E111" s="6" t="s">
        <v>74</v>
      </c>
      <c r="F111" s="6" t="s">
        <v>19</v>
      </c>
      <c r="G111" s="6" t="s">
        <v>20</v>
      </c>
      <c r="H111" s="2">
        <v>7</v>
      </c>
      <c r="I111" s="2">
        <v>751.1</v>
      </c>
      <c r="J111" s="2">
        <v>0</v>
      </c>
      <c r="K111" s="2">
        <v>5257.68</v>
      </c>
      <c r="L111" s="2">
        <v>3572.61</v>
      </c>
      <c r="M111" s="2">
        <v>1685.07</v>
      </c>
      <c r="N111" s="6" t="s">
        <v>21</v>
      </c>
      <c r="O111" s="6" t="s">
        <v>40</v>
      </c>
    </row>
    <row r="112" spans="1:15" x14ac:dyDescent="0.3">
      <c r="A112" s="2" t="s">
        <v>536</v>
      </c>
      <c r="B112" s="5">
        <v>46021</v>
      </c>
      <c r="C112" s="6" t="s">
        <v>16</v>
      </c>
      <c r="D112" s="6" t="s">
        <v>17</v>
      </c>
      <c r="E112" s="6" t="s">
        <v>33</v>
      </c>
      <c r="F112" s="6" t="s">
        <v>19</v>
      </c>
      <c r="G112" s="6" t="s">
        <v>20</v>
      </c>
      <c r="H112" s="2">
        <v>8</v>
      </c>
      <c r="I112" s="2">
        <v>658.92</v>
      </c>
      <c r="J112" s="2">
        <v>0.08</v>
      </c>
      <c r="K112" s="2">
        <v>4849.6499999999996</v>
      </c>
      <c r="L112" s="2">
        <v>3156.14</v>
      </c>
      <c r="M112" s="2">
        <v>1693.51</v>
      </c>
      <c r="N112" s="6" t="s">
        <v>29</v>
      </c>
      <c r="O112" s="6" t="s">
        <v>45</v>
      </c>
    </row>
    <row r="113" spans="1:15" x14ac:dyDescent="0.3">
      <c r="A113" s="2" t="s">
        <v>273</v>
      </c>
      <c r="B113" s="5">
        <v>45809</v>
      </c>
      <c r="C113" s="6" t="s">
        <v>63</v>
      </c>
      <c r="D113" s="6" t="s">
        <v>95</v>
      </c>
      <c r="E113" s="6" t="s">
        <v>18</v>
      </c>
      <c r="F113" s="6" t="s">
        <v>19</v>
      </c>
      <c r="G113" s="6" t="s">
        <v>20</v>
      </c>
      <c r="H113" s="2">
        <v>8</v>
      </c>
      <c r="I113" s="2">
        <v>653.5</v>
      </c>
      <c r="J113" s="2">
        <v>0.08</v>
      </c>
      <c r="K113" s="2">
        <v>4809.74</v>
      </c>
      <c r="L113" s="2">
        <v>3065.25</v>
      </c>
      <c r="M113" s="2">
        <v>1744.49</v>
      </c>
      <c r="N113" s="6" t="s">
        <v>21</v>
      </c>
      <c r="O113" s="6" t="s">
        <v>40</v>
      </c>
    </row>
    <row r="114" spans="1:15" x14ac:dyDescent="0.3">
      <c r="A114" s="2" t="s">
        <v>936</v>
      </c>
      <c r="B114" s="5">
        <v>45958</v>
      </c>
      <c r="C114" s="6" t="s">
        <v>63</v>
      </c>
      <c r="D114" s="6" t="s">
        <v>1356</v>
      </c>
      <c r="E114" s="6" t="s">
        <v>33</v>
      </c>
      <c r="F114" s="6" t="s">
        <v>19</v>
      </c>
      <c r="G114" s="6" t="s">
        <v>20</v>
      </c>
      <c r="H114" s="2">
        <v>8</v>
      </c>
      <c r="I114" s="2">
        <v>669.59</v>
      </c>
      <c r="J114" s="2">
        <v>0.1</v>
      </c>
      <c r="K114" s="2">
        <v>4821.04</v>
      </c>
      <c r="L114" s="2">
        <v>3027.6</v>
      </c>
      <c r="M114" s="2">
        <v>1793.44</v>
      </c>
      <c r="N114" s="6" t="s">
        <v>21</v>
      </c>
      <c r="O114" s="6" t="s">
        <v>59</v>
      </c>
    </row>
    <row r="115" spans="1:15" x14ac:dyDescent="0.3">
      <c r="A115" s="2" t="s">
        <v>408</v>
      </c>
      <c r="B115" s="5">
        <v>45798</v>
      </c>
      <c r="C115" s="6" t="s">
        <v>16</v>
      </c>
      <c r="D115" s="6" t="s">
        <v>52</v>
      </c>
      <c r="E115" s="6" t="s">
        <v>26</v>
      </c>
      <c r="F115" s="6" t="s">
        <v>34</v>
      </c>
      <c r="G115" s="6" t="s">
        <v>80</v>
      </c>
      <c r="H115" s="2">
        <v>3</v>
      </c>
      <c r="I115" s="2">
        <v>4180.74</v>
      </c>
      <c r="J115" s="2">
        <v>0.05</v>
      </c>
      <c r="K115" s="2">
        <v>11915.11</v>
      </c>
      <c r="L115" s="2">
        <v>10088.14</v>
      </c>
      <c r="M115" s="2">
        <v>1826.97</v>
      </c>
      <c r="N115" s="6" t="s">
        <v>58</v>
      </c>
      <c r="O115" s="6" t="s">
        <v>22</v>
      </c>
    </row>
    <row r="116" spans="1:15" x14ac:dyDescent="0.3">
      <c r="A116" s="2" t="s">
        <v>717</v>
      </c>
      <c r="B116" s="5">
        <v>45771</v>
      </c>
      <c r="C116" s="6" t="s">
        <v>54</v>
      </c>
      <c r="D116" s="6" t="s">
        <v>124</v>
      </c>
      <c r="E116" s="6" t="s">
        <v>74</v>
      </c>
      <c r="F116" s="6" t="s">
        <v>27</v>
      </c>
      <c r="G116" s="6" t="s">
        <v>125</v>
      </c>
      <c r="H116" s="2">
        <v>1</v>
      </c>
      <c r="I116" s="2">
        <v>7904</v>
      </c>
      <c r="J116" s="2">
        <v>0.08</v>
      </c>
      <c r="K116" s="2">
        <v>7271.68</v>
      </c>
      <c r="L116" s="2">
        <v>5418.97</v>
      </c>
      <c r="M116" s="2">
        <v>1852.71</v>
      </c>
      <c r="N116" s="6" t="s">
        <v>21</v>
      </c>
      <c r="O116" s="6" t="s">
        <v>22</v>
      </c>
    </row>
    <row r="117" spans="1:15" x14ac:dyDescent="0.3">
      <c r="A117" s="2" t="s">
        <v>1019</v>
      </c>
      <c r="B117" s="5">
        <v>45768</v>
      </c>
      <c r="C117" s="6" t="s">
        <v>54</v>
      </c>
      <c r="D117" s="6" t="s">
        <v>48</v>
      </c>
      <c r="E117" s="6" t="s">
        <v>49</v>
      </c>
      <c r="F117" s="6" t="s">
        <v>27</v>
      </c>
      <c r="G117" s="6" t="s">
        <v>125</v>
      </c>
      <c r="H117" s="2">
        <v>1</v>
      </c>
      <c r="I117" s="2">
        <v>8992.7800000000007</v>
      </c>
      <c r="J117" s="2">
        <v>0.03</v>
      </c>
      <c r="K117" s="2">
        <v>8722.99</v>
      </c>
      <c r="L117" s="2">
        <v>6845.99</v>
      </c>
      <c r="M117" s="2">
        <v>1877</v>
      </c>
      <c r="N117" s="6" t="s">
        <v>21</v>
      </c>
      <c r="O117" s="6" t="s">
        <v>45</v>
      </c>
    </row>
    <row r="118" spans="1:15" x14ac:dyDescent="0.3">
      <c r="A118" s="2" t="s">
        <v>1318</v>
      </c>
      <c r="B118" s="5">
        <v>45942</v>
      </c>
      <c r="C118" s="6" t="s">
        <v>16</v>
      </c>
      <c r="D118" s="6" t="s">
        <v>52</v>
      </c>
      <c r="E118" s="6" t="s">
        <v>49</v>
      </c>
      <c r="F118" s="6" t="s">
        <v>43</v>
      </c>
      <c r="G118" s="6" t="s">
        <v>121</v>
      </c>
      <c r="H118" s="2">
        <v>2</v>
      </c>
      <c r="I118" s="2">
        <v>4805.45</v>
      </c>
      <c r="J118" s="2">
        <v>0.05</v>
      </c>
      <c r="K118" s="2">
        <v>9130.36</v>
      </c>
      <c r="L118" s="2">
        <v>7183.3</v>
      </c>
      <c r="M118" s="2">
        <v>1947.06</v>
      </c>
      <c r="N118" s="6" t="s">
        <v>21</v>
      </c>
      <c r="O118" s="6" t="s">
        <v>30</v>
      </c>
    </row>
    <row r="119" spans="1:15" x14ac:dyDescent="0.3">
      <c r="A119" s="2" t="s">
        <v>616</v>
      </c>
      <c r="B119" s="5">
        <v>45993</v>
      </c>
      <c r="C119" s="6" t="s">
        <v>63</v>
      </c>
      <c r="D119" s="6" t="s">
        <v>88</v>
      </c>
      <c r="E119" s="6" t="s">
        <v>65</v>
      </c>
      <c r="F119" s="6" t="s">
        <v>27</v>
      </c>
      <c r="G119" s="6" t="s">
        <v>66</v>
      </c>
      <c r="H119" s="2">
        <v>1</v>
      </c>
      <c r="I119" s="2">
        <v>11362.48</v>
      </c>
      <c r="J119" s="2">
        <v>0.05</v>
      </c>
      <c r="K119" s="2">
        <v>10794.36</v>
      </c>
      <c r="L119" s="2">
        <v>8840.5400000000009</v>
      </c>
      <c r="M119" s="2">
        <v>1953.82</v>
      </c>
      <c r="N119" s="6" t="s">
        <v>58</v>
      </c>
      <c r="O119" s="6" t="s">
        <v>45</v>
      </c>
    </row>
    <row r="120" spans="1:15" x14ac:dyDescent="0.3">
      <c r="A120" s="2" t="s">
        <v>298</v>
      </c>
      <c r="B120" s="5">
        <v>45822</v>
      </c>
      <c r="C120" s="6" t="s">
        <v>63</v>
      </c>
      <c r="D120" s="6" t="s">
        <v>64</v>
      </c>
      <c r="E120" s="6" t="s">
        <v>49</v>
      </c>
      <c r="F120" s="6" t="s">
        <v>34</v>
      </c>
      <c r="G120" s="6" t="s">
        <v>80</v>
      </c>
      <c r="H120" s="2">
        <v>2</v>
      </c>
      <c r="I120" s="2">
        <v>4736.07</v>
      </c>
      <c r="J120" s="2">
        <v>0.1</v>
      </c>
      <c r="K120" s="2">
        <v>8524.92</v>
      </c>
      <c r="L120" s="2">
        <v>6563.01</v>
      </c>
      <c r="M120" s="2">
        <v>1961.91</v>
      </c>
      <c r="N120" s="6" t="s">
        <v>58</v>
      </c>
      <c r="O120" s="6" t="s">
        <v>59</v>
      </c>
    </row>
    <row r="121" spans="1:15" x14ac:dyDescent="0.3">
      <c r="A121" s="2" t="s">
        <v>1123</v>
      </c>
      <c r="B121" s="5">
        <v>46015</v>
      </c>
      <c r="C121" s="6" t="s">
        <v>54</v>
      </c>
      <c r="D121" s="6" t="s">
        <v>55</v>
      </c>
      <c r="E121" s="6" t="s">
        <v>69</v>
      </c>
      <c r="F121" s="6" t="s">
        <v>43</v>
      </c>
      <c r="G121" s="6" t="s">
        <v>121</v>
      </c>
      <c r="H121" s="2">
        <v>2</v>
      </c>
      <c r="I121" s="2">
        <v>4956.76</v>
      </c>
      <c r="J121" s="2">
        <v>0.03</v>
      </c>
      <c r="K121" s="2">
        <v>9616.11</v>
      </c>
      <c r="L121" s="2">
        <v>7639.49</v>
      </c>
      <c r="M121" s="2">
        <v>1976.62</v>
      </c>
      <c r="N121" s="6" t="s">
        <v>21</v>
      </c>
      <c r="O121" s="6" t="s">
        <v>59</v>
      </c>
    </row>
    <row r="122" spans="1:15" x14ac:dyDescent="0.3">
      <c r="A122" s="2" t="s">
        <v>855</v>
      </c>
      <c r="B122" s="5">
        <v>45730</v>
      </c>
      <c r="C122" s="6" t="s">
        <v>16</v>
      </c>
      <c r="D122" s="6" t="s">
        <v>82</v>
      </c>
      <c r="E122" s="6" t="s">
        <v>33</v>
      </c>
      <c r="F122" s="6" t="s">
        <v>19</v>
      </c>
      <c r="G122" s="6" t="s">
        <v>20</v>
      </c>
      <c r="H122" s="2">
        <v>8</v>
      </c>
      <c r="I122" s="2">
        <v>702.71</v>
      </c>
      <c r="J122" s="2">
        <v>0.03</v>
      </c>
      <c r="K122" s="2">
        <v>5452.99</v>
      </c>
      <c r="L122" s="2">
        <v>3430.55</v>
      </c>
      <c r="M122" s="2">
        <v>2022.44</v>
      </c>
      <c r="N122" s="6" t="s">
        <v>58</v>
      </c>
      <c r="O122" s="6" t="s">
        <v>40</v>
      </c>
    </row>
    <row r="123" spans="1:15" x14ac:dyDescent="0.3">
      <c r="A123" s="2" t="s">
        <v>525</v>
      </c>
      <c r="B123" s="5">
        <v>46018</v>
      </c>
      <c r="C123" s="6" t="s">
        <v>37</v>
      </c>
      <c r="D123" s="6" t="s">
        <v>42</v>
      </c>
      <c r="E123" s="6" t="s">
        <v>74</v>
      </c>
      <c r="F123" s="6" t="s">
        <v>34</v>
      </c>
      <c r="G123" s="6" t="s">
        <v>80</v>
      </c>
      <c r="H123" s="2">
        <v>2</v>
      </c>
      <c r="I123" s="2">
        <v>4638.5</v>
      </c>
      <c r="J123" s="2">
        <v>0.03</v>
      </c>
      <c r="K123" s="2">
        <v>8998.68</v>
      </c>
      <c r="L123" s="2">
        <v>6929.7</v>
      </c>
      <c r="M123" s="2">
        <v>2068.98</v>
      </c>
      <c r="N123" s="6" t="s">
        <v>29</v>
      </c>
      <c r="O123" s="6" t="s">
        <v>45</v>
      </c>
    </row>
    <row r="124" spans="1:15" x14ac:dyDescent="0.3">
      <c r="A124" s="2" t="s">
        <v>686</v>
      </c>
      <c r="B124" s="5">
        <v>45931</v>
      </c>
      <c r="C124" s="6" t="s">
        <v>37</v>
      </c>
      <c r="D124" s="6" t="s">
        <v>42</v>
      </c>
      <c r="E124" s="6" t="s">
        <v>56</v>
      </c>
      <c r="F124" s="6" t="s">
        <v>27</v>
      </c>
      <c r="G124" s="6" t="s">
        <v>125</v>
      </c>
      <c r="H124" s="2">
        <v>1</v>
      </c>
      <c r="I124" s="2">
        <v>8699.11</v>
      </c>
      <c r="J124" s="2">
        <v>0.05</v>
      </c>
      <c r="K124" s="2">
        <v>8264.16</v>
      </c>
      <c r="L124" s="2">
        <v>6172.42</v>
      </c>
      <c r="M124" s="2">
        <v>2091.7399999999998</v>
      </c>
      <c r="N124" s="6" t="s">
        <v>29</v>
      </c>
      <c r="O124" s="6" t="s">
        <v>45</v>
      </c>
    </row>
    <row r="125" spans="1:15" x14ac:dyDescent="0.3">
      <c r="A125" s="2" t="s">
        <v>775</v>
      </c>
      <c r="B125" s="5">
        <v>45821</v>
      </c>
      <c r="C125" s="6" t="s">
        <v>63</v>
      </c>
      <c r="D125" s="6" t="s">
        <v>95</v>
      </c>
      <c r="E125" s="6" t="s">
        <v>69</v>
      </c>
      <c r="F125" s="6" t="s">
        <v>19</v>
      </c>
      <c r="G125" s="6" t="s">
        <v>61</v>
      </c>
      <c r="H125" s="2">
        <v>1</v>
      </c>
      <c r="I125" s="2">
        <v>8621.98</v>
      </c>
      <c r="J125" s="2">
        <v>0.15</v>
      </c>
      <c r="K125" s="2">
        <v>7328.68</v>
      </c>
      <c r="L125" s="2">
        <v>5223.3599999999997</v>
      </c>
      <c r="M125" s="2">
        <v>2105.3200000000002</v>
      </c>
      <c r="N125" s="6" t="s">
        <v>29</v>
      </c>
      <c r="O125" s="6" t="s">
        <v>59</v>
      </c>
    </row>
    <row r="126" spans="1:15" x14ac:dyDescent="0.3">
      <c r="A126" s="2" t="s">
        <v>1291</v>
      </c>
      <c r="B126" s="5">
        <v>45821</v>
      </c>
      <c r="C126" s="6" t="s">
        <v>63</v>
      </c>
      <c r="D126" s="6" t="s">
        <v>64</v>
      </c>
      <c r="E126" s="6" t="s">
        <v>33</v>
      </c>
      <c r="F126" s="6" t="s">
        <v>34</v>
      </c>
      <c r="G126" s="6" t="s">
        <v>80</v>
      </c>
      <c r="H126" s="2">
        <v>3</v>
      </c>
      <c r="I126" s="2">
        <v>4684.96</v>
      </c>
      <c r="J126" s="2">
        <v>0</v>
      </c>
      <c r="K126" s="2">
        <v>14054.87</v>
      </c>
      <c r="L126" s="2">
        <v>11949.33</v>
      </c>
      <c r="M126" s="2">
        <v>2105.54</v>
      </c>
      <c r="N126" s="6" t="s">
        <v>21</v>
      </c>
      <c r="O126" s="6" t="s">
        <v>40</v>
      </c>
    </row>
    <row r="127" spans="1:15" x14ac:dyDescent="0.3">
      <c r="A127" s="2" t="s">
        <v>980</v>
      </c>
      <c r="B127" s="5">
        <v>45837</v>
      </c>
      <c r="C127" s="6" t="s">
        <v>63</v>
      </c>
      <c r="D127" s="6" t="s">
        <v>117</v>
      </c>
      <c r="E127" s="6" t="s">
        <v>65</v>
      </c>
      <c r="F127" s="6" t="s">
        <v>43</v>
      </c>
      <c r="G127" s="6" t="s">
        <v>121</v>
      </c>
      <c r="H127" s="2">
        <v>3</v>
      </c>
      <c r="I127" s="2">
        <v>4772.91</v>
      </c>
      <c r="J127" s="2">
        <v>0.08</v>
      </c>
      <c r="K127" s="2">
        <v>13173.23</v>
      </c>
      <c r="L127" s="2">
        <v>11054.57</v>
      </c>
      <c r="M127" s="2">
        <v>2118.66</v>
      </c>
      <c r="N127" s="6" t="s">
        <v>58</v>
      </c>
      <c r="O127" s="6" t="s">
        <v>40</v>
      </c>
    </row>
    <row r="128" spans="1:15" x14ac:dyDescent="0.3">
      <c r="A128" s="2" t="s">
        <v>1228</v>
      </c>
      <c r="B128" s="5">
        <v>45935</v>
      </c>
      <c r="C128" s="6" t="s">
        <v>37</v>
      </c>
      <c r="D128" s="6" t="s">
        <v>38</v>
      </c>
      <c r="E128" s="6" t="s">
        <v>33</v>
      </c>
      <c r="F128" s="6" t="s">
        <v>27</v>
      </c>
      <c r="G128" s="6" t="s">
        <v>125</v>
      </c>
      <c r="H128" s="2">
        <v>1</v>
      </c>
      <c r="I128" s="2">
        <v>8778.9500000000007</v>
      </c>
      <c r="J128" s="2">
        <v>0.1</v>
      </c>
      <c r="K128" s="2">
        <v>7901.06</v>
      </c>
      <c r="L128" s="2">
        <v>5721.77</v>
      </c>
      <c r="M128" s="2">
        <v>2179.29</v>
      </c>
      <c r="N128" s="6" t="s">
        <v>29</v>
      </c>
      <c r="O128" s="6" t="s">
        <v>59</v>
      </c>
    </row>
    <row r="129" spans="1:15" x14ac:dyDescent="0.3">
      <c r="A129" s="2" t="s">
        <v>297</v>
      </c>
      <c r="B129" s="5">
        <v>45727</v>
      </c>
      <c r="C129" s="6" t="s">
        <v>54</v>
      </c>
      <c r="D129" s="6" t="s">
        <v>174</v>
      </c>
      <c r="E129" s="6" t="s">
        <v>49</v>
      </c>
      <c r="F129" s="6" t="s">
        <v>43</v>
      </c>
      <c r="G129" s="6" t="s">
        <v>44</v>
      </c>
      <c r="H129" s="2">
        <v>1</v>
      </c>
      <c r="I129" s="2">
        <v>11704.17</v>
      </c>
      <c r="J129" s="2">
        <v>0.03</v>
      </c>
      <c r="K129" s="2">
        <v>11353.04</v>
      </c>
      <c r="L129" s="2">
        <v>9141.99</v>
      </c>
      <c r="M129" s="2">
        <v>2211.0500000000002</v>
      </c>
      <c r="N129" s="6" t="s">
        <v>58</v>
      </c>
      <c r="O129" s="6" t="s">
        <v>59</v>
      </c>
    </row>
    <row r="130" spans="1:15" x14ac:dyDescent="0.3">
      <c r="A130" s="2" t="s">
        <v>915</v>
      </c>
      <c r="B130" s="5">
        <v>45925</v>
      </c>
      <c r="C130" s="6" t="s">
        <v>16</v>
      </c>
      <c r="D130" s="6" t="s">
        <v>52</v>
      </c>
      <c r="E130" s="6" t="s">
        <v>26</v>
      </c>
      <c r="F130" s="6" t="s">
        <v>34</v>
      </c>
      <c r="G130" s="6" t="s">
        <v>80</v>
      </c>
      <c r="H130" s="2">
        <v>3</v>
      </c>
      <c r="I130" s="2">
        <v>4192.74</v>
      </c>
      <c r="J130" s="2">
        <v>0.1</v>
      </c>
      <c r="K130" s="2">
        <v>11320.39</v>
      </c>
      <c r="L130" s="2">
        <v>9062.86</v>
      </c>
      <c r="M130" s="2">
        <v>2257.5300000000002</v>
      </c>
      <c r="N130" s="6" t="s">
        <v>58</v>
      </c>
      <c r="O130" s="6" t="s">
        <v>45</v>
      </c>
    </row>
    <row r="131" spans="1:15" x14ac:dyDescent="0.3">
      <c r="A131" s="2" t="s">
        <v>1308</v>
      </c>
      <c r="B131" s="5">
        <v>45769</v>
      </c>
      <c r="C131" s="6" t="s">
        <v>54</v>
      </c>
      <c r="D131" s="6" t="s">
        <v>48</v>
      </c>
      <c r="E131" s="6" t="s">
        <v>69</v>
      </c>
      <c r="F131" s="6" t="s">
        <v>43</v>
      </c>
      <c r="G131" s="6" t="s">
        <v>44</v>
      </c>
      <c r="H131" s="2">
        <v>1</v>
      </c>
      <c r="I131" s="2">
        <v>12646.89</v>
      </c>
      <c r="J131" s="2">
        <v>0</v>
      </c>
      <c r="K131" s="2">
        <v>12646.89</v>
      </c>
      <c r="L131" s="2">
        <v>10372.450000000001</v>
      </c>
      <c r="M131" s="2">
        <v>2274.44</v>
      </c>
      <c r="N131" s="6" t="s">
        <v>58</v>
      </c>
      <c r="O131" s="6" t="s">
        <v>45</v>
      </c>
    </row>
    <row r="132" spans="1:15" x14ac:dyDescent="0.3">
      <c r="A132" s="2" t="s">
        <v>1074</v>
      </c>
      <c r="B132" s="5">
        <v>45752</v>
      </c>
      <c r="C132" s="6" t="s">
        <v>63</v>
      </c>
      <c r="D132" s="6" t="s">
        <v>88</v>
      </c>
      <c r="E132" s="6" t="s">
        <v>33</v>
      </c>
      <c r="F132" s="6" t="s">
        <v>34</v>
      </c>
      <c r="G132" s="6" t="s">
        <v>80</v>
      </c>
      <c r="H132" s="2">
        <v>2</v>
      </c>
      <c r="I132" s="2">
        <v>4508.26</v>
      </c>
      <c r="J132" s="2">
        <v>0.08</v>
      </c>
      <c r="K132" s="2">
        <v>8295.19</v>
      </c>
      <c r="L132" s="2">
        <v>5961.35</v>
      </c>
      <c r="M132" s="2">
        <v>2333.84</v>
      </c>
      <c r="N132" s="6" t="s">
        <v>29</v>
      </c>
      <c r="O132" s="6" t="s">
        <v>45</v>
      </c>
    </row>
    <row r="133" spans="1:15" x14ac:dyDescent="0.3">
      <c r="A133" s="2" t="s">
        <v>939</v>
      </c>
      <c r="B133" s="5">
        <v>45661</v>
      </c>
      <c r="C133" s="6" t="s">
        <v>54</v>
      </c>
      <c r="D133" s="6" t="s">
        <v>174</v>
      </c>
      <c r="E133" s="6" t="s">
        <v>18</v>
      </c>
      <c r="F133" s="6" t="s">
        <v>27</v>
      </c>
      <c r="G133" s="6" t="s">
        <v>66</v>
      </c>
      <c r="H133" s="2">
        <v>1</v>
      </c>
      <c r="I133" s="2">
        <v>11062.52</v>
      </c>
      <c r="J133" s="2">
        <v>0.05</v>
      </c>
      <c r="K133" s="2">
        <v>10509.39</v>
      </c>
      <c r="L133" s="2">
        <v>8164.82</v>
      </c>
      <c r="M133" s="2">
        <v>2344.5700000000002</v>
      </c>
      <c r="N133" s="6" t="s">
        <v>21</v>
      </c>
      <c r="O133" s="6" t="s">
        <v>59</v>
      </c>
    </row>
    <row r="134" spans="1:15" x14ac:dyDescent="0.3">
      <c r="A134" s="2" t="s">
        <v>1117</v>
      </c>
      <c r="B134" s="5">
        <v>45911</v>
      </c>
      <c r="C134" s="6" t="s">
        <v>63</v>
      </c>
      <c r="D134" s="6" t="s">
        <v>95</v>
      </c>
      <c r="E134" s="6" t="s">
        <v>18</v>
      </c>
      <c r="F134" s="6" t="s">
        <v>34</v>
      </c>
      <c r="G134" s="6" t="s">
        <v>80</v>
      </c>
      <c r="H134" s="2">
        <v>3</v>
      </c>
      <c r="I134" s="2">
        <v>4291.4799999999996</v>
      </c>
      <c r="J134" s="2">
        <v>0.03</v>
      </c>
      <c r="K134" s="2">
        <v>12488.2</v>
      </c>
      <c r="L134" s="2">
        <v>10100.09</v>
      </c>
      <c r="M134" s="2">
        <v>2388.11</v>
      </c>
      <c r="N134" s="6" t="s">
        <v>21</v>
      </c>
      <c r="O134" s="6" t="s">
        <v>45</v>
      </c>
    </row>
    <row r="135" spans="1:15" x14ac:dyDescent="0.3">
      <c r="A135" s="2" t="s">
        <v>1127</v>
      </c>
      <c r="B135" s="5">
        <v>45724</v>
      </c>
      <c r="C135" s="6" t="s">
        <v>37</v>
      </c>
      <c r="D135" s="6" t="s">
        <v>68</v>
      </c>
      <c r="E135" s="6" t="s">
        <v>26</v>
      </c>
      <c r="F135" s="6" t="s">
        <v>34</v>
      </c>
      <c r="G135" s="6" t="s">
        <v>80</v>
      </c>
      <c r="H135" s="2">
        <v>2</v>
      </c>
      <c r="I135" s="2">
        <v>4216.12</v>
      </c>
      <c r="J135" s="2">
        <v>0.08</v>
      </c>
      <c r="K135" s="2">
        <v>7757.66</v>
      </c>
      <c r="L135" s="2">
        <v>5342.57</v>
      </c>
      <c r="M135" s="2">
        <v>2415.09</v>
      </c>
      <c r="N135" s="6" t="s">
        <v>58</v>
      </c>
      <c r="O135" s="6" t="s">
        <v>45</v>
      </c>
    </row>
    <row r="136" spans="1:15" x14ac:dyDescent="0.3">
      <c r="A136" s="2" t="s">
        <v>423</v>
      </c>
      <c r="B136" s="5">
        <v>45771</v>
      </c>
      <c r="C136" s="6" t="s">
        <v>63</v>
      </c>
      <c r="D136" s="6" t="s">
        <v>88</v>
      </c>
      <c r="E136" s="6" t="s">
        <v>69</v>
      </c>
      <c r="F136" s="6" t="s">
        <v>43</v>
      </c>
      <c r="G136" s="6" t="s">
        <v>121</v>
      </c>
      <c r="H136" s="2">
        <v>2</v>
      </c>
      <c r="I136" s="2">
        <v>4798.71</v>
      </c>
      <c r="J136" s="2">
        <v>0.08</v>
      </c>
      <c r="K136" s="2">
        <v>8829.6200000000008</v>
      </c>
      <c r="L136" s="2">
        <v>6380.5</v>
      </c>
      <c r="M136" s="2">
        <v>2449.12</v>
      </c>
      <c r="N136" s="6" t="s">
        <v>29</v>
      </c>
      <c r="O136" s="6" t="s">
        <v>45</v>
      </c>
    </row>
    <row r="137" spans="1:15" x14ac:dyDescent="0.3">
      <c r="A137" s="2" t="s">
        <v>60</v>
      </c>
      <c r="B137" s="5">
        <v>45756</v>
      </c>
      <c r="C137" s="6" t="s">
        <v>37</v>
      </c>
      <c r="D137" s="6" t="s">
        <v>38</v>
      </c>
      <c r="E137" s="6" t="s">
        <v>56</v>
      </c>
      <c r="F137" s="6" t="s">
        <v>19</v>
      </c>
      <c r="G137" s="6" t="s">
        <v>61</v>
      </c>
      <c r="H137" s="2">
        <v>1</v>
      </c>
      <c r="I137" s="2">
        <v>8371.52</v>
      </c>
      <c r="J137" s="2">
        <v>0.03</v>
      </c>
      <c r="K137" s="2">
        <v>8120.38</v>
      </c>
      <c r="L137" s="2">
        <v>5668.38</v>
      </c>
      <c r="M137" s="2">
        <v>2452</v>
      </c>
      <c r="N137" s="6" t="s">
        <v>29</v>
      </c>
      <c r="O137" s="6" t="s">
        <v>22</v>
      </c>
    </row>
    <row r="138" spans="1:15" x14ac:dyDescent="0.3">
      <c r="A138" s="2" t="s">
        <v>958</v>
      </c>
      <c r="B138" s="5">
        <v>45749</v>
      </c>
      <c r="C138" s="6" t="s">
        <v>16</v>
      </c>
      <c r="D138" s="6" t="s">
        <v>82</v>
      </c>
      <c r="E138" s="6" t="s">
        <v>69</v>
      </c>
      <c r="F138" s="6" t="s">
        <v>43</v>
      </c>
      <c r="G138" s="6" t="s">
        <v>44</v>
      </c>
      <c r="H138" s="2">
        <v>1</v>
      </c>
      <c r="I138" s="2">
        <v>12395.29</v>
      </c>
      <c r="J138" s="2">
        <v>0.1</v>
      </c>
      <c r="K138" s="2">
        <v>11155.76</v>
      </c>
      <c r="L138" s="2">
        <v>8663.52</v>
      </c>
      <c r="M138" s="2">
        <v>2492.2399999999998</v>
      </c>
      <c r="N138" s="6" t="s">
        <v>21</v>
      </c>
      <c r="O138" s="6" t="s">
        <v>40</v>
      </c>
    </row>
    <row r="139" spans="1:15" x14ac:dyDescent="0.3">
      <c r="A139" s="2" t="s">
        <v>92</v>
      </c>
      <c r="B139" s="5">
        <v>45943</v>
      </c>
      <c r="C139" s="6" t="s">
        <v>16</v>
      </c>
      <c r="D139" s="6" t="s">
        <v>32</v>
      </c>
      <c r="E139" s="6" t="s">
        <v>74</v>
      </c>
      <c r="F139" s="6" t="s">
        <v>34</v>
      </c>
      <c r="G139" s="6" t="s">
        <v>80</v>
      </c>
      <c r="H139" s="2">
        <v>3</v>
      </c>
      <c r="I139" s="2">
        <v>4782.2700000000004</v>
      </c>
      <c r="J139" s="2">
        <v>0.08</v>
      </c>
      <c r="K139" s="2">
        <v>13199.07</v>
      </c>
      <c r="L139" s="2">
        <v>10701.21</v>
      </c>
      <c r="M139" s="2">
        <v>2497.86</v>
      </c>
      <c r="N139" s="6" t="s">
        <v>29</v>
      </c>
      <c r="O139" s="6" t="s">
        <v>30</v>
      </c>
    </row>
    <row r="140" spans="1:15" x14ac:dyDescent="0.3">
      <c r="A140" s="2" t="s">
        <v>774</v>
      </c>
      <c r="B140" s="5">
        <v>45933</v>
      </c>
      <c r="C140" s="6" t="s">
        <v>37</v>
      </c>
      <c r="D140" s="6" t="s">
        <v>68</v>
      </c>
      <c r="E140" s="6" t="s">
        <v>65</v>
      </c>
      <c r="F140" s="6" t="s">
        <v>34</v>
      </c>
      <c r="G140" s="6" t="s">
        <v>80</v>
      </c>
      <c r="H140" s="2">
        <v>2</v>
      </c>
      <c r="I140" s="2">
        <v>4633.2</v>
      </c>
      <c r="J140" s="2">
        <v>0.08</v>
      </c>
      <c r="K140" s="2">
        <v>8525.1</v>
      </c>
      <c r="L140" s="2">
        <v>6022.12</v>
      </c>
      <c r="M140" s="2">
        <v>2502.98</v>
      </c>
      <c r="N140" s="6" t="s">
        <v>21</v>
      </c>
      <c r="O140" s="6" t="s">
        <v>59</v>
      </c>
    </row>
    <row r="141" spans="1:15" x14ac:dyDescent="0.3">
      <c r="A141" s="2" t="s">
        <v>431</v>
      </c>
      <c r="B141" s="5">
        <v>45903</v>
      </c>
      <c r="C141" s="6" t="s">
        <v>37</v>
      </c>
      <c r="D141" s="6" t="s">
        <v>38</v>
      </c>
      <c r="E141" s="6" t="s">
        <v>65</v>
      </c>
      <c r="F141" s="6" t="s">
        <v>34</v>
      </c>
      <c r="G141" s="6" t="s">
        <v>80</v>
      </c>
      <c r="H141" s="2">
        <v>2</v>
      </c>
      <c r="I141" s="2">
        <v>4522.96</v>
      </c>
      <c r="J141" s="2">
        <v>0.1</v>
      </c>
      <c r="K141" s="2">
        <v>8141.33</v>
      </c>
      <c r="L141" s="2">
        <v>5627.52</v>
      </c>
      <c r="M141" s="2">
        <v>2513.81</v>
      </c>
      <c r="N141" s="6" t="s">
        <v>21</v>
      </c>
      <c r="O141" s="6" t="s">
        <v>30</v>
      </c>
    </row>
    <row r="142" spans="1:15" x14ac:dyDescent="0.3">
      <c r="A142" s="2" t="s">
        <v>229</v>
      </c>
      <c r="B142" s="5">
        <v>45921</v>
      </c>
      <c r="C142" s="6" t="s">
        <v>54</v>
      </c>
      <c r="D142" s="6" t="s">
        <v>48</v>
      </c>
      <c r="E142" s="6" t="s">
        <v>74</v>
      </c>
      <c r="F142" s="6" t="s">
        <v>34</v>
      </c>
      <c r="G142" s="6" t="s">
        <v>80</v>
      </c>
      <c r="H142" s="2">
        <v>2</v>
      </c>
      <c r="I142" s="2">
        <v>4621.96</v>
      </c>
      <c r="J142" s="2">
        <v>0</v>
      </c>
      <c r="K142" s="2">
        <v>9243.92</v>
      </c>
      <c r="L142" s="2">
        <v>6728.32</v>
      </c>
      <c r="M142" s="2">
        <v>2515.6</v>
      </c>
      <c r="N142" s="6" t="s">
        <v>29</v>
      </c>
      <c r="O142" s="6" t="s">
        <v>30</v>
      </c>
    </row>
    <row r="143" spans="1:15" x14ac:dyDescent="0.3">
      <c r="A143" s="2" t="s">
        <v>665</v>
      </c>
      <c r="B143" s="5">
        <v>46010</v>
      </c>
      <c r="C143" s="6" t="s">
        <v>16</v>
      </c>
      <c r="D143" s="6" t="s">
        <v>52</v>
      </c>
      <c r="E143" s="6" t="s">
        <v>56</v>
      </c>
      <c r="F143" s="6" t="s">
        <v>27</v>
      </c>
      <c r="G143" s="6" t="s">
        <v>125</v>
      </c>
      <c r="H143" s="2">
        <v>2</v>
      </c>
      <c r="I143" s="2">
        <v>8261.09</v>
      </c>
      <c r="J143" s="2">
        <v>0.15</v>
      </c>
      <c r="K143" s="2">
        <v>14043.85</v>
      </c>
      <c r="L143" s="2">
        <v>11483.3</v>
      </c>
      <c r="M143" s="2">
        <v>2560.5500000000002</v>
      </c>
      <c r="N143" s="6" t="s">
        <v>58</v>
      </c>
      <c r="O143" s="6" t="s">
        <v>22</v>
      </c>
    </row>
    <row r="144" spans="1:15" x14ac:dyDescent="0.3">
      <c r="A144" s="2" t="s">
        <v>141</v>
      </c>
      <c r="B144" s="5">
        <v>45768</v>
      </c>
      <c r="C144" s="6" t="s">
        <v>63</v>
      </c>
      <c r="D144" s="6" t="s">
        <v>88</v>
      </c>
      <c r="E144" s="6" t="s">
        <v>26</v>
      </c>
      <c r="F144" s="6" t="s">
        <v>34</v>
      </c>
      <c r="G144" s="6" t="s">
        <v>80</v>
      </c>
      <c r="H144" s="2">
        <v>2</v>
      </c>
      <c r="I144" s="2">
        <v>4376.7</v>
      </c>
      <c r="J144" s="2">
        <v>0.08</v>
      </c>
      <c r="K144" s="2">
        <v>8053.13</v>
      </c>
      <c r="L144" s="2">
        <v>5457.08</v>
      </c>
      <c r="M144" s="2">
        <v>2596.0500000000002</v>
      </c>
      <c r="N144" s="6" t="s">
        <v>21</v>
      </c>
      <c r="O144" s="6" t="s">
        <v>22</v>
      </c>
    </row>
    <row r="145" spans="1:15" x14ac:dyDescent="0.3">
      <c r="A145" s="2" t="s">
        <v>738</v>
      </c>
      <c r="B145" s="5">
        <v>45705</v>
      </c>
      <c r="C145" s="6" t="s">
        <v>63</v>
      </c>
      <c r="D145" s="6" t="s">
        <v>117</v>
      </c>
      <c r="E145" s="6" t="s">
        <v>56</v>
      </c>
      <c r="F145" s="6" t="s">
        <v>19</v>
      </c>
      <c r="G145" s="6" t="s">
        <v>108</v>
      </c>
      <c r="H145" s="2">
        <v>1</v>
      </c>
      <c r="I145" s="2">
        <v>15766.16</v>
      </c>
      <c r="J145" s="2">
        <v>0.05</v>
      </c>
      <c r="K145" s="2">
        <v>14977.85</v>
      </c>
      <c r="L145" s="2">
        <v>12377.48</v>
      </c>
      <c r="M145" s="2">
        <v>2600.37</v>
      </c>
      <c r="N145" s="6" t="s">
        <v>21</v>
      </c>
      <c r="O145" s="6" t="s">
        <v>22</v>
      </c>
    </row>
    <row r="146" spans="1:15" x14ac:dyDescent="0.3">
      <c r="A146" s="2" t="s">
        <v>1354</v>
      </c>
      <c r="B146" s="5">
        <v>45784</v>
      </c>
      <c r="C146" s="6" t="s">
        <v>16</v>
      </c>
      <c r="D146" s="6" t="s">
        <v>17</v>
      </c>
      <c r="E146" s="6" t="s">
        <v>26</v>
      </c>
      <c r="F146" s="6" t="s">
        <v>19</v>
      </c>
      <c r="G146" s="6" t="s">
        <v>108</v>
      </c>
      <c r="H146" s="2">
        <v>1</v>
      </c>
      <c r="I146" s="2">
        <v>14758.32</v>
      </c>
      <c r="J146" s="2">
        <v>0.05</v>
      </c>
      <c r="K146" s="2">
        <v>14020.4</v>
      </c>
      <c r="L146" s="2">
        <v>11418.91</v>
      </c>
      <c r="M146" s="2">
        <v>2601.4899999999998</v>
      </c>
      <c r="N146" s="6" t="s">
        <v>21</v>
      </c>
      <c r="O146" s="6" t="s">
        <v>59</v>
      </c>
    </row>
    <row r="147" spans="1:15" x14ac:dyDescent="0.3">
      <c r="A147" s="2" t="s">
        <v>484</v>
      </c>
      <c r="B147" s="5">
        <v>45909</v>
      </c>
      <c r="C147" s="6" t="s">
        <v>16</v>
      </c>
      <c r="D147" s="6" t="s">
        <v>17</v>
      </c>
      <c r="E147" s="6" t="s">
        <v>49</v>
      </c>
      <c r="F147" s="6" t="s">
        <v>19</v>
      </c>
      <c r="G147" s="6" t="s">
        <v>108</v>
      </c>
      <c r="H147" s="2">
        <v>1</v>
      </c>
      <c r="I147" s="2">
        <v>14632.53</v>
      </c>
      <c r="J147" s="2">
        <v>0.05</v>
      </c>
      <c r="K147" s="2">
        <v>13900.9</v>
      </c>
      <c r="L147" s="2">
        <v>11269.12</v>
      </c>
      <c r="M147" s="2">
        <v>2631.78</v>
      </c>
      <c r="N147" s="6" t="s">
        <v>21</v>
      </c>
      <c r="O147" s="6" t="s">
        <v>22</v>
      </c>
    </row>
    <row r="148" spans="1:15" x14ac:dyDescent="0.3">
      <c r="A148" s="2" t="s">
        <v>105</v>
      </c>
      <c r="B148" s="5">
        <v>46003</v>
      </c>
      <c r="C148" s="6" t="s">
        <v>37</v>
      </c>
      <c r="D148" s="6" t="s">
        <v>25</v>
      </c>
      <c r="E148" s="6" t="s">
        <v>49</v>
      </c>
      <c r="F148" s="6" t="s">
        <v>19</v>
      </c>
      <c r="G148" s="6" t="s">
        <v>106</v>
      </c>
      <c r="H148" s="2">
        <v>1</v>
      </c>
      <c r="I148" s="2">
        <v>13773.36</v>
      </c>
      <c r="J148" s="2">
        <v>0.05</v>
      </c>
      <c r="K148" s="2">
        <v>13084.69</v>
      </c>
      <c r="L148" s="2">
        <v>10449.040000000001</v>
      </c>
      <c r="M148" s="2">
        <v>2635.65</v>
      </c>
      <c r="N148" s="6" t="s">
        <v>21</v>
      </c>
      <c r="O148" s="6" t="s">
        <v>45</v>
      </c>
    </row>
    <row r="149" spans="1:15" x14ac:dyDescent="0.3">
      <c r="A149" s="2" t="s">
        <v>986</v>
      </c>
      <c r="B149" s="5">
        <v>45865</v>
      </c>
      <c r="C149" s="6" t="s">
        <v>37</v>
      </c>
      <c r="D149" s="6" t="s">
        <v>68</v>
      </c>
      <c r="E149" s="6" t="s">
        <v>18</v>
      </c>
      <c r="F149" s="6" t="s">
        <v>43</v>
      </c>
      <c r="G149" s="6" t="s">
        <v>121</v>
      </c>
      <c r="H149" s="2">
        <v>4</v>
      </c>
      <c r="I149" s="2">
        <v>5068.97</v>
      </c>
      <c r="J149" s="2">
        <v>0.08</v>
      </c>
      <c r="K149" s="2">
        <v>18653.8</v>
      </c>
      <c r="L149" s="2">
        <v>16011.62</v>
      </c>
      <c r="M149" s="2">
        <v>2642.18</v>
      </c>
      <c r="N149" s="6" t="s">
        <v>21</v>
      </c>
      <c r="O149" s="6" t="s">
        <v>22</v>
      </c>
    </row>
    <row r="150" spans="1:15" x14ac:dyDescent="0.3">
      <c r="A150" s="2" t="s">
        <v>1340</v>
      </c>
      <c r="B150" s="5">
        <v>45673</v>
      </c>
      <c r="C150" s="6" t="s">
        <v>37</v>
      </c>
      <c r="D150" s="6" t="s">
        <v>38</v>
      </c>
      <c r="E150" s="6" t="s">
        <v>33</v>
      </c>
      <c r="F150" s="6" t="s">
        <v>34</v>
      </c>
      <c r="G150" s="6" t="s">
        <v>80</v>
      </c>
      <c r="H150" s="2">
        <v>2</v>
      </c>
      <c r="I150" s="2">
        <v>4687.6000000000004</v>
      </c>
      <c r="J150" s="2">
        <v>0.05</v>
      </c>
      <c r="K150" s="2">
        <v>8906.44</v>
      </c>
      <c r="L150" s="2">
        <v>6254.94</v>
      </c>
      <c r="M150" s="2">
        <v>2651.5</v>
      </c>
      <c r="N150" s="6" t="s">
        <v>58</v>
      </c>
      <c r="O150" s="6" t="s">
        <v>59</v>
      </c>
    </row>
    <row r="151" spans="1:15" x14ac:dyDescent="0.3">
      <c r="A151" s="2" t="s">
        <v>820</v>
      </c>
      <c r="B151" s="5">
        <v>45666</v>
      </c>
      <c r="C151" s="6" t="s">
        <v>16</v>
      </c>
      <c r="D151" s="6" t="s">
        <v>52</v>
      </c>
      <c r="E151" s="6" t="s">
        <v>26</v>
      </c>
      <c r="F151" s="6" t="s">
        <v>34</v>
      </c>
      <c r="G151" s="6" t="s">
        <v>35</v>
      </c>
      <c r="H151" s="2">
        <v>1</v>
      </c>
      <c r="I151" s="2">
        <v>17065.669999999998</v>
      </c>
      <c r="J151" s="2">
        <v>0.03</v>
      </c>
      <c r="K151" s="2">
        <v>16553.7</v>
      </c>
      <c r="L151" s="2">
        <v>13899.15</v>
      </c>
      <c r="M151" s="2">
        <v>2654.55</v>
      </c>
      <c r="N151" s="6" t="s">
        <v>21</v>
      </c>
      <c r="O151" s="6" t="s">
        <v>30</v>
      </c>
    </row>
    <row r="152" spans="1:15" x14ac:dyDescent="0.3">
      <c r="A152" s="2" t="s">
        <v>745</v>
      </c>
      <c r="B152" s="5">
        <v>45838</v>
      </c>
      <c r="C152" s="6" t="s">
        <v>37</v>
      </c>
      <c r="D152" s="6" t="s">
        <v>68</v>
      </c>
      <c r="E152" s="6" t="s">
        <v>56</v>
      </c>
      <c r="F152" s="6" t="s">
        <v>43</v>
      </c>
      <c r="G152" s="6" t="s">
        <v>44</v>
      </c>
      <c r="H152" s="2">
        <v>1</v>
      </c>
      <c r="I152" s="2">
        <v>11728.76</v>
      </c>
      <c r="J152" s="2">
        <v>0.05</v>
      </c>
      <c r="K152" s="2">
        <v>11142.32</v>
      </c>
      <c r="L152" s="2">
        <v>8471</v>
      </c>
      <c r="M152" s="2">
        <v>2671.32</v>
      </c>
      <c r="N152" s="6" t="s">
        <v>29</v>
      </c>
      <c r="O152" s="6" t="s">
        <v>45</v>
      </c>
    </row>
    <row r="153" spans="1:15" x14ac:dyDescent="0.3">
      <c r="A153" s="2" t="s">
        <v>343</v>
      </c>
      <c r="B153" s="5">
        <v>45796</v>
      </c>
      <c r="C153" s="6" t="s">
        <v>16</v>
      </c>
      <c r="D153" s="6" t="s">
        <v>52</v>
      </c>
      <c r="E153" s="6" t="s">
        <v>26</v>
      </c>
      <c r="F153" s="6" t="s">
        <v>19</v>
      </c>
      <c r="G153" s="6" t="s">
        <v>61</v>
      </c>
      <c r="H153" s="2">
        <v>1</v>
      </c>
      <c r="I153" s="2">
        <v>9010.7199999999993</v>
      </c>
      <c r="J153" s="2">
        <v>0.08</v>
      </c>
      <c r="K153" s="2">
        <v>8289.86</v>
      </c>
      <c r="L153" s="2">
        <v>5607.34</v>
      </c>
      <c r="M153" s="2">
        <v>2682.52</v>
      </c>
      <c r="N153" s="6" t="s">
        <v>29</v>
      </c>
      <c r="O153" s="6" t="s">
        <v>22</v>
      </c>
    </row>
    <row r="154" spans="1:15" x14ac:dyDescent="0.3">
      <c r="A154" s="2" t="s">
        <v>389</v>
      </c>
      <c r="B154" s="5">
        <v>45774</v>
      </c>
      <c r="C154" s="6" t="s">
        <v>16</v>
      </c>
      <c r="D154" s="6" t="s">
        <v>82</v>
      </c>
      <c r="E154" s="6" t="s">
        <v>18</v>
      </c>
      <c r="F154" s="6" t="s">
        <v>27</v>
      </c>
      <c r="G154" s="6" t="s">
        <v>66</v>
      </c>
      <c r="H154" s="2">
        <v>1</v>
      </c>
      <c r="I154" s="2">
        <v>10199.040000000001</v>
      </c>
      <c r="J154" s="2">
        <v>0.08</v>
      </c>
      <c r="K154" s="2">
        <v>9383.1200000000008</v>
      </c>
      <c r="L154" s="2">
        <v>6654.64</v>
      </c>
      <c r="M154" s="2">
        <v>2728.48</v>
      </c>
      <c r="N154" s="6" t="s">
        <v>21</v>
      </c>
      <c r="O154" s="6" t="s">
        <v>22</v>
      </c>
    </row>
    <row r="155" spans="1:15" x14ac:dyDescent="0.3">
      <c r="A155" s="2" t="s">
        <v>1231</v>
      </c>
      <c r="B155" s="5">
        <v>45715</v>
      </c>
      <c r="C155" s="6" t="s">
        <v>1356</v>
      </c>
      <c r="D155" s="6" t="s">
        <v>64</v>
      </c>
      <c r="E155" s="6" t="s">
        <v>33</v>
      </c>
      <c r="F155" s="6" t="s">
        <v>34</v>
      </c>
      <c r="G155" s="6" t="s">
        <v>80</v>
      </c>
      <c r="H155" s="2">
        <v>3</v>
      </c>
      <c r="I155" s="2">
        <v>4381</v>
      </c>
      <c r="J155" s="2">
        <v>0.03</v>
      </c>
      <c r="K155" s="2">
        <v>12748.71</v>
      </c>
      <c r="L155" s="2">
        <v>9985.23</v>
      </c>
      <c r="M155" s="2">
        <v>2763.48</v>
      </c>
      <c r="N155" s="6" t="s">
        <v>29</v>
      </c>
      <c r="O155" s="6" t="s">
        <v>45</v>
      </c>
    </row>
    <row r="156" spans="1:15" x14ac:dyDescent="0.3">
      <c r="A156" s="2" t="s">
        <v>1049</v>
      </c>
      <c r="B156" s="5">
        <v>45678</v>
      </c>
      <c r="C156" s="6" t="s">
        <v>37</v>
      </c>
      <c r="D156" s="6" t="s">
        <v>42</v>
      </c>
      <c r="E156" s="6" t="s">
        <v>26</v>
      </c>
      <c r="F156" s="6" t="s">
        <v>34</v>
      </c>
      <c r="G156" s="6" t="s">
        <v>35</v>
      </c>
      <c r="H156" s="2">
        <v>1</v>
      </c>
      <c r="I156" s="2">
        <v>18008.189999999999</v>
      </c>
      <c r="J156" s="2">
        <v>0</v>
      </c>
      <c r="K156" s="2">
        <v>18008.189999999999</v>
      </c>
      <c r="L156" s="2">
        <v>15237.38</v>
      </c>
      <c r="M156" s="2">
        <v>2770.81</v>
      </c>
      <c r="N156" s="6" t="s">
        <v>58</v>
      </c>
      <c r="O156" s="6" t="s">
        <v>30</v>
      </c>
    </row>
    <row r="157" spans="1:15" x14ac:dyDescent="0.3">
      <c r="A157" s="2" t="s">
        <v>886</v>
      </c>
      <c r="B157" s="5">
        <v>46021</v>
      </c>
      <c r="C157" s="6" t="s">
        <v>16</v>
      </c>
      <c r="D157" s="6" t="s">
        <v>52</v>
      </c>
      <c r="E157" s="6" t="s">
        <v>65</v>
      </c>
      <c r="F157" s="6" t="s">
        <v>43</v>
      </c>
      <c r="G157" s="6" t="s">
        <v>121</v>
      </c>
      <c r="H157" s="2">
        <v>3</v>
      </c>
      <c r="I157" s="2">
        <v>4751.26</v>
      </c>
      <c r="J157" s="2">
        <v>0.1</v>
      </c>
      <c r="K157" s="2">
        <v>12828.41</v>
      </c>
      <c r="L157" s="2">
        <v>10029.31</v>
      </c>
      <c r="M157" s="2">
        <v>2799.1</v>
      </c>
      <c r="N157" s="6" t="s">
        <v>21</v>
      </c>
      <c r="O157" s="6" t="s">
        <v>59</v>
      </c>
    </row>
    <row r="158" spans="1:15" x14ac:dyDescent="0.3">
      <c r="A158" s="2" t="s">
        <v>1355</v>
      </c>
      <c r="B158" s="5">
        <v>45802</v>
      </c>
      <c r="C158" s="6" t="s">
        <v>16</v>
      </c>
      <c r="D158" s="6" t="s">
        <v>17</v>
      </c>
      <c r="E158" s="6" t="s">
        <v>18</v>
      </c>
      <c r="F158" s="6" t="s">
        <v>34</v>
      </c>
      <c r="G158" s="6" t="s">
        <v>80</v>
      </c>
      <c r="H158" s="2">
        <v>3</v>
      </c>
      <c r="I158" s="2">
        <v>4319.0600000000004</v>
      </c>
      <c r="J158" s="2">
        <v>0.05</v>
      </c>
      <c r="K158" s="2">
        <v>12309.32</v>
      </c>
      <c r="L158" s="2">
        <v>9504.91</v>
      </c>
      <c r="M158" s="2">
        <v>2804.41</v>
      </c>
      <c r="N158" s="6" t="s">
        <v>58</v>
      </c>
      <c r="O158" s="6" t="s">
        <v>22</v>
      </c>
    </row>
    <row r="159" spans="1:15" x14ac:dyDescent="0.3">
      <c r="A159" s="2" t="s">
        <v>1332</v>
      </c>
      <c r="B159" s="5">
        <v>45806</v>
      </c>
      <c r="C159" s="6" t="s">
        <v>54</v>
      </c>
      <c r="D159" s="6" t="s">
        <v>48</v>
      </c>
      <c r="E159" s="6" t="s">
        <v>26</v>
      </c>
      <c r="F159" s="6" t="s">
        <v>43</v>
      </c>
      <c r="G159" s="6" t="s">
        <v>121</v>
      </c>
      <c r="H159" s="2">
        <v>2</v>
      </c>
      <c r="I159" s="2">
        <v>4870.12</v>
      </c>
      <c r="J159" s="2">
        <v>0.05</v>
      </c>
      <c r="K159" s="2">
        <v>9253.24</v>
      </c>
      <c r="L159" s="2">
        <v>6440.74</v>
      </c>
      <c r="M159" s="2">
        <v>2812.5</v>
      </c>
      <c r="N159" s="6" t="s">
        <v>21</v>
      </c>
      <c r="O159" s="6" t="s">
        <v>22</v>
      </c>
    </row>
    <row r="160" spans="1:15" x14ac:dyDescent="0.3">
      <c r="A160" s="2" t="s">
        <v>879</v>
      </c>
      <c r="B160" s="5">
        <v>45718</v>
      </c>
      <c r="C160" s="6" t="s">
        <v>54</v>
      </c>
      <c r="D160" s="6" t="s">
        <v>124</v>
      </c>
      <c r="E160" s="6" t="s">
        <v>69</v>
      </c>
      <c r="F160" s="6" t="s">
        <v>43</v>
      </c>
      <c r="G160" s="6" t="s">
        <v>121</v>
      </c>
      <c r="H160" s="2">
        <v>2</v>
      </c>
      <c r="I160" s="2">
        <v>5111.51</v>
      </c>
      <c r="J160" s="2">
        <v>0</v>
      </c>
      <c r="K160" s="2">
        <v>10223.02</v>
      </c>
      <c r="L160" s="2">
        <v>7394.06</v>
      </c>
      <c r="M160" s="2">
        <v>2828.96</v>
      </c>
      <c r="N160" s="6" t="s">
        <v>58</v>
      </c>
      <c r="O160" s="6" t="s">
        <v>40</v>
      </c>
    </row>
    <row r="161" spans="1:15" x14ac:dyDescent="0.3">
      <c r="A161" s="2" t="s">
        <v>685</v>
      </c>
      <c r="B161" s="5">
        <v>45823</v>
      </c>
      <c r="C161" s="6" t="s">
        <v>16</v>
      </c>
      <c r="D161" s="6" t="s">
        <v>82</v>
      </c>
      <c r="E161" s="6" t="s">
        <v>18</v>
      </c>
      <c r="F161" s="6" t="s">
        <v>34</v>
      </c>
      <c r="G161" s="6" t="s">
        <v>80</v>
      </c>
      <c r="H161" s="2">
        <v>3</v>
      </c>
      <c r="I161" s="2">
        <v>4257.76</v>
      </c>
      <c r="J161" s="2">
        <v>0.03</v>
      </c>
      <c r="K161" s="2">
        <v>12390.08</v>
      </c>
      <c r="L161" s="2">
        <v>9528.7800000000007</v>
      </c>
      <c r="M161" s="2">
        <v>2861.3</v>
      </c>
      <c r="N161" s="6" t="s">
        <v>58</v>
      </c>
      <c r="O161" s="6" t="s">
        <v>40</v>
      </c>
    </row>
    <row r="162" spans="1:15" x14ac:dyDescent="0.3">
      <c r="A162" s="2" t="s">
        <v>426</v>
      </c>
      <c r="B162" s="5">
        <v>45790</v>
      </c>
      <c r="C162" s="6" t="s">
        <v>37</v>
      </c>
      <c r="D162" s="6" t="s">
        <v>68</v>
      </c>
      <c r="E162" s="6" t="s">
        <v>18</v>
      </c>
      <c r="F162" s="6" t="s">
        <v>19</v>
      </c>
      <c r="G162" s="6" t="s">
        <v>61</v>
      </c>
      <c r="H162" s="2">
        <v>1</v>
      </c>
      <c r="I162" s="2">
        <v>8654.74</v>
      </c>
      <c r="J162" s="2">
        <v>0.03</v>
      </c>
      <c r="K162" s="2">
        <v>8395.1</v>
      </c>
      <c r="L162" s="2">
        <v>5528.27</v>
      </c>
      <c r="M162" s="2">
        <v>2866.83</v>
      </c>
      <c r="N162" s="6" t="s">
        <v>58</v>
      </c>
      <c r="O162" s="6" t="s">
        <v>40</v>
      </c>
    </row>
    <row r="163" spans="1:15" x14ac:dyDescent="0.3">
      <c r="A163" s="2" t="s">
        <v>314</v>
      </c>
      <c r="B163" s="5">
        <v>45905</v>
      </c>
      <c r="C163" s="6" t="s">
        <v>54</v>
      </c>
      <c r="D163" s="6" t="s">
        <v>174</v>
      </c>
      <c r="E163" s="6" t="s">
        <v>74</v>
      </c>
      <c r="F163" s="6" t="s">
        <v>27</v>
      </c>
      <c r="G163" s="6" t="s">
        <v>66</v>
      </c>
      <c r="H163" s="2">
        <v>1</v>
      </c>
      <c r="I163" s="2">
        <v>10342.23</v>
      </c>
      <c r="J163" s="2">
        <v>0.08</v>
      </c>
      <c r="K163" s="2">
        <v>9514.85</v>
      </c>
      <c r="L163" s="2">
        <v>6641.6</v>
      </c>
      <c r="M163" s="2">
        <v>2873.25</v>
      </c>
      <c r="N163" s="6" t="s">
        <v>21</v>
      </c>
      <c r="O163" s="6" t="s">
        <v>30</v>
      </c>
    </row>
    <row r="164" spans="1:15" x14ac:dyDescent="0.3">
      <c r="A164" s="2" t="s">
        <v>836</v>
      </c>
      <c r="B164" s="5">
        <v>45893</v>
      </c>
      <c r="C164" s="6" t="s">
        <v>54</v>
      </c>
      <c r="D164" s="6" t="s">
        <v>48</v>
      </c>
      <c r="E164" s="6" t="s">
        <v>74</v>
      </c>
      <c r="F164" s="6" t="s">
        <v>43</v>
      </c>
      <c r="G164" s="6" t="s">
        <v>121</v>
      </c>
      <c r="H164" s="2">
        <v>3</v>
      </c>
      <c r="I164" s="2">
        <v>5287.07</v>
      </c>
      <c r="J164" s="2">
        <v>0.08</v>
      </c>
      <c r="K164" s="2">
        <v>14592.32</v>
      </c>
      <c r="L164" s="2">
        <v>11718.85</v>
      </c>
      <c r="M164" s="2">
        <v>2873.47</v>
      </c>
      <c r="N164" s="6" t="s">
        <v>21</v>
      </c>
      <c r="O164" s="6" t="s">
        <v>30</v>
      </c>
    </row>
    <row r="165" spans="1:15" x14ac:dyDescent="0.3">
      <c r="A165" s="2" t="s">
        <v>411</v>
      </c>
      <c r="B165" s="5">
        <v>45861</v>
      </c>
      <c r="C165" s="6" t="s">
        <v>54</v>
      </c>
      <c r="D165" s="6" t="s">
        <v>124</v>
      </c>
      <c r="E165" s="6" t="s">
        <v>49</v>
      </c>
      <c r="F165" s="6" t="s">
        <v>43</v>
      </c>
      <c r="G165" s="6" t="s">
        <v>121</v>
      </c>
      <c r="H165" s="2">
        <v>2</v>
      </c>
      <c r="I165" s="2">
        <v>5163.6400000000003</v>
      </c>
      <c r="J165" s="2">
        <v>0.05</v>
      </c>
      <c r="K165" s="2">
        <v>9810.92</v>
      </c>
      <c r="L165" s="2">
        <v>6898.7</v>
      </c>
      <c r="M165" s="2">
        <v>2912.22</v>
      </c>
      <c r="N165" s="6" t="s">
        <v>21</v>
      </c>
      <c r="O165" s="6" t="s">
        <v>22</v>
      </c>
    </row>
    <row r="166" spans="1:15" x14ac:dyDescent="0.3">
      <c r="A166" s="2" t="s">
        <v>1131</v>
      </c>
      <c r="B166" s="5">
        <v>45863</v>
      </c>
      <c r="C166" s="6" t="s">
        <v>54</v>
      </c>
      <c r="D166" s="6" t="s">
        <v>174</v>
      </c>
      <c r="E166" s="6" t="s">
        <v>33</v>
      </c>
      <c r="F166" s="6" t="s">
        <v>27</v>
      </c>
      <c r="G166" s="6" t="s">
        <v>125</v>
      </c>
      <c r="H166" s="2">
        <v>1</v>
      </c>
      <c r="I166" s="2">
        <v>8166.8</v>
      </c>
      <c r="J166" s="2">
        <v>0.03</v>
      </c>
      <c r="K166" s="2">
        <v>7921.8</v>
      </c>
      <c r="L166" s="2">
        <v>4986.1499999999996</v>
      </c>
      <c r="M166" s="2">
        <v>2935.65</v>
      </c>
      <c r="N166" s="6" t="s">
        <v>21</v>
      </c>
      <c r="O166" s="6" t="s">
        <v>40</v>
      </c>
    </row>
    <row r="167" spans="1:15" x14ac:dyDescent="0.3">
      <c r="A167" s="2" t="s">
        <v>372</v>
      </c>
      <c r="B167" s="5">
        <v>45791</v>
      </c>
      <c r="C167" s="6" t="s">
        <v>16</v>
      </c>
      <c r="D167" s="6" t="s">
        <v>52</v>
      </c>
      <c r="E167" s="6" t="s">
        <v>49</v>
      </c>
      <c r="F167" s="6" t="s">
        <v>34</v>
      </c>
      <c r="G167" s="6" t="s">
        <v>80</v>
      </c>
      <c r="H167" s="2">
        <v>2</v>
      </c>
      <c r="I167" s="2">
        <v>4694.51</v>
      </c>
      <c r="J167" s="2">
        <v>0.1</v>
      </c>
      <c r="K167" s="2">
        <v>8450.1299999999992</v>
      </c>
      <c r="L167" s="2">
        <v>5482.86</v>
      </c>
      <c r="M167" s="2">
        <v>2967.27</v>
      </c>
      <c r="N167" s="6" t="s">
        <v>29</v>
      </c>
      <c r="O167" s="6" t="s">
        <v>45</v>
      </c>
    </row>
    <row r="168" spans="1:15" x14ac:dyDescent="0.3">
      <c r="A168" s="2" t="s">
        <v>379</v>
      </c>
      <c r="B168" s="5">
        <v>45905</v>
      </c>
      <c r="C168" s="6" t="s">
        <v>16</v>
      </c>
      <c r="D168" s="6" t="s">
        <v>32</v>
      </c>
      <c r="E168" s="6" t="s">
        <v>56</v>
      </c>
      <c r="F168" s="6" t="s">
        <v>19</v>
      </c>
      <c r="G168" s="6" t="s">
        <v>61</v>
      </c>
      <c r="H168" s="2">
        <v>1</v>
      </c>
      <c r="I168" s="2">
        <v>9620.07</v>
      </c>
      <c r="J168" s="2">
        <v>0.05</v>
      </c>
      <c r="K168" s="2">
        <v>9139.07</v>
      </c>
      <c r="L168" s="2">
        <v>6171.25</v>
      </c>
      <c r="M168" s="2">
        <v>2967.82</v>
      </c>
      <c r="N168" s="6" t="s">
        <v>21</v>
      </c>
      <c r="O168" s="6" t="s">
        <v>59</v>
      </c>
    </row>
    <row r="169" spans="1:15" x14ac:dyDescent="0.3">
      <c r="A169" s="2" t="s">
        <v>1248</v>
      </c>
      <c r="B169" s="5">
        <v>45710</v>
      </c>
      <c r="C169" s="6" t="s">
        <v>63</v>
      </c>
      <c r="D169" s="6" t="s">
        <v>117</v>
      </c>
      <c r="E169" s="6" t="s">
        <v>49</v>
      </c>
      <c r="F169" s="6" t="s">
        <v>19</v>
      </c>
      <c r="G169" s="6" t="s">
        <v>108</v>
      </c>
      <c r="H169" s="2">
        <v>1</v>
      </c>
      <c r="I169" s="2">
        <v>15351.68</v>
      </c>
      <c r="J169" s="2">
        <v>0.03</v>
      </c>
      <c r="K169" s="2">
        <v>14891.13</v>
      </c>
      <c r="L169" s="2">
        <v>11914.78</v>
      </c>
      <c r="M169" s="2">
        <v>2976.35</v>
      </c>
      <c r="N169" s="6" t="s">
        <v>21</v>
      </c>
      <c r="O169" s="6" t="s">
        <v>45</v>
      </c>
    </row>
    <row r="170" spans="1:15" x14ac:dyDescent="0.3">
      <c r="A170" s="2" t="s">
        <v>680</v>
      </c>
      <c r="B170" s="5">
        <v>45812</v>
      </c>
      <c r="C170" s="6" t="s">
        <v>37</v>
      </c>
      <c r="D170" s="6" t="s">
        <v>25</v>
      </c>
      <c r="E170" s="6" t="s">
        <v>69</v>
      </c>
      <c r="F170" s="6" t="s">
        <v>34</v>
      </c>
      <c r="G170" s="6" t="s">
        <v>35</v>
      </c>
      <c r="H170" s="2">
        <v>1</v>
      </c>
      <c r="I170" s="2">
        <v>18799.86</v>
      </c>
      <c r="J170" s="2">
        <v>0.1</v>
      </c>
      <c r="K170" s="2">
        <v>16919.87</v>
      </c>
      <c r="L170" s="2">
        <v>13921.12</v>
      </c>
      <c r="M170" s="2">
        <v>2998.75</v>
      </c>
      <c r="N170" s="6" t="s">
        <v>29</v>
      </c>
      <c r="O170" s="6" t="s">
        <v>40</v>
      </c>
    </row>
    <row r="171" spans="1:15" x14ac:dyDescent="0.3">
      <c r="A171" s="2" t="s">
        <v>1142</v>
      </c>
      <c r="B171" s="5">
        <v>45947</v>
      </c>
      <c r="C171" s="6" t="s">
        <v>16</v>
      </c>
      <c r="D171" s="6" t="s">
        <v>82</v>
      </c>
      <c r="E171" s="6" t="s">
        <v>18</v>
      </c>
      <c r="F171" s="6" t="s">
        <v>34</v>
      </c>
      <c r="G171" s="6" t="s">
        <v>80</v>
      </c>
      <c r="H171" s="2">
        <v>4</v>
      </c>
      <c r="I171" s="2">
        <v>4332.29</v>
      </c>
      <c r="J171" s="2">
        <v>0.05</v>
      </c>
      <c r="K171" s="2">
        <v>16462.71</v>
      </c>
      <c r="L171" s="2">
        <v>13457.16</v>
      </c>
      <c r="M171" s="2">
        <v>3005.55</v>
      </c>
      <c r="N171" s="6" t="s">
        <v>21</v>
      </c>
      <c r="O171" s="6" t="s">
        <v>22</v>
      </c>
    </row>
    <row r="172" spans="1:15" x14ac:dyDescent="0.3">
      <c r="A172" s="2" t="s">
        <v>258</v>
      </c>
      <c r="B172" s="5">
        <v>45724</v>
      </c>
      <c r="C172" s="6" t="s">
        <v>16</v>
      </c>
      <c r="D172" s="6" t="s">
        <v>17</v>
      </c>
      <c r="E172" s="6" t="s">
        <v>33</v>
      </c>
      <c r="F172" s="6" t="s">
        <v>43</v>
      </c>
      <c r="G172" s="6" t="s">
        <v>121</v>
      </c>
      <c r="H172" s="2">
        <v>3</v>
      </c>
      <c r="I172" s="2">
        <v>5139.4399999999996</v>
      </c>
      <c r="J172" s="2">
        <v>0.05</v>
      </c>
      <c r="K172" s="2">
        <v>14647.41</v>
      </c>
      <c r="L172" s="2">
        <v>11617.47</v>
      </c>
      <c r="M172" s="2">
        <v>3029.94</v>
      </c>
      <c r="N172" s="6" t="s">
        <v>58</v>
      </c>
      <c r="O172" s="6" t="s">
        <v>40</v>
      </c>
    </row>
    <row r="173" spans="1:15" x14ac:dyDescent="0.3">
      <c r="A173" s="2" t="s">
        <v>885</v>
      </c>
      <c r="B173" s="5">
        <v>46013</v>
      </c>
      <c r="C173" s="6" t="s">
        <v>37</v>
      </c>
      <c r="D173" s="6" t="s">
        <v>42</v>
      </c>
      <c r="E173" s="6" t="s">
        <v>69</v>
      </c>
      <c r="F173" s="6" t="s">
        <v>27</v>
      </c>
      <c r="G173" s="6" t="s">
        <v>125</v>
      </c>
      <c r="H173" s="2">
        <v>2</v>
      </c>
      <c r="I173" s="2">
        <v>8088.06</v>
      </c>
      <c r="J173" s="2">
        <v>0.1</v>
      </c>
      <c r="K173" s="2">
        <v>14558.52</v>
      </c>
      <c r="L173" s="2">
        <v>11487.81</v>
      </c>
      <c r="M173" s="2">
        <v>3070.71</v>
      </c>
      <c r="N173" s="6" t="s">
        <v>21</v>
      </c>
      <c r="O173" s="6" t="s">
        <v>59</v>
      </c>
    </row>
    <row r="174" spans="1:15" x14ac:dyDescent="0.3">
      <c r="A174" s="2" t="s">
        <v>849</v>
      </c>
      <c r="B174" s="5">
        <v>46013</v>
      </c>
      <c r="C174" s="6" t="s">
        <v>63</v>
      </c>
      <c r="D174" s="6" t="s">
        <v>95</v>
      </c>
      <c r="E174" s="6" t="s">
        <v>18</v>
      </c>
      <c r="F174" s="6" t="s">
        <v>34</v>
      </c>
      <c r="G174" s="6" t="s">
        <v>35</v>
      </c>
      <c r="H174" s="2">
        <v>1</v>
      </c>
      <c r="I174" s="2">
        <v>16568.39</v>
      </c>
      <c r="J174" s="2">
        <v>0</v>
      </c>
      <c r="K174" s="2">
        <v>16568.39</v>
      </c>
      <c r="L174" s="2">
        <v>13488.5</v>
      </c>
      <c r="M174" s="2">
        <v>3079.89</v>
      </c>
      <c r="N174" s="6" t="s">
        <v>29</v>
      </c>
      <c r="O174" s="6" t="s">
        <v>30</v>
      </c>
    </row>
    <row r="175" spans="1:15" x14ac:dyDescent="0.3">
      <c r="A175" s="2" t="s">
        <v>689</v>
      </c>
      <c r="B175" s="5">
        <v>45881</v>
      </c>
      <c r="C175" s="6" t="s">
        <v>63</v>
      </c>
      <c r="D175" s="6" t="s">
        <v>117</v>
      </c>
      <c r="E175" s="6" t="s">
        <v>26</v>
      </c>
      <c r="F175" s="6" t="s">
        <v>43</v>
      </c>
      <c r="G175" s="6" t="s">
        <v>121</v>
      </c>
      <c r="H175" s="2">
        <v>3</v>
      </c>
      <c r="I175" s="2">
        <v>4908.05</v>
      </c>
      <c r="J175" s="2">
        <v>0.1</v>
      </c>
      <c r="K175" s="2">
        <v>13251.73</v>
      </c>
      <c r="L175" s="2">
        <v>10157.32</v>
      </c>
      <c r="M175" s="2">
        <v>3094.41</v>
      </c>
      <c r="N175" s="6" t="s">
        <v>58</v>
      </c>
      <c r="O175" s="6" t="s">
        <v>22</v>
      </c>
    </row>
    <row r="176" spans="1:15" x14ac:dyDescent="0.3">
      <c r="A176" s="2" t="s">
        <v>407</v>
      </c>
      <c r="B176" s="5">
        <v>45726</v>
      </c>
      <c r="C176" s="6" t="s">
        <v>37</v>
      </c>
      <c r="D176" s="6" t="s">
        <v>68</v>
      </c>
      <c r="E176" s="6" t="s">
        <v>69</v>
      </c>
      <c r="F176" s="6" t="s">
        <v>34</v>
      </c>
      <c r="G176" s="6" t="s">
        <v>35</v>
      </c>
      <c r="H176" s="2">
        <v>1</v>
      </c>
      <c r="I176" s="2">
        <v>19252.78</v>
      </c>
      <c r="J176" s="2">
        <v>0.05</v>
      </c>
      <c r="K176" s="2">
        <v>18290.14</v>
      </c>
      <c r="L176" s="2">
        <v>15193.92</v>
      </c>
      <c r="M176" s="2">
        <v>3096.22</v>
      </c>
      <c r="N176" s="6" t="s">
        <v>21</v>
      </c>
      <c r="O176" s="6" t="s">
        <v>22</v>
      </c>
    </row>
    <row r="177" spans="1:15" x14ac:dyDescent="0.3">
      <c r="A177" s="2" t="s">
        <v>1297</v>
      </c>
      <c r="B177" s="5">
        <v>45813</v>
      </c>
      <c r="C177" s="6" t="s">
        <v>16</v>
      </c>
      <c r="D177" s="6" t="s">
        <v>17</v>
      </c>
      <c r="E177" s="6" t="s">
        <v>33</v>
      </c>
      <c r="F177" s="6" t="s">
        <v>43</v>
      </c>
      <c r="G177" s="6" t="s">
        <v>44</v>
      </c>
      <c r="H177" s="2">
        <v>1</v>
      </c>
      <c r="I177" s="2">
        <v>11860.14</v>
      </c>
      <c r="J177" s="2">
        <v>0</v>
      </c>
      <c r="K177" s="2">
        <v>11860.14</v>
      </c>
      <c r="L177" s="2">
        <v>8758.2099999999991</v>
      </c>
      <c r="M177" s="2">
        <v>3101.93</v>
      </c>
      <c r="N177" s="6" t="s">
        <v>21</v>
      </c>
      <c r="O177" s="6" t="s">
        <v>59</v>
      </c>
    </row>
    <row r="178" spans="1:15" x14ac:dyDescent="0.3">
      <c r="A178" s="2" t="s">
        <v>369</v>
      </c>
      <c r="B178" s="5">
        <v>45711</v>
      </c>
      <c r="C178" s="6" t="s">
        <v>63</v>
      </c>
      <c r="D178" s="6" t="s">
        <v>117</v>
      </c>
      <c r="E178" s="6" t="s">
        <v>74</v>
      </c>
      <c r="F178" s="6" t="s">
        <v>43</v>
      </c>
      <c r="G178" s="6" t="s">
        <v>121</v>
      </c>
      <c r="H178" s="2">
        <v>4</v>
      </c>
      <c r="I178" s="2">
        <v>4634.41</v>
      </c>
      <c r="J178" s="2">
        <v>0.08</v>
      </c>
      <c r="K178" s="2">
        <v>17054.61</v>
      </c>
      <c r="L178" s="2">
        <v>13943.75</v>
      </c>
      <c r="M178" s="2">
        <v>3110.86</v>
      </c>
      <c r="N178" s="6" t="s">
        <v>29</v>
      </c>
      <c r="O178" s="6" t="s">
        <v>40</v>
      </c>
    </row>
    <row r="179" spans="1:15" x14ac:dyDescent="0.3">
      <c r="A179" s="2" t="s">
        <v>1009</v>
      </c>
      <c r="B179" s="5">
        <v>45989</v>
      </c>
      <c r="C179" s="6" t="s">
        <v>37</v>
      </c>
      <c r="D179" s="6" t="s">
        <v>42</v>
      </c>
      <c r="E179" s="6" t="s">
        <v>26</v>
      </c>
      <c r="F179" s="6" t="s">
        <v>43</v>
      </c>
      <c r="G179" s="6" t="s">
        <v>121</v>
      </c>
      <c r="H179" s="2">
        <v>2</v>
      </c>
      <c r="I179" s="2">
        <v>4810.8100000000004</v>
      </c>
      <c r="J179" s="2">
        <v>0.05</v>
      </c>
      <c r="K179" s="2">
        <v>9140.5300000000007</v>
      </c>
      <c r="L179" s="2">
        <v>6024.21</v>
      </c>
      <c r="M179" s="2">
        <v>3116.32</v>
      </c>
      <c r="N179" s="6" t="s">
        <v>29</v>
      </c>
      <c r="O179" s="6" t="s">
        <v>45</v>
      </c>
    </row>
    <row r="180" spans="1:15" x14ac:dyDescent="0.3">
      <c r="A180" s="2" t="s">
        <v>156</v>
      </c>
      <c r="B180" s="5">
        <v>45977</v>
      </c>
      <c r="C180" s="6" t="s">
        <v>54</v>
      </c>
      <c r="D180" s="6" t="s">
        <v>55</v>
      </c>
      <c r="E180" s="6" t="s">
        <v>33</v>
      </c>
      <c r="F180" s="6" t="s">
        <v>34</v>
      </c>
      <c r="G180" s="6" t="s">
        <v>57</v>
      </c>
      <c r="H180" s="2">
        <v>1</v>
      </c>
      <c r="I180" s="2">
        <v>20961.61</v>
      </c>
      <c r="J180" s="2">
        <v>0.05</v>
      </c>
      <c r="K180" s="2">
        <v>19913.53</v>
      </c>
      <c r="L180" s="2">
        <v>16774.12</v>
      </c>
      <c r="M180" s="2">
        <v>3139.41</v>
      </c>
      <c r="N180" s="6" t="s">
        <v>29</v>
      </c>
      <c r="O180" s="6" t="s">
        <v>45</v>
      </c>
    </row>
    <row r="181" spans="1:15" x14ac:dyDescent="0.3">
      <c r="A181" s="2" t="s">
        <v>571</v>
      </c>
      <c r="B181" s="5">
        <v>45760</v>
      </c>
      <c r="C181" s="6" t="s">
        <v>63</v>
      </c>
      <c r="D181" s="6" t="s">
        <v>64</v>
      </c>
      <c r="E181" s="6" t="s">
        <v>69</v>
      </c>
      <c r="F181" s="6" t="s">
        <v>43</v>
      </c>
      <c r="G181" s="6" t="s">
        <v>121</v>
      </c>
      <c r="H181" s="2">
        <v>3</v>
      </c>
      <c r="I181" s="2">
        <v>4879.88</v>
      </c>
      <c r="J181" s="2">
        <v>0.03</v>
      </c>
      <c r="K181" s="2">
        <v>14200.46</v>
      </c>
      <c r="L181" s="2">
        <v>11039.68</v>
      </c>
      <c r="M181" s="2">
        <v>3160.78</v>
      </c>
      <c r="N181" s="6" t="s">
        <v>29</v>
      </c>
      <c r="O181" s="6" t="s">
        <v>45</v>
      </c>
    </row>
    <row r="182" spans="1:15" x14ac:dyDescent="0.3">
      <c r="A182" s="2" t="s">
        <v>724</v>
      </c>
      <c r="B182" s="5">
        <v>46009</v>
      </c>
      <c r="C182" s="6" t="s">
        <v>63</v>
      </c>
      <c r="D182" s="6" t="s">
        <v>88</v>
      </c>
      <c r="E182" s="6" t="s">
        <v>56</v>
      </c>
      <c r="F182" s="6" t="s">
        <v>34</v>
      </c>
      <c r="G182" s="6" t="s">
        <v>80</v>
      </c>
      <c r="H182" s="2">
        <v>3</v>
      </c>
      <c r="I182" s="2">
        <v>4333.82</v>
      </c>
      <c r="J182" s="2">
        <v>0.15</v>
      </c>
      <c r="K182" s="2">
        <v>11051.23</v>
      </c>
      <c r="L182" s="2">
        <v>7867.33</v>
      </c>
      <c r="M182" s="2">
        <v>3183.9</v>
      </c>
      <c r="N182" s="6" t="s">
        <v>21</v>
      </c>
      <c r="O182" s="6" t="s">
        <v>45</v>
      </c>
    </row>
    <row r="183" spans="1:15" x14ac:dyDescent="0.3">
      <c r="A183" s="2" t="s">
        <v>841</v>
      </c>
      <c r="B183" s="5">
        <v>45925</v>
      </c>
      <c r="C183" s="6" t="s">
        <v>54</v>
      </c>
      <c r="D183" s="6" t="s">
        <v>48</v>
      </c>
      <c r="E183" s="6" t="s">
        <v>65</v>
      </c>
      <c r="F183" s="6" t="s">
        <v>19</v>
      </c>
      <c r="G183" s="6" t="s">
        <v>61</v>
      </c>
      <c r="H183" s="2">
        <v>1</v>
      </c>
      <c r="I183" s="2">
        <v>8962.23</v>
      </c>
      <c r="J183" s="2">
        <v>0.05</v>
      </c>
      <c r="K183" s="2">
        <v>8514.1200000000008</v>
      </c>
      <c r="L183" s="2">
        <v>5293.26</v>
      </c>
      <c r="M183" s="2">
        <v>3220.86</v>
      </c>
      <c r="N183" s="6" t="s">
        <v>58</v>
      </c>
      <c r="O183" s="6" t="s">
        <v>22</v>
      </c>
    </row>
    <row r="184" spans="1:15" x14ac:dyDescent="0.3">
      <c r="A184" s="2" t="s">
        <v>646</v>
      </c>
      <c r="B184" s="5">
        <v>45907</v>
      </c>
      <c r="C184" s="6" t="s">
        <v>54</v>
      </c>
      <c r="D184" s="6" t="s">
        <v>124</v>
      </c>
      <c r="E184" s="6" t="s">
        <v>33</v>
      </c>
      <c r="F184" s="6" t="s">
        <v>43</v>
      </c>
      <c r="G184" s="6" t="s">
        <v>121</v>
      </c>
      <c r="H184" s="2">
        <v>3</v>
      </c>
      <c r="I184" s="2">
        <v>4874.62</v>
      </c>
      <c r="J184" s="2">
        <v>0.1</v>
      </c>
      <c r="K184" s="2">
        <v>13161.48</v>
      </c>
      <c r="L184" s="2">
        <v>9926.5499999999993</v>
      </c>
      <c r="M184" s="2">
        <v>3234.93</v>
      </c>
      <c r="N184" s="6" t="s">
        <v>58</v>
      </c>
      <c r="O184" s="6" t="s">
        <v>59</v>
      </c>
    </row>
    <row r="185" spans="1:15" x14ac:dyDescent="0.3">
      <c r="A185" s="2" t="s">
        <v>1346</v>
      </c>
      <c r="B185" s="5">
        <v>45694</v>
      </c>
      <c r="C185" s="6" t="s">
        <v>16</v>
      </c>
      <c r="D185" s="6" t="s">
        <v>32</v>
      </c>
      <c r="E185" s="6" t="s">
        <v>56</v>
      </c>
      <c r="F185" s="6" t="s">
        <v>34</v>
      </c>
      <c r="G185" s="6" t="s">
        <v>35</v>
      </c>
      <c r="H185" s="2">
        <v>1</v>
      </c>
      <c r="I185" s="2">
        <v>16842.580000000002</v>
      </c>
      <c r="J185" s="2">
        <v>0.05</v>
      </c>
      <c r="K185" s="2">
        <v>16000.45</v>
      </c>
      <c r="L185" s="2">
        <v>12738.93</v>
      </c>
      <c r="M185" s="2">
        <v>3261.52</v>
      </c>
      <c r="N185" s="6" t="s">
        <v>29</v>
      </c>
      <c r="O185" s="6" t="s">
        <v>40</v>
      </c>
    </row>
    <row r="186" spans="1:15" x14ac:dyDescent="0.3">
      <c r="A186" s="2" t="s">
        <v>904</v>
      </c>
      <c r="B186" s="5">
        <v>45964</v>
      </c>
      <c r="C186" s="6" t="s">
        <v>54</v>
      </c>
      <c r="D186" s="6" t="s">
        <v>48</v>
      </c>
      <c r="E186" s="6" t="s">
        <v>65</v>
      </c>
      <c r="F186" s="6" t="s">
        <v>34</v>
      </c>
      <c r="G186" s="6" t="s">
        <v>35</v>
      </c>
      <c r="H186" s="2">
        <v>1</v>
      </c>
      <c r="I186" s="2">
        <v>17287.45</v>
      </c>
      <c r="J186" s="2">
        <v>0.1</v>
      </c>
      <c r="K186" s="2">
        <v>15558.7</v>
      </c>
      <c r="L186" s="2">
        <v>12274.96</v>
      </c>
      <c r="M186" s="2">
        <v>3283.74</v>
      </c>
      <c r="N186" s="6" t="s">
        <v>29</v>
      </c>
      <c r="O186" s="6" t="s">
        <v>40</v>
      </c>
    </row>
    <row r="187" spans="1:15" x14ac:dyDescent="0.3">
      <c r="A187" s="2" t="s">
        <v>945</v>
      </c>
      <c r="B187" s="5">
        <v>45768</v>
      </c>
      <c r="C187" s="6" t="s">
        <v>16</v>
      </c>
      <c r="D187" s="6" t="s">
        <v>32</v>
      </c>
      <c r="E187" s="6" t="s">
        <v>26</v>
      </c>
      <c r="F187" s="6" t="s">
        <v>34</v>
      </c>
      <c r="G187" s="6" t="s">
        <v>57</v>
      </c>
      <c r="H187" s="2">
        <v>1</v>
      </c>
      <c r="I187" s="2">
        <v>21157.55</v>
      </c>
      <c r="J187" s="2">
        <v>0.1</v>
      </c>
      <c r="K187" s="2">
        <v>19041.79</v>
      </c>
      <c r="L187" s="2">
        <v>15752.09</v>
      </c>
      <c r="M187" s="2">
        <v>3289.7</v>
      </c>
      <c r="N187" s="6" t="s">
        <v>21</v>
      </c>
      <c r="O187" s="6" t="s">
        <v>40</v>
      </c>
    </row>
    <row r="188" spans="1:15" x14ac:dyDescent="0.3">
      <c r="A188" s="2" t="s">
        <v>183</v>
      </c>
      <c r="B188" s="5">
        <v>45811</v>
      </c>
      <c r="C188" s="6" t="s">
        <v>37</v>
      </c>
      <c r="D188" s="6" t="s">
        <v>42</v>
      </c>
      <c r="E188" s="6" t="s">
        <v>69</v>
      </c>
      <c r="F188" s="6" t="s">
        <v>43</v>
      </c>
      <c r="G188" s="6" t="s">
        <v>44</v>
      </c>
      <c r="H188" s="2">
        <v>1</v>
      </c>
      <c r="I188" s="2">
        <v>11993.02</v>
      </c>
      <c r="J188" s="2">
        <v>0.08</v>
      </c>
      <c r="K188" s="2">
        <v>11033.58</v>
      </c>
      <c r="L188" s="2">
        <v>7725.92</v>
      </c>
      <c r="M188" s="2">
        <v>3307.66</v>
      </c>
      <c r="N188" s="6" t="s">
        <v>29</v>
      </c>
      <c r="O188" s="6" t="s">
        <v>30</v>
      </c>
    </row>
    <row r="189" spans="1:15" x14ac:dyDescent="0.3">
      <c r="A189" s="2" t="s">
        <v>1175</v>
      </c>
      <c r="B189" s="5">
        <v>45979</v>
      </c>
      <c r="C189" s="6" t="s">
        <v>63</v>
      </c>
      <c r="D189" s="6" t="s">
        <v>117</v>
      </c>
      <c r="E189" s="6" t="s">
        <v>56</v>
      </c>
      <c r="F189" s="6" t="s">
        <v>43</v>
      </c>
      <c r="G189" s="6" t="s">
        <v>121</v>
      </c>
      <c r="H189" s="2">
        <v>3</v>
      </c>
      <c r="I189" s="2">
        <v>4827.88</v>
      </c>
      <c r="J189" s="2">
        <v>0</v>
      </c>
      <c r="K189" s="2">
        <v>14483.65</v>
      </c>
      <c r="L189" s="2">
        <v>11152.48</v>
      </c>
      <c r="M189" s="2">
        <v>3331.17</v>
      </c>
      <c r="N189" s="6" t="s">
        <v>21</v>
      </c>
      <c r="O189" s="6" t="s">
        <v>59</v>
      </c>
    </row>
    <row r="190" spans="1:15" x14ac:dyDescent="0.3">
      <c r="A190" s="2" t="s">
        <v>1270</v>
      </c>
      <c r="B190" s="5">
        <v>45990</v>
      </c>
      <c r="C190" s="6" t="s">
        <v>37</v>
      </c>
      <c r="D190" s="6" t="s">
        <v>38</v>
      </c>
      <c r="E190" s="6" t="s">
        <v>49</v>
      </c>
      <c r="F190" s="6" t="s">
        <v>27</v>
      </c>
      <c r="G190" s="6" t="s">
        <v>125</v>
      </c>
      <c r="H190" s="2">
        <v>2</v>
      </c>
      <c r="I190" s="2">
        <v>8374.5300000000007</v>
      </c>
      <c r="J190" s="2">
        <v>0.1</v>
      </c>
      <c r="K190" s="2">
        <v>15074.15</v>
      </c>
      <c r="L190" s="2">
        <v>11737.34</v>
      </c>
      <c r="M190" s="2">
        <v>3336.81</v>
      </c>
      <c r="N190" s="6" t="s">
        <v>29</v>
      </c>
      <c r="O190" s="6" t="s">
        <v>40</v>
      </c>
    </row>
    <row r="191" spans="1:15" x14ac:dyDescent="0.3">
      <c r="A191" s="2" t="s">
        <v>884</v>
      </c>
      <c r="B191" s="5">
        <v>45692</v>
      </c>
      <c r="C191" s="6" t="s">
        <v>16</v>
      </c>
      <c r="D191" s="6" t="s">
        <v>52</v>
      </c>
      <c r="E191" s="6" t="s">
        <v>69</v>
      </c>
      <c r="F191" s="6" t="s">
        <v>43</v>
      </c>
      <c r="G191" s="6" t="s">
        <v>121</v>
      </c>
      <c r="H191" s="2">
        <v>3</v>
      </c>
      <c r="I191" s="2">
        <v>5221.87</v>
      </c>
      <c r="J191" s="2">
        <v>0.05</v>
      </c>
      <c r="K191" s="2">
        <v>14882.32</v>
      </c>
      <c r="L191" s="2">
        <v>11533.53</v>
      </c>
      <c r="M191" s="2">
        <v>3348.79</v>
      </c>
      <c r="N191" s="6" t="s">
        <v>29</v>
      </c>
      <c r="O191" s="6" t="s">
        <v>45</v>
      </c>
    </row>
    <row r="192" spans="1:15" x14ac:dyDescent="0.3">
      <c r="A192" s="2" t="s">
        <v>615</v>
      </c>
      <c r="B192" s="5">
        <v>45992</v>
      </c>
      <c r="C192" s="6" t="s">
        <v>63</v>
      </c>
      <c r="D192" s="6" t="s">
        <v>117</v>
      </c>
      <c r="E192" s="6" t="s">
        <v>18</v>
      </c>
      <c r="F192" s="6" t="s">
        <v>43</v>
      </c>
      <c r="G192" s="6" t="s">
        <v>44</v>
      </c>
      <c r="H192" s="2">
        <v>2</v>
      </c>
      <c r="I192" s="2">
        <v>11463.38</v>
      </c>
      <c r="J192" s="2">
        <v>0.03</v>
      </c>
      <c r="K192" s="2">
        <v>22238.95</v>
      </c>
      <c r="L192" s="2">
        <v>18863</v>
      </c>
      <c r="M192" s="2">
        <v>3375.95</v>
      </c>
      <c r="N192" s="6" t="s">
        <v>58</v>
      </c>
      <c r="O192" s="6" t="s">
        <v>59</v>
      </c>
    </row>
    <row r="193" spans="1:15" x14ac:dyDescent="0.3">
      <c r="A193" s="2" t="s">
        <v>912</v>
      </c>
      <c r="B193" s="5">
        <v>45867</v>
      </c>
      <c r="C193" s="6" t="s">
        <v>54</v>
      </c>
      <c r="D193" s="6" t="s">
        <v>124</v>
      </c>
      <c r="E193" s="6" t="s">
        <v>49</v>
      </c>
      <c r="F193" s="6" t="s">
        <v>34</v>
      </c>
      <c r="G193" s="6" t="s">
        <v>57</v>
      </c>
      <c r="H193" s="2">
        <v>1</v>
      </c>
      <c r="I193" s="2">
        <v>22047.29</v>
      </c>
      <c r="J193" s="2">
        <v>0.08</v>
      </c>
      <c r="K193" s="2">
        <v>20283.509999999998</v>
      </c>
      <c r="L193" s="2">
        <v>16906.810000000001</v>
      </c>
      <c r="M193" s="2">
        <v>3376.7</v>
      </c>
      <c r="N193" s="6" t="s">
        <v>58</v>
      </c>
      <c r="O193" s="6" t="s">
        <v>22</v>
      </c>
    </row>
    <row r="194" spans="1:15" x14ac:dyDescent="0.3">
      <c r="A194" s="2" t="s">
        <v>79</v>
      </c>
      <c r="B194" s="5">
        <v>45801</v>
      </c>
      <c r="C194" s="6" t="s">
        <v>37</v>
      </c>
      <c r="D194" s="6" t="s">
        <v>42</v>
      </c>
      <c r="E194" s="6" t="s">
        <v>69</v>
      </c>
      <c r="F194" s="6" t="s">
        <v>34</v>
      </c>
      <c r="G194" s="6" t="s">
        <v>80</v>
      </c>
      <c r="H194" s="2">
        <v>4</v>
      </c>
      <c r="I194" s="2">
        <v>4848.0600000000004</v>
      </c>
      <c r="J194" s="2">
        <v>0.05</v>
      </c>
      <c r="K194" s="2">
        <v>18422.650000000001</v>
      </c>
      <c r="L194" s="2">
        <v>15031.84</v>
      </c>
      <c r="M194" s="2">
        <v>3390.81</v>
      </c>
      <c r="N194" s="6" t="s">
        <v>58</v>
      </c>
      <c r="O194" s="6" t="s">
        <v>40</v>
      </c>
    </row>
    <row r="195" spans="1:15" x14ac:dyDescent="0.3">
      <c r="A195" s="2" t="s">
        <v>715</v>
      </c>
      <c r="B195" s="5">
        <v>45771</v>
      </c>
      <c r="C195" s="6" t="s">
        <v>37</v>
      </c>
      <c r="D195" s="6" t="s">
        <v>68</v>
      </c>
      <c r="E195" s="6" t="s">
        <v>49</v>
      </c>
      <c r="F195" s="6" t="s">
        <v>19</v>
      </c>
      <c r="G195" s="6" t="s">
        <v>108</v>
      </c>
      <c r="H195" s="2">
        <v>1</v>
      </c>
      <c r="I195" s="2">
        <v>15775.21</v>
      </c>
      <c r="J195" s="2">
        <v>0.03</v>
      </c>
      <c r="K195" s="2">
        <v>15301.95</v>
      </c>
      <c r="L195" s="2">
        <v>11882.69</v>
      </c>
      <c r="M195" s="2">
        <v>3419.26</v>
      </c>
      <c r="N195" s="6" t="s">
        <v>29</v>
      </c>
      <c r="O195" s="6" t="s">
        <v>45</v>
      </c>
    </row>
    <row r="196" spans="1:15" x14ac:dyDescent="0.3">
      <c r="A196" s="2" t="s">
        <v>683</v>
      </c>
      <c r="B196" s="5">
        <v>45984</v>
      </c>
      <c r="C196" s="6" t="s">
        <v>37</v>
      </c>
      <c r="D196" s="6" t="s">
        <v>42</v>
      </c>
      <c r="E196" s="6" t="s">
        <v>74</v>
      </c>
      <c r="F196" s="6" t="s">
        <v>43</v>
      </c>
      <c r="G196" s="6" t="s">
        <v>121</v>
      </c>
      <c r="H196" s="2">
        <v>3</v>
      </c>
      <c r="I196" s="2">
        <v>4979.55</v>
      </c>
      <c r="J196" s="2">
        <v>0.05</v>
      </c>
      <c r="K196" s="2">
        <v>14191.71</v>
      </c>
      <c r="L196" s="2">
        <v>10772.01</v>
      </c>
      <c r="M196" s="2">
        <v>3419.7</v>
      </c>
      <c r="N196" s="6" t="s">
        <v>21</v>
      </c>
      <c r="O196" s="6" t="s">
        <v>59</v>
      </c>
    </row>
    <row r="197" spans="1:15" x14ac:dyDescent="0.3">
      <c r="A197" s="2" t="s">
        <v>613</v>
      </c>
      <c r="B197" s="5">
        <v>45984</v>
      </c>
      <c r="C197" s="6" t="s">
        <v>16</v>
      </c>
      <c r="D197" s="6" t="s">
        <v>17</v>
      </c>
      <c r="E197" s="6" t="s">
        <v>49</v>
      </c>
      <c r="F197" s="6" t="s">
        <v>27</v>
      </c>
      <c r="G197" s="6" t="s">
        <v>66</v>
      </c>
      <c r="H197" s="2">
        <v>1</v>
      </c>
      <c r="I197" s="2">
        <v>11562.54</v>
      </c>
      <c r="J197" s="2">
        <v>0.1</v>
      </c>
      <c r="K197" s="2">
        <v>10406.290000000001</v>
      </c>
      <c r="L197" s="2">
        <v>6949.45</v>
      </c>
      <c r="M197" s="2">
        <v>3456.84</v>
      </c>
      <c r="N197" s="6" t="s">
        <v>29</v>
      </c>
      <c r="O197" s="6" t="s">
        <v>59</v>
      </c>
    </row>
    <row r="198" spans="1:15" x14ac:dyDescent="0.3">
      <c r="A198" s="2" t="s">
        <v>575</v>
      </c>
      <c r="B198" s="5">
        <v>45979</v>
      </c>
      <c r="C198" s="6" t="s">
        <v>37</v>
      </c>
      <c r="D198" s="6" t="s">
        <v>25</v>
      </c>
      <c r="E198" s="6" t="s">
        <v>33</v>
      </c>
      <c r="F198" s="6" t="s">
        <v>43</v>
      </c>
      <c r="G198" s="6" t="s">
        <v>44</v>
      </c>
      <c r="H198" s="2">
        <v>1</v>
      </c>
      <c r="I198" s="2">
        <v>11505.75</v>
      </c>
      <c r="J198" s="2">
        <v>0</v>
      </c>
      <c r="K198" s="2">
        <v>11505.75</v>
      </c>
      <c r="L198" s="2">
        <v>8013.59</v>
      </c>
      <c r="M198" s="2">
        <v>3492.16</v>
      </c>
      <c r="N198" s="6" t="s">
        <v>58</v>
      </c>
      <c r="O198" s="6" t="s">
        <v>45</v>
      </c>
    </row>
    <row r="199" spans="1:15" x14ac:dyDescent="0.3">
      <c r="A199" s="2" t="s">
        <v>419</v>
      </c>
      <c r="B199" s="5">
        <v>45975</v>
      </c>
      <c r="C199" s="6" t="s">
        <v>37</v>
      </c>
      <c r="D199" s="6" t="s">
        <v>38</v>
      </c>
      <c r="E199" s="6" t="s">
        <v>56</v>
      </c>
      <c r="F199" s="6" t="s">
        <v>34</v>
      </c>
      <c r="G199" s="6" t="s">
        <v>80</v>
      </c>
      <c r="H199" s="2">
        <v>3</v>
      </c>
      <c r="I199" s="2">
        <v>4318.24</v>
      </c>
      <c r="J199" s="2">
        <v>0</v>
      </c>
      <c r="K199" s="2">
        <v>12954.73</v>
      </c>
      <c r="L199" s="2">
        <v>9458.84</v>
      </c>
      <c r="M199" s="2">
        <v>3495.89</v>
      </c>
      <c r="N199" s="6" t="s">
        <v>29</v>
      </c>
      <c r="O199" s="6" t="s">
        <v>22</v>
      </c>
    </row>
    <row r="200" spans="1:15" x14ac:dyDescent="0.3">
      <c r="A200" s="2" t="s">
        <v>62</v>
      </c>
      <c r="B200" s="5">
        <v>45940</v>
      </c>
      <c r="C200" s="6" t="s">
        <v>63</v>
      </c>
      <c r="D200" s="6" t="s">
        <v>64</v>
      </c>
      <c r="E200" s="6" t="s">
        <v>65</v>
      </c>
      <c r="F200" s="6" t="s">
        <v>27</v>
      </c>
      <c r="G200" s="6" t="s">
        <v>66</v>
      </c>
      <c r="H200" s="2">
        <v>1</v>
      </c>
      <c r="I200" s="2">
        <v>11390.24</v>
      </c>
      <c r="J200" s="2">
        <v>0.03</v>
      </c>
      <c r="K200" s="2">
        <v>11048.54</v>
      </c>
      <c r="L200" s="2">
        <v>7529.1</v>
      </c>
      <c r="M200" s="2">
        <v>3519.44</v>
      </c>
      <c r="N200" s="6" t="s">
        <v>29</v>
      </c>
      <c r="O200" s="6" t="s">
        <v>59</v>
      </c>
    </row>
    <row r="201" spans="1:15" x14ac:dyDescent="0.3">
      <c r="A201" s="2" t="s">
        <v>1025</v>
      </c>
      <c r="B201" s="5">
        <v>45685</v>
      </c>
      <c r="C201" s="6" t="s">
        <v>16</v>
      </c>
      <c r="D201" s="6" t="s">
        <v>17</v>
      </c>
      <c r="E201" s="6" t="s">
        <v>18</v>
      </c>
      <c r="F201" s="6" t="s">
        <v>34</v>
      </c>
      <c r="G201" s="6" t="s">
        <v>80</v>
      </c>
      <c r="H201" s="2">
        <v>3</v>
      </c>
      <c r="I201" s="2">
        <v>4266.8599999999997</v>
      </c>
      <c r="J201" s="2">
        <v>0.08</v>
      </c>
      <c r="K201" s="2">
        <v>11776.53</v>
      </c>
      <c r="L201" s="2">
        <v>8253.7099999999991</v>
      </c>
      <c r="M201" s="2">
        <v>3522.82</v>
      </c>
      <c r="N201" s="6" t="s">
        <v>21</v>
      </c>
      <c r="O201" s="6" t="s">
        <v>45</v>
      </c>
    </row>
    <row r="202" spans="1:15" x14ac:dyDescent="0.3">
      <c r="A202" s="2" t="s">
        <v>114</v>
      </c>
      <c r="B202" s="5">
        <v>45669</v>
      </c>
      <c r="C202" s="6" t="s">
        <v>16</v>
      </c>
      <c r="D202" s="6" t="s">
        <v>32</v>
      </c>
      <c r="E202" s="6" t="s">
        <v>69</v>
      </c>
      <c r="F202" s="6" t="s">
        <v>27</v>
      </c>
      <c r="G202" s="6" t="s">
        <v>66</v>
      </c>
      <c r="H202" s="2">
        <v>1</v>
      </c>
      <c r="I202" s="2">
        <v>11811.7</v>
      </c>
      <c r="J202" s="2">
        <v>0.1</v>
      </c>
      <c r="K202" s="2">
        <v>10630.53</v>
      </c>
      <c r="L202" s="2">
        <v>7090.46</v>
      </c>
      <c r="M202" s="2">
        <v>3540.07</v>
      </c>
      <c r="N202" s="6" t="s">
        <v>21</v>
      </c>
      <c r="O202" s="6" t="s">
        <v>59</v>
      </c>
    </row>
    <row r="203" spans="1:15" x14ac:dyDescent="0.3">
      <c r="A203" s="2" t="s">
        <v>1307</v>
      </c>
      <c r="B203" s="5">
        <v>45974</v>
      </c>
      <c r="C203" s="6" t="s">
        <v>54</v>
      </c>
      <c r="D203" s="6" t="s">
        <v>124</v>
      </c>
      <c r="E203" s="6" t="s">
        <v>49</v>
      </c>
      <c r="F203" s="6" t="s">
        <v>43</v>
      </c>
      <c r="G203" s="6" t="s">
        <v>121</v>
      </c>
      <c r="H203" s="2">
        <v>3</v>
      </c>
      <c r="I203" s="2">
        <v>5357.67</v>
      </c>
      <c r="J203" s="2">
        <v>0.08</v>
      </c>
      <c r="K203" s="2">
        <v>14787.17</v>
      </c>
      <c r="L203" s="2">
        <v>11223.13</v>
      </c>
      <c r="M203" s="2">
        <v>3564.04</v>
      </c>
      <c r="N203" s="6" t="s">
        <v>29</v>
      </c>
      <c r="O203" s="6" t="s">
        <v>30</v>
      </c>
    </row>
    <row r="204" spans="1:15" x14ac:dyDescent="0.3">
      <c r="A204" s="2" t="s">
        <v>1057</v>
      </c>
      <c r="B204" s="5">
        <v>45792</v>
      </c>
      <c r="C204" s="6" t="s">
        <v>63</v>
      </c>
      <c r="D204" s="6" t="s">
        <v>95</v>
      </c>
      <c r="E204" s="6" t="s">
        <v>74</v>
      </c>
      <c r="F204" s="6" t="s">
        <v>34</v>
      </c>
      <c r="G204" s="6" t="s">
        <v>35</v>
      </c>
      <c r="H204" s="2">
        <v>1</v>
      </c>
      <c r="I204" s="2">
        <v>18156.45</v>
      </c>
      <c r="J204" s="2">
        <v>0.03</v>
      </c>
      <c r="K204" s="2">
        <v>17611.759999999998</v>
      </c>
      <c r="L204" s="2">
        <v>13964.44</v>
      </c>
      <c r="M204" s="2">
        <v>3647.32</v>
      </c>
      <c r="N204" s="6" t="s">
        <v>21</v>
      </c>
      <c r="O204" s="6" t="s">
        <v>45</v>
      </c>
    </row>
    <row r="205" spans="1:15" x14ac:dyDescent="0.3">
      <c r="A205" s="2" t="s">
        <v>840</v>
      </c>
      <c r="B205" s="5">
        <v>45800</v>
      </c>
      <c r="C205" s="6" t="s">
        <v>37</v>
      </c>
      <c r="D205" s="6" t="s">
        <v>42</v>
      </c>
      <c r="E205" s="6" t="s">
        <v>65</v>
      </c>
      <c r="F205" s="6" t="s">
        <v>43</v>
      </c>
      <c r="G205" s="6" t="s">
        <v>121</v>
      </c>
      <c r="H205" s="2">
        <v>2</v>
      </c>
      <c r="I205" s="2">
        <v>5074.3900000000003</v>
      </c>
      <c r="J205" s="2">
        <v>0.05</v>
      </c>
      <c r="K205" s="2">
        <v>9641.33</v>
      </c>
      <c r="L205" s="2">
        <v>5988.53</v>
      </c>
      <c r="M205" s="2">
        <v>3652.8</v>
      </c>
      <c r="N205" s="6" t="s">
        <v>29</v>
      </c>
      <c r="O205" s="6" t="s">
        <v>30</v>
      </c>
    </row>
    <row r="206" spans="1:15" x14ac:dyDescent="0.3">
      <c r="A206" s="2" t="s">
        <v>179</v>
      </c>
      <c r="B206" s="5">
        <v>45733</v>
      </c>
      <c r="C206" s="6" t="s">
        <v>37</v>
      </c>
      <c r="D206" s="6" t="s">
        <v>25</v>
      </c>
      <c r="E206" s="6" t="s">
        <v>26</v>
      </c>
      <c r="F206" s="6" t="s">
        <v>34</v>
      </c>
      <c r="G206" s="6" t="s">
        <v>35</v>
      </c>
      <c r="H206" s="2">
        <v>1</v>
      </c>
      <c r="I206" s="2">
        <v>17349.28</v>
      </c>
      <c r="J206" s="2">
        <v>0.05</v>
      </c>
      <c r="K206" s="2">
        <v>16481.82</v>
      </c>
      <c r="L206" s="2">
        <v>12795.51</v>
      </c>
      <c r="M206" s="2">
        <v>3686.31</v>
      </c>
      <c r="N206" s="6" t="s">
        <v>21</v>
      </c>
      <c r="O206" s="6" t="s">
        <v>59</v>
      </c>
    </row>
    <row r="207" spans="1:15" x14ac:dyDescent="0.3">
      <c r="A207" s="2" t="s">
        <v>531</v>
      </c>
      <c r="B207" s="5">
        <v>45900</v>
      </c>
      <c r="C207" s="6" t="s">
        <v>54</v>
      </c>
      <c r="D207" s="6" t="s">
        <v>55</v>
      </c>
      <c r="E207" s="6" t="s">
        <v>33</v>
      </c>
      <c r="F207" s="6" t="s">
        <v>43</v>
      </c>
      <c r="G207" s="6" t="s">
        <v>121</v>
      </c>
      <c r="H207" s="2">
        <v>3</v>
      </c>
      <c r="I207" s="2">
        <v>4665.33</v>
      </c>
      <c r="J207" s="2">
        <v>0.1</v>
      </c>
      <c r="K207" s="2">
        <v>12596.4</v>
      </c>
      <c r="L207" s="2">
        <v>8794.7800000000007</v>
      </c>
      <c r="M207" s="2">
        <v>3801.62</v>
      </c>
      <c r="N207" s="6" t="s">
        <v>29</v>
      </c>
      <c r="O207" s="6" t="s">
        <v>40</v>
      </c>
    </row>
    <row r="208" spans="1:15" x14ac:dyDescent="0.3">
      <c r="A208" s="2" t="s">
        <v>574</v>
      </c>
      <c r="B208" s="5">
        <v>45749</v>
      </c>
      <c r="C208" s="6" t="s">
        <v>16</v>
      </c>
      <c r="D208" s="6" t="s">
        <v>17</v>
      </c>
      <c r="E208" s="6" t="s">
        <v>33</v>
      </c>
      <c r="F208" s="6" t="s">
        <v>43</v>
      </c>
      <c r="G208" s="6" t="s">
        <v>121</v>
      </c>
      <c r="H208" s="2">
        <v>5</v>
      </c>
      <c r="I208" s="2">
        <v>4952.43</v>
      </c>
      <c r="J208" s="2">
        <v>0.03</v>
      </c>
      <c r="K208" s="2">
        <v>24019.29</v>
      </c>
      <c r="L208" s="2">
        <v>20149.07</v>
      </c>
      <c r="M208" s="2">
        <v>3870.22</v>
      </c>
      <c r="N208" s="6" t="s">
        <v>29</v>
      </c>
      <c r="O208" s="6" t="s">
        <v>30</v>
      </c>
    </row>
    <row r="209" spans="1:15" x14ac:dyDescent="0.3">
      <c r="A209" s="2" t="s">
        <v>926</v>
      </c>
      <c r="B209" s="5">
        <v>45773</v>
      </c>
      <c r="C209" s="6" t="s">
        <v>37</v>
      </c>
      <c r="D209" s="6" t="s">
        <v>42</v>
      </c>
      <c r="E209" s="6" t="s">
        <v>74</v>
      </c>
      <c r="F209" s="6" t="s">
        <v>34</v>
      </c>
      <c r="G209" s="6" t="s">
        <v>80</v>
      </c>
      <c r="H209" s="2">
        <v>6</v>
      </c>
      <c r="I209" s="2">
        <v>4328.67</v>
      </c>
      <c r="J209" s="2">
        <v>0.1</v>
      </c>
      <c r="K209" s="2">
        <v>23374.79</v>
      </c>
      <c r="L209" s="2">
        <v>19495.439999999999</v>
      </c>
      <c r="M209" s="2">
        <v>3879.35</v>
      </c>
      <c r="N209" s="6" t="s">
        <v>21</v>
      </c>
      <c r="O209" s="6" t="s">
        <v>45</v>
      </c>
    </row>
    <row r="210" spans="1:15" x14ac:dyDescent="0.3">
      <c r="A210" s="2" t="s">
        <v>729</v>
      </c>
      <c r="B210" s="5">
        <v>45983</v>
      </c>
      <c r="C210" s="6" t="s">
        <v>16</v>
      </c>
      <c r="D210" s="6" t="s">
        <v>17</v>
      </c>
      <c r="E210" s="6" t="s">
        <v>33</v>
      </c>
      <c r="F210" s="6" t="s">
        <v>19</v>
      </c>
      <c r="G210" s="6" t="s">
        <v>61</v>
      </c>
      <c r="H210" s="2">
        <v>3</v>
      </c>
      <c r="I210" s="2">
        <v>9024.8700000000008</v>
      </c>
      <c r="J210" s="2">
        <v>0</v>
      </c>
      <c r="K210" s="2">
        <v>27074.62</v>
      </c>
      <c r="L210" s="2">
        <v>23183.95</v>
      </c>
      <c r="M210" s="2">
        <v>3890.67</v>
      </c>
      <c r="N210" s="6" t="s">
        <v>21</v>
      </c>
      <c r="O210" s="6" t="s">
        <v>30</v>
      </c>
    </row>
    <row r="211" spans="1:15" x14ac:dyDescent="0.3">
      <c r="A211" s="2" t="s">
        <v>578</v>
      </c>
      <c r="B211" s="5">
        <v>45727</v>
      </c>
      <c r="C211" s="6" t="s">
        <v>37</v>
      </c>
      <c r="D211" s="6" t="s">
        <v>42</v>
      </c>
      <c r="E211" s="6" t="s">
        <v>49</v>
      </c>
      <c r="F211" s="6" t="s">
        <v>19</v>
      </c>
      <c r="G211" s="6" t="s">
        <v>61</v>
      </c>
      <c r="H211" s="2">
        <v>2</v>
      </c>
      <c r="I211" s="2">
        <v>8907.83</v>
      </c>
      <c r="J211" s="2">
        <v>0.08</v>
      </c>
      <c r="K211" s="2">
        <v>16390.41</v>
      </c>
      <c r="L211" s="2">
        <v>12481.57</v>
      </c>
      <c r="M211" s="2">
        <v>3908.84</v>
      </c>
      <c r="N211" s="6" t="s">
        <v>29</v>
      </c>
      <c r="O211" s="6" t="s">
        <v>22</v>
      </c>
    </row>
    <row r="212" spans="1:15" x14ac:dyDescent="0.3">
      <c r="A212" s="2" t="s">
        <v>321</v>
      </c>
      <c r="B212" s="5">
        <v>45725</v>
      </c>
      <c r="C212" s="6" t="s">
        <v>16</v>
      </c>
      <c r="D212" s="6" t="s">
        <v>17</v>
      </c>
      <c r="E212" s="6" t="s">
        <v>74</v>
      </c>
      <c r="F212" s="6" t="s">
        <v>43</v>
      </c>
      <c r="G212" s="6" t="s">
        <v>44</v>
      </c>
      <c r="H212" s="2">
        <v>1</v>
      </c>
      <c r="I212" s="2">
        <v>11615.84</v>
      </c>
      <c r="J212" s="2">
        <v>0.08</v>
      </c>
      <c r="K212" s="2">
        <v>10686.58</v>
      </c>
      <c r="L212" s="2">
        <v>6749.16</v>
      </c>
      <c r="M212" s="2">
        <v>3937.42</v>
      </c>
      <c r="N212" s="6" t="s">
        <v>58</v>
      </c>
      <c r="O212" s="6" t="s">
        <v>59</v>
      </c>
    </row>
    <row r="213" spans="1:15" x14ac:dyDescent="0.3">
      <c r="A213" s="2" t="s">
        <v>1179</v>
      </c>
      <c r="B213" s="5">
        <v>45873</v>
      </c>
      <c r="C213" s="6" t="s">
        <v>54</v>
      </c>
      <c r="D213" s="6" t="s">
        <v>55</v>
      </c>
      <c r="E213" s="6" t="s">
        <v>56</v>
      </c>
      <c r="F213" s="6" t="s">
        <v>27</v>
      </c>
      <c r="G213" s="6" t="s">
        <v>125</v>
      </c>
      <c r="H213" s="2">
        <v>2</v>
      </c>
      <c r="I213" s="2">
        <v>8061.31</v>
      </c>
      <c r="J213" s="2">
        <v>0.05</v>
      </c>
      <c r="K213" s="2">
        <v>15316.48</v>
      </c>
      <c r="L213" s="2">
        <v>11314.34</v>
      </c>
      <c r="M213" s="2">
        <v>4002.14</v>
      </c>
      <c r="N213" s="6" t="s">
        <v>58</v>
      </c>
      <c r="O213" s="6" t="s">
        <v>45</v>
      </c>
    </row>
    <row r="214" spans="1:15" x14ac:dyDescent="0.3">
      <c r="A214" s="2" t="s">
        <v>235</v>
      </c>
      <c r="B214" s="5">
        <v>45733</v>
      </c>
      <c r="C214" s="6" t="s">
        <v>54</v>
      </c>
      <c r="D214" s="6" t="s">
        <v>48</v>
      </c>
      <c r="E214" s="6" t="s">
        <v>69</v>
      </c>
      <c r="F214" s="6" t="s">
        <v>19</v>
      </c>
      <c r="G214" s="6" t="s">
        <v>61</v>
      </c>
      <c r="H214" s="2">
        <v>2</v>
      </c>
      <c r="I214" s="2">
        <v>9169.7000000000007</v>
      </c>
      <c r="J214" s="2">
        <v>0.1</v>
      </c>
      <c r="K214" s="2">
        <v>16505.46</v>
      </c>
      <c r="L214" s="2">
        <v>12493.75</v>
      </c>
      <c r="M214" s="2">
        <v>4011.71</v>
      </c>
      <c r="N214" s="6" t="s">
        <v>21</v>
      </c>
      <c r="O214" s="6" t="s">
        <v>30</v>
      </c>
    </row>
    <row r="215" spans="1:15" x14ac:dyDescent="0.3">
      <c r="A215" s="2" t="s">
        <v>577</v>
      </c>
      <c r="B215" s="5">
        <v>45986</v>
      </c>
      <c r="C215" s="6" t="s">
        <v>37</v>
      </c>
      <c r="D215" s="6" t="s">
        <v>25</v>
      </c>
      <c r="E215" s="6" t="s">
        <v>56</v>
      </c>
      <c r="F215" s="6" t="s">
        <v>34</v>
      </c>
      <c r="G215" s="6" t="s">
        <v>80</v>
      </c>
      <c r="H215" s="2">
        <v>3</v>
      </c>
      <c r="I215" s="2">
        <v>4722.04</v>
      </c>
      <c r="J215" s="2">
        <v>0.08</v>
      </c>
      <c r="K215" s="2">
        <v>13032.84</v>
      </c>
      <c r="L215" s="2">
        <v>9005.42</v>
      </c>
      <c r="M215" s="2">
        <v>4027.42</v>
      </c>
      <c r="N215" s="6" t="s">
        <v>29</v>
      </c>
      <c r="O215" s="6" t="s">
        <v>22</v>
      </c>
    </row>
    <row r="216" spans="1:15" x14ac:dyDescent="0.3">
      <c r="A216" s="2" t="s">
        <v>399</v>
      </c>
      <c r="B216" s="5">
        <v>45667</v>
      </c>
      <c r="C216" s="6" t="s">
        <v>16</v>
      </c>
      <c r="D216" s="6" t="s">
        <v>32</v>
      </c>
      <c r="E216" s="6" t="s">
        <v>18</v>
      </c>
      <c r="F216" s="6" t="s">
        <v>19</v>
      </c>
      <c r="G216" s="6" t="s">
        <v>106</v>
      </c>
      <c r="H216" s="2">
        <v>2</v>
      </c>
      <c r="I216" s="2">
        <v>14628.62</v>
      </c>
      <c r="J216" s="2">
        <v>0.08</v>
      </c>
      <c r="K216" s="2">
        <v>26916.65</v>
      </c>
      <c r="L216" s="2">
        <v>22839.67</v>
      </c>
      <c r="M216" s="2">
        <v>4076.98</v>
      </c>
      <c r="N216" s="6" t="s">
        <v>29</v>
      </c>
      <c r="O216" s="6" t="s">
        <v>30</v>
      </c>
    </row>
    <row r="217" spans="1:15" x14ac:dyDescent="0.3">
      <c r="A217" s="2" t="s">
        <v>173</v>
      </c>
      <c r="B217" s="5">
        <v>45822</v>
      </c>
      <c r="C217" s="6" t="s">
        <v>54</v>
      </c>
      <c r="D217" s="6" t="s">
        <v>174</v>
      </c>
      <c r="E217" s="6" t="s">
        <v>69</v>
      </c>
      <c r="F217" s="6" t="s">
        <v>19</v>
      </c>
      <c r="G217" s="6" t="s">
        <v>61</v>
      </c>
      <c r="H217" s="2">
        <v>3</v>
      </c>
      <c r="I217" s="2">
        <v>8630.17</v>
      </c>
      <c r="J217" s="2">
        <v>0.08</v>
      </c>
      <c r="K217" s="2">
        <v>23819.26</v>
      </c>
      <c r="L217" s="2">
        <v>19659.63</v>
      </c>
      <c r="M217" s="2">
        <v>4159.63</v>
      </c>
      <c r="N217" s="6" t="s">
        <v>21</v>
      </c>
      <c r="O217" s="6" t="s">
        <v>59</v>
      </c>
    </row>
    <row r="218" spans="1:15" x14ac:dyDescent="0.3">
      <c r="A218" s="2" t="s">
        <v>1345</v>
      </c>
      <c r="B218" s="5">
        <v>46008</v>
      </c>
      <c r="C218" s="6" t="s">
        <v>54</v>
      </c>
      <c r="D218" s="6" t="s">
        <v>55</v>
      </c>
      <c r="E218" s="6" t="s">
        <v>33</v>
      </c>
      <c r="F218" s="6" t="s">
        <v>43</v>
      </c>
      <c r="G218" s="6" t="s">
        <v>44</v>
      </c>
      <c r="H218" s="2">
        <v>1</v>
      </c>
      <c r="I218" s="2">
        <v>12151.14</v>
      </c>
      <c r="J218" s="2">
        <v>0.05</v>
      </c>
      <c r="K218" s="2">
        <v>11543.58</v>
      </c>
      <c r="L218" s="2">
        <v>7379.53</v>
      </c>
      <c r="M218" s="2">
        <v>4164.05</v>
      </c>
      <c r="N218" s="6" t="s">
        <v>29</v>
      </c>
      <c r="O218" s="6" t="s">
        <v>40</v>
      </c>
    </row>
    <row r="219" spans="1:15" x14ac:dyDescent="0.3">
      <c r="A219" s="2" t="s">
        <v>701</v>
      </c>
      <c r="B219" s="5">
        <v>45866</v>
      </c>
      <c r="C219" s="6" t="s">
        <v>63</v>
      </c>
      <c r="D219" s="6" t="s">
        <v>64</v>
      </c>
      <c r="E219" s="6" t="s">
        <v>33</v>
      </c>
      <c r="F219" s="6" t="s">
        <v>34</v>
      </c>
      <c r="G219" s="6" t="s">
        <v>80</v>
      </c>
      <c r="H219" s="2">
        <v>4</v>
      </c>
      <c r="I219" s="2">
        <v>4752.6099999999997</v>
      </c>
      <c r="J219" s="2">
        <v>0.03</v>
      </c>
      <c r="K219" s="2">
        <v>18440.14</v>
      </c>
      <c r="L219" s="2">
        <v>14267.27</v>
      </c>
      <c r="M219" s="2">
        <v>4172.87</v>
      </c>
      <c r="N219" s="6" t="s">
        <v>29</v>
      </c>
      <c r="O219" s="6" t="s">
        <v>45</v>
      </c>
    </row>
    <row r="220" spans="1:15" x14ac:dyDescent="0.3">
      <c r="A220" s="2" t="s">
        <v>1347</v>
      </c>
      <c r="B220" s="5">
        <v>45998</v>
      </c>
      <c r="C220" s="6" t="s">
        <v>54</v>
      </c>
      <c r="D220" s="6" t="s">
        <v>55</v>
      </c>
      <c r="E220" s="6" t="s">
        <v>56</v>
      </c>
      <c r="F220" s="6" t="s">
        <v>34</v>
      </c>
      <c r="G220" s="6" t="s">
        <v>80</v>
      </c>
      <c r="H220" s="2">
        <v>7</v>
      </c>
      <c r="I220" s="2">
        <v>4224.58</v>
      </c>
      <c r="J220" s="2">
        <v>0.03</v>
      </c>
      <c r="K220" s="2">
        <v>28684.9</v>
      </c>
      <c r="L220" s="2">
        <v>24463.78</v>
      </c>
      <c r="M220" s="2">
        <v>4221.12</v>
      </c>
      <c r="N220" s="6" t="s">
        <v>21</v>
      </c>
      <c r="O220" s="6" t="s">
        <v>30</v>
      </c>
    </row>
    <row r="221" spans="1:15" x14ac:dyDescent="0.3">
      <c r="A221" s="2" t="s">
        <v>794</v>
      </c>
      <c r="B221" s="5">
        <v>45937</v>
      </c>
      <c r="C221" s="6" t="s">
        <v>54</v>
      </c>
      <c r="D221" s="6" t="s">
        <v>174</v>
      </c>
      <c r="E221" s="6" t="s">
        <v>56</v>
      </c>
      <c r="F221" s="6" t="s">
        <v>34</v>
      </c>
      <c r="G221" s="6" t="s">
        <v>39</v>
      </c>
      <c r="H221" s="2">
        <v>1</v>
      </c>
      <c r="I221" s="2">
        <v>32222.2</v>
      </c>
      <c r="J221" s="2">
        <v>0.08</v>
      </c>
      <c r="K221" s="2">
        <v>29644.42</v>
      </c>
      <c r="L221" s="2">
        <v>25376.01</v>
      </c>
      <c r="M221" s="2">
        <v>4268.41</v>
      </c>
      <c r="N221" s="6" t="s">
        <v>21</v>
      </c>
      <c r="O221" s="6" t="s">
        <v>40</v>
      </c>
    </row>
    <row r="222" spans="1:15" x14ac:dyDescent="0.3">
      <c r="A222" s="2" t="s">
        <v>447</v>
      </c>
      <c r="B222" s="5">
        <v>45697</v>
      </c>
      <c r="C222" s="6" t="s">
        <v>63</v>
      </c>
      <c r="D222" s="6" t="s">
        <v>117</v>
      </c>
      <c r="E222" s="6" t="s">
        <v>49</v>
      </c>
      <c r="F222" s="6" t="s">
        <v>43</v>
      </c>
      <c r="G222" s="6" t="s">
        <v>121</v>
      </c>
      <c r="H222" s="2">
        <v>3</v>
      </c>
      <c r="I222" s="2">
        <v>4816.75</v>
      </c>
      <c r="J222" s="2">
        <v>0.03</v>
      </c>
      <c r="K222" s="2">
        <v>14016.75</v>
      </c>
      <c r="L222" s="2">
        <v>9746.1</v>
      </c>
      <c r="M222" s="2">
        <v>4270.6499999999996</v>
      </c>
      <c r="N222" s="6" t="s">
        <v>29</v>
      </c>
      <c r="O222" s="6" t="s">
        <v>59</v>
      </c>
    </row>
    <row r="223" spans="1:15" x14ac:dyDescent="0.3">
      <c r="A223" s="2" t="s">
        <v>994</v>
      </c>
      <c r="B223" s="5">
        <v>45899</v>
      </c>
      <c r="C223" s="6" t="s">
        <v>54</v>
      </c>
      <c r="D223" s="6" t="s">
        <v>174</v>
      </c>
      <c r="E223" s="6" t="s">
        <v>74</v>
      </c>
      <c r="F223" s="6" t="s">
        <v>34</v>
      </c>
      <c r="G223" s="6" t="s">
        <v>80</v>
      </c>
      <c r="H223" s="2">
        <v>4</v>
      </c>
      <c r="I223" s="2">
        <v>4636.26</v>
      </c>
      <c r="J223" s="2">
        <v>0.08</v>
      </c>
      <c r="K223" s="2">
        <v>17061.419999999998</v>
      </c>
      <c r="L223" s="2">
        <v>12781.61</v>
      </c>
      <c r="M223" s="2">
        <v>4279.8100000000004</v>
      </c>
      <c r="N223" s="6" t="s">
        <v>21</v>
      </c>
      <c r="O223" s="6" t="s">
        <v>59</v>
      </c>
    </row>
    <row r="224" spans="1:15" x14ac:dyDescent="0.3">
      <c r="A224" s="2" t="s">
        <v>278</v>
      </c>
      <c r="B224" s="5">
        <v>45925</v>
      </c>
      <c r="C224" s="6" t="s">
        <v>37</v>
      </c>
      <c r="D224" s="6" t="s">
        <v>42</v>
      </c>
      <c r="E224" s="6" t="s">
        <v>69</v>
      </c>
      <c r="F224" s="6" t="s">
        <v>27</v>
      </c>
      <c r="G224" s="6" t="s">
        <v>125</v>
      </c>
      <c r="H224" s="2">
        <v>3</v>
      </c>
      <c r="I224" s="2">
        <v>8733.18</v>
      </c>
      <c r="J224" s="2">
        <v>0.03</v>
      </c>
      <c r="K224" s="2">
        <v>25413.55</v>
      </c>
      <c r="L224" s="2">
        <v>21119.279999999999</v>
      </c>
      <c r="M224" s="2">
        <v>4294.2700000000004</v>
      </c>
      <c r="N224" s="6" t="s">
        <v>58</v>
      </c>
      <c r="O224" s="6" t="s">
        <v>59</v>
      </c>
    </row>
    <row r="225" spans="1:15" x14ac:dyDescent="0.3">
      <c r="A225" s="2" t="s">
        <v>1135</v>
      </c>
      <c r="B225" s="5">
        <v>45709</v>
      </c>
      <c r="C225" s="6" t="s">
        <v>63</v>
      </c>
      <c r="D225" s="6" t="s">
        <v>88</v>
      </c>
      <c r="E225" s="6" t="s">
        <v>49</v>
      </c>
      <c r="F225" s="6" t="s">
        <v>19</v>
      </c>
      <c r="G225" s="6" t="s">
        <v>106</v>
      </c>
      <c r="H225" s="2">
        <v>1</v>
      </c>
      <c r="I225" s="2">
        <v>14692.24</v>
      </c>
      <c r="J225" s="2">
        <v>0.1</v>
      </c>
      <c r="K225" s="2">
        <v>13223.01</v>
      </c>
      <c r="L225" s="2">
        <v>8880.59</v>
      </c>
      <c r="M225" s="2">
        <v>4342.42</v>
      </c>
      <c r="N225" s="6" t="s">
        <v>29</v>
      </c>
      <c r="O225" s="6" t="s">
        <v>22</v>
      </c>
    </row>
    <row r="226" spans="1:15" x14ac:dyDescent="0.3">
      <c r="A226" s="2" t="s">
        <v>268</v>
      </c>
      <c r="B226" s="5">
        <v>45965</v>
      </c>
      <c r="C226" s="6" t="s">
        <v>63</v>
      </c>
      <c r="D226" s="6" t="s">
        <v>95</v>
      </c>
      <c r="E226" s="6" t="s">
        <v>33</v>
      </c>
      <c r="F226" s="6" t="s">
        <v>34</v>
      </c>
      <c r="G226" s="6" t="s">
        <v>35</v>
      </c>
      <c r="H226" s="2">
        <v>1</v>
      </c>
      <c r="I226" s="2">
        <v>16876.04</v>
      </c>
      <c r="J226" s="2">
        <v>0.05</v>
      </c>
      <c r="K226" s="2">
        <v>16032.24</v>
      </c>
      <c r="L226" s="2">
        <v>11688.31</v>
      </c>
      <c r="M226" s="2">
        <v>4343.93</v>
      </c>
      <c r="N226" s="6" t="s">
        <v>21</v>
      </c>
      <c r="O226" s="6" t="s">
        <v>45</v>
      </c>
    </row>
    <row r="227" spans="1:15" x14ac:dyDescent="0.3">
      <c r="A227" s="2" t="s">
        <v>1038</v>
      </c>
      <c r="B227" s="5">
        <v>45767</v>
      </c>
      <c r="C227" s="6" t="s">
        <v>16</v>
      </c>
      <c r="D227" s="6" t="s">
        <v>52</v>
      </c>
      <c r="E227" s="6" t="s">
        <v>56</v>
      </c>
      <c r="F227" s="6" t="s">
        <v>34</v>
      </c>
      <c r="G227" s="6" t="s">
        <v>80</v>
      </c>
      <c r="H227" s="2">
        <v>3</v>
      </c>
      <c r="I227" s="2">
        <v>4494.7299999999996</v>
      </c>
      <c r="J227" s="2">
        <v>0.05</v>
      </c>
      <c r="K227" s="2">
        <v>12809.97</v>
      </c>
      <c r="L227" s="2">
        <v>8393.84</v>
      </c>
      <c r="M227" s="2">
        <v>4416.13</v>
      </c>
      <c r="N227" s="6" t="s">
        <v>58</v>
      </c>
      <c r="O227" s="6" t="s">
        <v>40</v>
      </c>
    </row>
    <row r="228" spans="1:15" x14ac:dyDescent="0.3">
      <c r="A228" s="2" t="s">
        <v>300</v>
      </c>
      <c r="B228" s="5">
        <v>45700</v>
      </c>
      <c r="C228" s="6" t="s">
        <v>16</v>
      </c>
      <c r="D228" s="6" t="s">
        <v>17</v>
      </c>
      <c r="E228" s="6" t="s">
        <v>18</v>
      </c>
      <c r="F228" s="6" t="s">
        <v>19</v>
      </c>
      <c r="G228" s="6" t="s">
        <v>108</v>
      </c>
      <c r="H228" s="2">
        <v>1</v>
      </c>
      <c r="I228" s="2">
        <v>16153.24</v>
      </c>
      <c r="J228" s="2">
        <v>0.03</v>
      </c>
      <c r="K228" s="2">
        <v>15668.64</v>
      </c>
      <c r="L228" s="2">
        <v>11233.7</v>
      </c>
      <c r="M228" s="2">
        <v>4434.9399999999996</v>
      </c>
      <c r="N228" s="6" t="s">
        <v>21</v>
      </c>
      <c r="O228" s="6" t="s">
        <v>30</v>
      </c>
    </row>
    <row r="229" spans="1:15" x14ac:dyDescent="0.3">
      <c r="A229" s="2" t="s">
        <v>706</v>
      </c>
      <c r="B229" s="5">
        <v>45982</v>
      </c>
      <c r="C229" s="6" t="s">
        <v>16</v>
      </c>
      <c r="D229" s="6" t="s">
        <v>82</v>
      </c>
      <c r="E229" s="6" t="s">
        <v>26</v>
      </c>
      <c r="F229" s="6" t="s">
        <v>34</v>
      </c>
      <c r="G229" s="6" t="s">
        <v>35</v>
      </c>
      <c r="H229" s="2">
        <v>1</v>
      </c>
      <c r="I229" s="2">
        <v>18214.8</v>
      </c>
      <c r="J229" s="2">
        <v>0.05</v>
      </c>
      <c r="K229" s="2">
        <v>17304.060000000001</v>
      </c>
      <c r="L229" s="2">
        <v>12860.07</v>
      </c>
      <c r="M229" s="2">
        <v>4443.99</v>
      </c>
      <c r="N229" s="6" t="s">
        <v>21</v>
      </c>
      <c r="O229" s="6" t="s">
        <v>22</v>
      </c>
    </row>
    <row r="230" spans="1:15" x14ac:dyDescent="0.3">
      <c r="A230" s="2" t="s">
        <v>1059</v>
      </c>
      <c r="B230" s="5">
        <v>45998</v>
      </c>
      <c r="C230" s="6" t="s">
        <v>63</v>
      </c>
      <c r="D230" s="6" t="s">
        <v>95</v>
      </c>
      <c r="E230" s="6" t="s">
        <v>65</v>
      </c>
      <c r="F230" s="6" t="s">
        <v>34</v>
      </c>
      <c r="G230" s="6" t="s">
        <v>80</v>
      </c>
      <c r="H230" s="2">
        <v>4</v>
      </c>
      <c r="I230" s="2">
        <v>4483.13</v>
      </c>
      <c r="J230" s="2">
        <v>0.03</v>
      </c>
      <c r="K230" s="2">
        <v>17394.54</v>
      </c>
      <c r="L230" s="2">
        <v>12934.29</v>
      </c>
      <c r="M230" s="2">
        <v>4460.25</v>
      </c>
      <c r="N230" s="6" t="s">
        <v>58</v>
      </c>
      <c r="O230" s="6" t="s">
        <v>45</v>
      </c>
    </row>
    <row r="231" spans="1:15" x14ac:dyDescent="0.3">
      <c r="A231" s="2" t="s">
        <v>1352</v>
      </c>
      <c r="B231" s="5">
        <v>45773</v>
      </c>
      <c r="C231" s="6" t="s">
        <v>37</v>
      </c>
      <c r="D231" s="6" t="s">
        <v>25</v>
      </c>
      <c r="E231" s="6" t="s">
        <v>18</v>
      </c>
      <c r="F231" s="6" t="s">
        <v>34</v>
      </c>
      <c r="G231" s="6" t="s">
        <v>80</v>
      </c>
      <c r="H231" s="2">
        <v>5</v>
      </c>
      <c r="I231" s="2">
        <v>4482.16</v>
      </c>
      <c r="J231" s="2">
        <v>0.05</v>
      </c>
      <c r="K231" s="2">
        <v>21290.28</v>
      </c>
      <c r="L231" s="2">
        <v>16820.580000000002</v>
      </c>
      <c r="M231" s="2">
        <v>4469.7</v>
      </c>
      <c r="N231" s="6" t="s">
        <v>29</v>
      </c>
      <c r="O231" s="6" t="s">
        <v>45</v>
      </c>
    </row>
    <row r="232" spans="1:15" x14ac:dyDescent="0.3">
      <c r="A232" s="2" t="s">
        <v>281</v>
      </c>
      <c r="B232" s="5">
        <v>45935</v>
      </c>
      <c r="C232" s="6" t="s">
        <v>37</v>
      </c>
      <c r="D232" s="6" t="s">
        <v>68</v>
      </c>
      <c r="E232" s="6" t="s">
        <v>65</v>
      </c>
      <c r="F232" s="6" t="s">
        <v>19</v>
      </c>
      <c r="G232" s="6" t="s">
        <v>106</v>
      </c>
      <c r="H232" s="2">
        <v>2</v>
      </c>
      <c r="I232" s="2">
        <v>13358.27</v>
      </c>
      <c r="J232" s="2">
        <v>0.05</v>
      </c>
      <c r="K232" s="2">
        <v>25380.7</v>
      </c>
      <c r="L232" s="2">
        <v>20857.07</v>
      </c>
      <c r="M232" s="2">
        <v>4523.63</v>
      </c>
      <c r="N232" s="6" t="s">
        <v>29</v>
      </c>
      <c r="O232" s="6" t="s">
        <v>45</v>
      </c>
    </row>
    <row r="233" spans="1:15" x14ac:dyDescent="0.3">
      <c r="A233" s="2" t="s">
        <v>341</v>
      </c>
      <c r="B233" s="5">
        <v>45942</v>
      </c>
      <c r="C233" s="6" t="s">
        <v>54</v>
      </c>
      <c r="D233" s="6" t="s">
        <v>124</v>
      </c>
      <c r="E233" s="6" t="s">
        <v>65</v>
      </c>
      <c r="F233" s="6" t="s">
        <v>27</v>
      </c>
      <c r="G233" s="6" t="s">
        <v>125</v>
      </c>
      <c r="H233" s="2">
        <v>3</v>
      </c>
      <c r="I233" s="2">
        <v>9028.23</v>
      </c>
      <c r="J233" s="2">
        <v>0.08</v>
      </c>
      <c r="K233" s="2">
        <v>24917.91</v>
      </c>
      <c r="L233" s="2">
        <v>20393.060000000001</v>
      </c>
      <c r="M233" s="2">
        <v>4524.8500000000004</v>
      </c>
      <c r="N233" s="6" t="s">
        <v>21</v>
      </c>
      <c r="O233" s="6" t="s">
        <v>40</v>
      </c>
    </row>
    <row r="234" spans="1:15" x14ac:dyDescent="0.3">
      <c r="A234" s="2" t="s">
        <v>1016</v>
      </c>
      <c r="B234" s="5">
        <v>45722</v>
      </c>
      <c r="C234" s="6" t="s">
        <v>54</v>
      </c>
      <c r="D234" s="6" t="s">
        <v>174</v>
      </c>
      <c r="E234" s="6" t="s">
        <v>74</v>
      </c>
      <c r="F234" s="6" t="s">
        <v>43</v>
      </c>
      <c r="G234" s="6" t="s">
        <v>121</v>
      </c>
      <c r="H234" s="2">
        <v>3</v>
      </c>
      <c r="I234" s="2">
        <v>4606.9399999999996</v>
      </c>
      <c r="J234" s="2">
        <v>0.1</v>
      </c>
      <c r="K234" s="2">
        <v>12438.73</v>
      </c>
      <c r="L234" s="2">
        <v>7909.91</v>
      </c>
      <c r="M234" s="2">
        <v>4528.82</v>
      </c>
      <c r="N234" s="6" t="s">
        <v>29</v>
      </c>
      <c r="O234" s="6" t="s">
        <v>59</v>
      </c>
    </row>
    <row r="235" spans="1:15" x14ac:dyDescent="0.3">
      <c r="A235" s="2" t="s">
        <v>1238</v>
      </c>
      <c r="B235" s="5">
        <v>45666</v>
      </c>
      <c r="C235" s="6" t="s">
        <v>37</v>
      </c>
      <c r="D235" s="6" t="s">
        <v>68</v>
      </c>
      <c r="E235" s="6" t="s">
        <v>74</v>
      </c>
      <c r="F235" s="6" t="s">
        <v>43</v>
      </c>
      <c r="G235" s="6" t="s">
        <v>121</v>
      </c>
      <c r="H235" s="2">
        <v>3</v>
      </c>
      <c r="I235" s="2">
        <v>4711.3500000000004</v>
      </c>
      <c r="J235" s="2">
        <v>0</v>
      </c>
      <c r="K235" s="2">
        <v>14134.05</v>
      </c>
      <c r="L235" s="2">
        <v>9595.18</v>
      </c>
      <c r="M235" s="2">
        <v>4538.87</v>
      </c>
      <c r="N235" s="6" t="s">
        <v>21</v>
      </c>
      <c r="O235" s="6" t="s">
        <v>30</v>
      </c>
    </row>
    <row r="236" spans="1:15" x14ac:dyDescent="0.3">
      <c r="A236" s="2" t="s">
        <v>573</v>
      </c>
      <c r="B236" s="5">
        <v>46004</v>
      </c>
      <c r="C236" s="6" t="s">
        <v>37</v>
      </c>
      <c r="D236" s="6" t="s">
        <v>42</v>
      </c>
      <c r="E236" s="6" t="s">
        <v>69</v>
      </c>
      <c r="F236" s="6" t="s">
        <v>27</v>
      </c>
      <c r="G236" s="6" t="s">
        <v>66</v>
      </c>
      <c r="H236" s="2">
        <v>2</v>
      </c>
      <c r="I236" s="2">
        <v>10952.53</v>
      </c>
      <c r="J236" s="2">
        <v>0</v>
      </c>
      <c r="K236" s="2">
        <v>21905.06</v>
      </c>
      <c r="L236" s="2">
        <v>17257.71</v>
      </c>
      <c r="M236" s="2">
        <v>4647.3500000000004</v>
      </c>
      <c r="N236" s="6" t="s">
        <v>29</v>
      </c>
      <c r="O236" s="6" t="s">
        <v>45</v>
      </c>
    </row>
    <row r="237" spans="1:15" x14ac:dyDescent="0.3">
      <c r="A237" s="2" t="s">
        <v>436</v>
      </c>
      <c r="B237" s="5">
        <v>45760</v>
      </c>
      <c r="C237" s="6" t="s">
        <v>16</v>
      </c>
      <c r="D237" s="6" t="s">
        <v>82</v>
      </c>
      <c r="E237" s="6" t="s">
        <v>33</v>
      </c>
      <c r="F237" s="6" t="s">
        <v>43</v>
      </c>
      <c r="G237" s="6" t="s">
        <v>121</v>
      </c>
      <c r="H237" s="2">
        <v>5</v>
      </c>
      <c r="I237" s="2">
        <v>5211.84</v>
      </c>
      <c r="J237" s="2">
        <v>0.08</v>
      </c>
      <c r="K237" s="2">
        <v>23974.47</v>
      </c>
      <c r="L237" s="2">
        <v>19311.84</v>
      </c>
      <c r="M237" s="2">
        <v>4662.63</v>
      </c>
      <c r="N237" s="6" t="s">
        <v>21</v>
      </c>
      <c r="O237" s="6" t="s">
        <v>30</v>
      </c>
    </row>
    <row r="238" spans="1:15" x14ac:dyDescent="0.3">
      <c r="A238" s="2" t="s">
        <v>569</v>
      </c>
      <c r="B238" s="5">
        <v>45783</v>
      </c>
      <c r="C238" s="6" t="s">
        <v>37</v>
      </c>
      <c r="D238" s="6" t="s">
        <v>25</v>
      </c>
      <c r="E238" s="6" t="s">
        <v>56</v>
      </c>
      <c r="F238" s="6" t="s">
        <v>27</v>
      </c>
      <c r="G238" s="6" t="s">
        <v>66</v>
      </c>
      <c r="H238" s="2">
        <v>2</v>
      </c>
      <c r="I238" s="2">
        <v>11268</v>
      </c>
      <c r="J238" s="2">
        <v>0.05</v>
      </c>
      <c r="K238" s="2">
        <v>21409.21</v>
      </c>
      <c r="L238" s="2">
        <v>16745.91</v>
      </c>
      <c r="M238" s="2">
        <v>4663.3</v>
      </c>
      <c r="N238" s="6" t="s">
        <v>29</v>
      </c>
      <c r="O238" s="6" t="s">
        <v>40</v>
      </c>
    </row>
    <row r="239" spans="1:15" x14ac:dyDescent="0.3">
      <c r="A239" s="2" t="s">
        <v>1267</v>
      </c>
      <c r="B239" s="5">
        <v>45712</v>
      </c>
      <c r="C239" s="6" t="s">
        <v>16</v>
      </c>
      <c r="D239" s="6" t="s">
        <v>82</v>
      </c>
      <c r="E239" s="6" t="s">
        <v>56</v>
      </c>
      <c r="F239" s="6" t="s">
        <v>34</v>
      </c>
      <c r="G239" s="6" t="s">
        <v>39</v>
      </c>
      <c r="H239" s="2">
        <v>1</v>
      </c>
      <c r="I239" s="2">
        <v>30369.97</v>
      </c>
      <c r="J239" s="2">
        <v>0.1</v>
      </c>
      <c r="K239" s="2">
        <v>27332.97</v>
      </c>
      <c r="L239" s="2">
        <v>22611.73</v>
      </c>
      <c r="M239" s="2">
        <v>4721.24</v>
      </c>
      <c r="N239" s="6" t="s">
        <v>21</v>
      </c>
      <c r="O239" s="6" t="s">
        <v>22</v>
      </c>
    </row>
    <row r="240" spans="1:15" x14ac:dyDescent="0.3">
      <c r="A240" s="2" t="s">
        <v>289</v>
      </c>
      <c r="B240" s="5">
        <v>45733</v>
      </c>
      <c r="C240" s="6" t="s">
        <v>63</v>
      </c>
      <c r="D240" s="6" t="s">
        <v>64</v>
      </c>
      <c r="E240" s="6" t="s">
        <v>18</v>
      </c>
      <c r="F240" s="6" t="s">
        <v>34</v>
      </c>
      <c r="G240" s="6" t="s">
        <v>57</v>
      </c>
      <c r="H240" s="2">
        <v>1</v>
      </c>
      <c r="I240" s="2">
        <v>22480.45</v>
      </c>
      <c r="J240" s="2">
        <v>0</v>
      </c>
      <c r="K240" s="2">
        <v>22480.45</v>
      </c>
      <c r="L240" s="2">
        <v>17689.86</v>
      </c>
      <c r="M240" s="2">
        <v>4790.59</v>
      </c>
      <c r="N240" s="6" t="s">
        <v>58</v>
      </c>
      <c r="O240" s="6" t="s">
        <v>45</v>
      </c>
    </row>
    <row r="241" spans="1:15" x14ac:dyDescent="0.3">
      <c r="A241" s="2" t="s">
        <v>617</v>
      </c>
      <c r="B241" s="5">
        <v>45689</v>
      </c>
      <c r="C241" s="6" t="s">
        <v>16</v>
      </c>
      <c r="D241" s="6" t="s">
        <v>32</v>
      </c>
      <c r="E241" s="6" t="s">
        <v>69</v>
      </c>
      <c r="F241" s="6" t="s">
        <v>34</v>
      </c>
      <c r="G241" s="6" t="s">
        <v>39</v>
      </c>
      <c r="H241" s="2">
        <v>1</v>
      </c>
      <c r="I241" s="2">
        <v>32102.71</v>
      </c>
      <c r="J241" s="2">
        <v>0.1</v>
      </c>
      <c r="K241" s="2">
        <v>28892.44</v>
      </c>
      <c r="L241" s="2">
        <v>24067.19</v>
      </c>
      <c r="M241" s="2">
        <v>4825.25</v>
      </c>
      <c r="N241" s="6" t="s">
        <v>29</v>
      </c>
      <c r="O241" s="6" t="s">
        <v>22</v>
      </c>
    </row>
    <row r="242" spans="1:15" x14ac:dyDescent="0.3">
      <c r="A242" s="2" t="s">
        <v>1245</v>
      </c>
      <c r="B242" s="5">
        <v>45728</v>
      </c>
      <c r="C242" s="6" t="s">
        <v>54</v>
      </c>
      <c r="D242" s="6" t="s">
        <v>48</v>
      </c>
      <c r="E242" s="6" t="s">
        <v>69</v>
      </c>
      <c r="F242" s="6" t="s">
        <v>27</v>
      </c>
      <c r="G242" s="6" t="s">
        <v>125</v>
      </c>
      <c r="H242" s="2">
        <v>4</v>
      </c>
      <c r="I242" s="2">
        <v>8814.64</v>
      </c>
      <c r="J242" s="2">
        <v>0.05</v>
      </c>
      <c r="K242" s="2">
        <v>33495.64</v>
      </c>
      <c r="L242" s="2">
        <v>28652.76</v>
      </c>
      <c r="M242" s="2">
        <v>4842.88</v>
      </c>
      <c r="N242" s="6" t="s">
        <v>21</v>
      </c>
      <c r="O242" s="6" t="s">
        <v>45</v>
      </c>
    </row>
    <row r="243" spans="1:15" x14ac:dyDescent="0.3">
      <c r="A243" s="2" t="s">
        <v>721</v>
      </c>
      <c r="B243" s="5">
        <v>45803</v>
      </c>
      <c r="C243" s="6" t="s">
        <v>16</v>
      </c>
      <c r="D243" s="6" t="s">
        <v>82</v>
      </c>
      <c r="E243" s="6" t="s">
        <v>33</v>
      </c>
      <c r="F243" s="6" t="s">
        <v>27</v>
      </c>
      <c r="G243" s="6" t="s">
        <v>50</v>
      </c>
      <c r="H243" s="2">
        <v>1</v>
      </c>
      <c r="I243" s="2">
        <v>31031.77</v>
      </c>
      <c r="J243" s="2">
        <v>0.03</v>
      </c>
      <c r="K243" s="2">
        <v>30100.82</v>
      </c>
      <c r="L243" s="2">
        <v>25238.09</v>
      </c>
      <c r="M243" s="2">
        <v>4862.7299999999996</v>
      </c>
      <c r="N243" s="6" t="s">
        <v>21</v>
      </c>
      <c r="O243" s="6" t="s">
        <v>40</v>
      </c>
    </row>
    <row r="244" spans="1:15" x14ac:dyDescent="0.3">
      <c r="A244" s="2" t="s">
        <v>294</v>
      </c>
      <c r="B244" s="5">
        <v>45937</v>
      </c>
      <c r="C244" s="6" t="s">
        <v>16</v>
      </c>
      <c r="D244" s="6" t="s">
        <v>82</v>
      </c>
      <c r="E244" s="6" t="s">
        <v>65</v>
      </c>
      <c r="F244" s="6" t="s">
        <v>19</v>
      </c>
      <c r="G244" s="6" t="s">
        <v>61</v>
      </c>
      <c r="H244" s="2">
        <v>4</v>
      </c>
      <c r="I244" s="2">
        <v>8351.77</v>
      </c>
      <c r="J244" s="2">
        <v>0.1</v>
      </c>
      <c r="K244" s="2">
        <v>30066.38</v>
      </c>
      <c r="L244" s="2">
        <v>25203.25</v>
      </c>
      <c r="M244" s="2">
        <v>4863.13</v>
      </c>
      <c r="N244" s="6" t="s">
        <v>58</v>
      </c>
      <c r="O244" s="6" t="s">
        <v>30</v>
      </c>
    </row>
    <row r="245" spans="1:15" x14ac:dyDescent="0.3">
      <c r="A245" s="2" t="s">
        <v>451</v>
      </c>
      <c r="B245" s="5">
        <v>45959</v>
      </c>
      <c r="C245" s="6" t="s">
        <v>16</v>
      </c>
      <c r="D245" s="6" t="s">
        <v>17</v>
      </c>
      <c r="E245" s="6" t="s">
        <v>65</v>
      </c>
      <c r="F245" s="6" t="s">
        <v>34</v>
      </c>
      <c r="G245" s="6" t="s">
        <v>80</v>
      </c>
      <c r="H245" s="2">
        <v>5</v>
      </c>
      <c r="I245" s="2">
        <v>4779.6899999999996</v>
      </c>
      <c r="J245" s="2">
        <v>0.1</v>
      </c>
      <c r="K245" s="2">
        <v>21508.62</v>
      </c>
      <c r="L245" s="2">
        <v>16587.650000000001</v>
      </c>
      <c r="M245" s="2">
        <v>4920.97</v>
      </c>
      <c r="N245" s="6" t="s">
        <v>29</v>
      </c>
      <c r="O245" s="6" t="s">
        <v>30</v>
      </c>
    </row>
    <row r="246" spans="1:15" x14ac:dyDescent="0.3">
      <c r="A246" s="2" t="s">
        <v>270</v>
      </c>
      <c r="B246" s="5">
        <v>45899</v>
      </c>
      <c r="C246" s="6" t="s">
        <v>37</v>
      </c>
      <c r="D246" s="6" t="s">
        <v>42</v>
      </c>
      <c r="E246" s="6" t="s">
        <v>56</v>
      </c>
      <c r="F246" s="6" t="s">
        <v>19</v>
      </c>
      <c r="G246" s="6" t="s">
        <v>108</v>
      </c>
      <c r="H246" s="2">
        <v>1</v>
      </c>
      <c r="I246" s="2">
        <v>15741.32</v>
      </c>
      <c r="J246" s="2">
        <v>0</v>
      </c>
      <c r="K246" s="2">
        <v>15741.32</v>
      </c>
      <c r="L246" s="2">
        <v>10815.05</v>
      </c>
      <c r="M246" s="2">
        <v>4926.2700000000004</v>
      </c>
      <c r="N246" s="6" t="s">
        <v>21</v>
      </c>
      <c r="O246" s="6" t="s">
        <v>40</v>
      </c>
    </row>
    <row r="247" spans="1:15" x14ac:dyDescent="0.3">
      <c r="A247" s="2" t="s">
        <v>160</v>
      </c>
      <c r="B247" s="5">
        <v>45853</v>
      </c>
      <c r="C247" s="6" t="s">
        <v>16</v>
      </c>
      <c r="D247" s="6" t="s">
        <v>32</v>
      </c>
      <c r="E247" s="6" t="s">
        <v>69</v>
      </c>
      <c r="F247" s="6" t="s">
        <v>19</v>
      </c>
      <c r="G247" s="6" t="s">
        <v>108</v>
      </c>
      <c r="H247" s="2">
        <v>1</v>
      </c>
      <c r="I247" s="2">
        <v>15496.75</v>
      </c>
      <c r="J247" s="2">
        <v>0.08</v>
      </c>
      <c r="K247" s="2">
        <v>14257.01</v>
      </c>
      <c r="L247" s="2">
        <v>9329.08</v>
      </c>
      <c r="M247" s="2">
        <v>4927.93</v>
      </c>
      <c r="N247" s="6" t="s">
        <v>29</v>
      </c>
      <c r="O247" s="6" t="s">
        <v>59</v>
      </c>
    </row>
    <row r="248" spans="1:15" x14ac:dyDescent="0.3">
      <c r="A248" s="2" t="s">
        <v>568</v>
      </c>
      <c r="B248" s="5">
        <v>45946</v>
      </c>
      <c r="C248" s="6" t="s">
        <v>37</v>
      </c>
      <c r="D248" s="6" t="s">
        <v>68</v>
      </c>
      <c r="E248" s="6" t="s">
        <v>56</v>
      </c>
      <c r="F248" s="6" t="s">
        <v>43</v>
      </c>
      <c r="G248" s="6" t="s">
        <v>44</v>
      </c>
      <c r="H248" s="2">
        <v>2</v>
      </c>
      <c r="I248" s="2">
        <v>12596.1</v>
      </c>
      <c r="J248" s="2">
        <v>0.03</v>
      </c>
      <c r="K248" s="2">
        <v>24436.43</v>
      </c>
      <c r="L248" s="2">
        <v>19441.009999999998</v>
      </c>
      <c r="M248" s="2">
        <v>4995.42</v>
      </c>
      <c r="N248" s="6" t="s">
        <v>58</v>
      </c>
      <c r="O248" s="6" t="s">
        <v>22</v>
      </c>
    </row>
    <row r="249" spans="1:15" x14ac:dyDescent="0.3">
      <c r="A249" s="2" t="s">
        <v>384</v>
      </c>
      <c r="B249" s="5">
        <v>45978</v>
      </c>
      <c r="C249" s="6" t="s">
        <v>16</v>
      </c>
      <c r="D249" s="6" t="s">
        <v>82</v>
      </c>
      <c r="E249" s="6" t="s">
        <v>33</v>
      </c>
      <c r="F249" s="6" t="s">
        <v>27</v>
      </c>
      <c r="G249" s="6" t="s">
        <v>125</v>
      </c>
      <c r="H249" s="2">
        <v>2</v>
      </c>
      <c r="I249" s="2">
        <v>8468.58</v>
      </c>
      <c r="J249" s="2">
        <v>0.08</v>
      </c>
      <c r="K249" s="2">
        <v>15582.19</v>
      </c>
      <c r="L249" s="2">
        <v>10585.94</v>
      </c>
      <c r="M249" s="2">
        <v>4996.25</v>
      </c>
      <c r="N249" s="6" t="s">
        <v>29</v>
      </c>
      <c r="O249" s="6" t="s">
        <v>30</v>
      </c>
    </row>
    <row r="250" spans="1:15" x14ac:dyDescent="0.3">
      <c r="A250" s="2" t="s">
        <v>987</v>
      </c>
      <c r="B250" s="5">
        <v>45746</v>
      </c>
      <c r="C250" s="6" t="s">
        <v>63</v>
      </c>
      <c r="D250" s="6" t="s">
        <v>64</v>
      </c>
      <c r="E250" s="6" t="s">
        <v>33</v>
      </c>
      <c r="F250" s="6" t="s">
        <v>19</v>
      </c>
      <c r="G250" s="6" t="s">
        <v>61</v>
      </c>
      <c r="H250" s="2">
        <v>2</v>
      </c>
      <c r="I250" s="2">
        <v>9641.93</v>
      </c>
      <c r="J250" s="2">
        <v>0.1</v>
      </c>
      <c r="K250" s="2">
        <v>17355.47</v>
      </c>
      <c r="L250" s="2">
        <v>12349.11</v>
      </c>
      <c r="M250" s="2">
        <v>5006.3599999999997</v>
      </c>
      <c r="N250" s="6" t="s">
        <v>58</v>
      </c>
      <c r="O250" s="6" t="s">
        <v>40</v>
      </c>
    </row>
    <row r="251" spans="1:15" x14ac:dyDescent="0.3">
      <c r="A251" s="2" t="s">
        <v>667</v>
      </c>
      <c r="B251" s="5">
        <v>45932</v>
      </c>
      <c r="C251" s="6" t="s">
        <v>16</v>
      </c>
      <c r="D251" s="6" t="s">
        <v>82</v>
      </c>
      <c r="E251" s="6" t="s">
        <v>18</v>
      </c>
      <c r="F251" s="6" t="s">
        <v>43</v>
      </c>
      <c r="G251" s="6" t="s">
        <v>121</v>
      </c>
      <c r="H251" s="2">
        <v>5</v>
      </c>
      <c r="I251" s="2">
        <v>4877.75</v>
      </c>
      <c r="J251" s="2">
        <v>0.1</v>
      </c>
      <c r="K251" s="2">
        <v>21949.89</v>
      </c>
      <c r="L251" s="2">
        <v>16902.55</v>
      </c>
      <c r="M251" s="2">
        <v>5047.34</v>
      </c>
      <c r="N251" s="6" t="s">
        <v>58</v>
      </c>
      <c r="O251" s="6" t="s">
        <v>59</v>
      </c>
    </row>
    <row r="252" spans="1:15" x14ac:dyDescent="0.3">
      <c r="A252" s="2" t="s">
        <v>675</v>
      </c>
      <c r="B252" s="5">
        <v>45765</v>
      </c>
      <c r="C252" s="6" t="s">
        <v>37</v>
      </c>
      <c r="D252" s="6" t="s">
        <v>38</v>
      </c>
      <c r="E252" s="6" t="s">
        <v>49</v>
      </c>
      <c r="F252" s="6" t="s">
        <v>27</v>
      </c>
      <c r="G252" s="6" t="s">
        <v>89</v>
      </c>
      <c r="H252" s="2">
        <v>1</v>
      </c>
      <c r="I252" s="2">
        <v>33266.160000000003</v>
      </c>
      <c r="J252" s="2">
        <v>0</v>
      </c>
      <c r="K252" s="2">
        <v>33266.160000000003</v>
      </c>
      <c r="L252" s="2">
        <v>28197.89</v>
      </c>
      <c r="M252" s="2">
        <v>5068.2700000000004</v>
      </c>
      <c r="N252" s="6" t="s">
        <v>21</v>
      </c>
      <c r="O252" s="6" t="s">
        <v>40</v>
      </c>
    </row>
    <row r="253" spans="1:15" x14ac:dyDescent="0.3">
      <c r="A253" s="2" t="s">
        <v>154</v>
      </c>
      <c r="B253" s="5">
        <v>45795</v>
      </c>
      <c r="C253" s="6" t="s">
        <v>16</v>
      </c>
      <c r="D253" s="6" t="s">
        <v>32</v>
      </c>
      <c r="E253" s="6" t="s">
        <v>49</v>
      </c>
      <c r="F253" s="6" t="s">
        <v>34</v>
      </c>
      <c r="G253" s="6" t="s">
        <v>57</v>
      </c>
      <c r="H253" s="2">
        <v>1</v>
      </c>
      <c r="I253" s="2">
        <v>21539.69</v>
      </c>
      <c r="J253" s="2">
        <v>0.05</v>
      </c>
      <c r="K253" s="2">
        <v>20462.71</v>
      </c>
      <c r="L253" s="2">
        <v>15381.1</v>
      </c>
      <c r="M253" s="2">
        <v>5081.6099999999997</v>
      </c>
      <c r="N253" s="6" t="s">
        <v>58</v>
      </c>
      <c r="O253" s="6" t="s">
        <v>45</v>
      </c>
    </row>
    <row r="254" spans="1:15" x14ac:dyDescent="0.3">
      <c r="A254" s="2" t="s">
        <v>465</v>
      </c>
      <c r="B254" s="5">
        <v>45668</v>
      </c>
      <c r="C254" s="6" t="s">
        <v>37</v>
      </c>
      <c r="D254" s="6" t="s">
        <v>42</v>
      </c>
      <c r="E254" s="6" t="s">
        <v>49</v>
      </c>
      <c r="F254" s="6" t="s">
        <v>34</v>
      </c>
      <c r="G254" s="6" t="s">
        <v>35</v>
      </c>
      <c r="H254" s="2">
        <v>1</v>
      </c>
      <c r="I254" s="2">
        <v>18487.61</v>
      </c>
      <c r="J254" s="2">
        <v>0.1</v>
      </c>
      <c r="K254" s="2">
        <v>16638.849999999999</v>
      </c>
      <c r="L254" s="2">
        <v>11538.25</v>
      </c>
      <c r="M254" s="2">
        <v>5100.6000000000004</v>
      </c>
      <c r="N254" s="6" t="s">
        <v>58</v>
      </c>
      <c r="O254" s="6" t="s">
        <v>40</v>
      </c>
    </row>
    <row r="255" spans="1:15" x14ac:dyDescent="0.3">
      <c r="A255" s="2" t="s">
        <v>120</v>
      </c>
      <c r="B255" s="5">
        <v>45710</v>
      </c>
      <c r="C255" s="6" t="s">
        <v>54</v>
      </c>
      <c r="D255" s="6" t="s">
        <v>55</v>
      </c>
      <c r="E255" s="6" t="s">
        <v>49</v>
      </c>
      <c r="F255" s="6" t="s">
        <v>43</v>
      </c>
      <c r="G255" s="6" t="s">
        <v>121</v>
      </c>
      <c r="H255" s="2">
        <v>5</v>
      </c>
      <c r="I255" s="2">
        <v>4834.57</v>
      </c>
      <c r="J255" s="2">
        <v>0.03</v>
      </c>
      <c r="K255" s="2">
        <v>23447.66</v>
      </c>
      <c r="L255" s="2">
        <v>18322.11</v>
      </c>
      <c r="M255" s="2">
        <v>5125.55</v>
      </c>
      <c r="N255" s="6" t="s">
        <v>58</v>
      </c>
      <c r="O255" s="6" t="s">
        <v>30</v>
      </c>
    </row>
    <row r="256" spans="1:15" x14ac:dyDescent="0.3">
      <c r="A256" s="2" t="s">
        <v>742</v>
      </c>
      <c r="B256" s="5">
        <v>45976</v>
      </c>
      <c r="C256" s="6" t="s">
        <v>37</v>
      </c>
      <c r="D256" s="6" t="s">
        <v>25</v>
      </c>
      <c r="E256" s="6" t="s">
        <v>18</v>
      </c>
      <c r="F256" s="6" t="s">
        <v>34</v>
      </c>
      <c r="G256" s="6" t="s">
        <v>80</v>
      </c>
      <c r="H256" s="2">
        <v>4</v>
      </c>
      <c r="I256" s="2">
        <v>4396.37</v>
      </c>
      <c r="J256" s="2">
        <v>0.1</v>
      </c>
      <c r="K256" s="2">
        <v>15826.93</v>
      </c>
      <c r="L256" s="2">
        <v>10700.36</v>
      </c>
      <c r="M256" s="2">
        <v>5126.57</v>
      </c>
      <c r="N256" s="6" t="s">
        <v>21</v>
      </c>
      <c r="O256" s="6" t="s">
        <v>30</v>
      </c>
    </row>
    <row r="257" spans="1:15" x14ac:dyDescent="0.3">
      <c r="A257" s="2" t="s">
        <v>978</v>
      </c>
      <c r="B257" s="5">
        <v>45837</v>
      </c>
      <c r="C257" s="6" t="s">
        <v>37</v>
      </c>
      <c r="D257" s="6" t="s">
        <v>38</v>
      </c>
      <c r="E257" s="6" t="s">
        <v>18</v>
      </c>
      <c r="F257" s="6" t="s">
        <v>34</v>
      </c>
      <c r="G257" s="6" t="s">
        <v>57</v>
      </c>
      <c r="H257" s="2">
        <v>1</v>
      </c>
      <c r="I257" s="2">
        <v>21505.59</v>
      </c>
      <c r="J257" s="2">
        <v>0</v>
      </c>
      <c r="K257" s="2">
        <v>21505.59</v>
      </c>
      <c r="L257" s="2">
        <v>16375.21</v>
      </c>
      <c r="M257" s="2">
        <v>5130.38</v>
      </c>
      <c r="N257" s="6" t="s">
        <v>21</v>
      </c>
      <c r="O257" s="6" t="s">
        <v>45</v>
      </c>
    </row>
    <row r="258" spans="1:15" x14ac:dyDescent="0.3">
      <c r="A258" s="2" t="s">
        <v>1266</v>
      </c>
      <c r="B258" s="5">
        <v>45687</v>
      </c>
      <c r="C258" s="6" t="s">
        <v>63</v>
      </c>
      <c r="D258" s="6" t="s">
        <v>88</v>
      </c>
      <c r="E258" s="6" t="s">
        <v>33</v>
      </c>
      <c r="F258" s="6" t="s">
        <v>34</v>
      </c>
      <c r="G258" s="6" t="s">
        <v>35</v>
      </c>
      <c r="H258" s="2">
        <v>2</v>
      </c>
      <c r="I258" s="2">
        <v>18411.88</v>
      </c>
      <c r="J258" s="2">
        <v>0.05</v>
      </c>
      <c r="K258" s="2">
        <v>34982.57</v>
      </c>
      <c r="L258" s="2">
        <v>29841.34</v>
      </c>
      <c r="M258" s="2">
        <v>5141.2299999999996</v>
      </c>
      <c r="N258" s="6" t="s">
        <v>21</v>
      </c>
      <c r="O258" s="6" t="s">
        <v>40</v>
      </c>
    </row>
    <row r="259" spans="1:15" x14ac:dyDescent="0.3">
      <c r="A259" s="2" t="s">
        <v>282</v>
      </c>
      <c r="B259" s="5">
        <v>45768</v>
      </c>
      <c r="C259" s="6" t="s">
        <v>63</v>
      </c>
      <c r="D259" s="6" t="s">
        <v>64</v>
      </c>
      <c r="E259" s="6" t="s">
        <v>18</v>
      </c>
      <c r="F259" s="6" t="s">
        <v>34</v>
      </c>
      <c r="G259" s="6" t="s">
        <v>80</v>
      </c>
      <c r="H259" s="2">
        <v>6</v>
      </c>
      <c r="I259" s="2">
        <v>4768.79</v>
      </c>
      <c r="J259" s="2">
        <v>0.08</v>
      </c>
      <c r="K259" s="2">
        <v>26323.73</v>
      </c>
      <c r="L259" s="2">
        <v>21129.25</v>
      </c>
      <c r="M259" s="2">
        <v>5194.4799999999996</v>
      </c>
      <c r="N259" s="6" t="s">
        <v>21</v>
      </c>
      <c r="O259" s="6" t="s">
        <v>59</v>
      </c>
    </row>
    <row r="260" spans="1:15" x14ac:dyDescent="0.3">
      <c r="A260" s="2" t="s">
        <v>1302</v>
      </c>
      <c r="B260" s="5">
        <v>45702</v>
      </c>
      <c r="C260" s="6" t="s">
        <v>63</v>
      </c>
      <c r="D260" s="6" t="s">
        <v>117</v>
      </c>
      <c r="E260" s="6" t="s">
        <v>65</v>
      </c>
      <c r="F260" s="6" t="s">
        <v>27</v>
      </c>
      <c r="G260" s="6" t="s">
        <v>125</v>
      </c>
      <c r="H260" s="2">
        <v>2</v>
      </c>
      <c r="I260" s="2">
        <v>8857.76</v>
      </c>
      <c r="J260" s="2">
        <v>0.08</v>
      </c>
      <c r="K260" s="2">
        <v>16298.28</v>
      </c>
      <c r="L260" s="2">
        <v>11066.55</v>
      </c>
      <c r="M260" s="2">
        <v>5231.7299999999996</v>
      </c>
      <c r="N260" s="6" t="s">
        <v>29</v>
      </c>
      <c r="O260" s="6" t="s">
        <v>22</v>
      </c>
    </row>
    <row r="261" spans="1:15" x14ac:dyDescent="0.3">
      <c r="A261" s="2" t="s">
        <v>1112</v>
      </c>
      <c r="B261" s="5">
        <v>45952</v>
      </c>
      <c r="C261" s="6" t="s">
        <v>16</v>
      </c>
      <c r="D261" s="6" t="s">
        <v>32</v>
      </c>
      <c r="E261" s="6" t="s">
        <v>49</v>
      </c>
      <c r="F261" s="6" t="s">
        <v>34</v>
      </c>
      <c r="G261" s="6" t="s">
        <v>80</v>
      </c>
      <c r="H261" s="2">
        <v>5</v>
      </c>
      <c r="I261" s="2">
        <v>4269.01</v>
      </c>
      <c r="J261" s="2">
        <v>0.08</v>
      </c>
      <c r="K261" s="2">
        <v>19637.439999999999</v>
      </c>
      <c r="L261" s="2">
        <v>14363.32</v>
      </c>
      <c r="M261" s="2">
        <v>5274.12</v>
      </c>
      <c r="N261" s="6" t="s">
        <v>21</v>
      </c>
      <c r="O261" s="6" t="s">
        <v>22</v>
      </c>
    </row>
    <row r="262" spans="1:15" x14ac:dyDescent="0.3">
      <c r="A262" s="2" t="s">
        <v>974</v>
      </c>
      <c r="B262" s="5">
        <v>45692</v>
      </c>
      <c r="C262" s="6" t="s">
        <v>37</v>
      </c>
      <c r="D262" s="6" t="s">
        <v>25</v>
      </c>
      <c r="E262" s="6" t="s">
        <v>56</v>
      </c>
      <c r="F262" s="6" t="s">
        <v>43</v>
      </c>
      <c r="G262" s="6" t="s">
        <v>121</v>
      </c>
      <c r="H262" s="2">
        <v>5</v>
      </c>
      <c r="I262" s="2">
        <v>5151.2</v>
      </c>
      <c r="J262" s="2">
        <v>0.05</v>
      </c>
      <c r="K262" s="2">
        <v>24468.2</v>
      </c>
      <c r="L262" s="2">
        <v>19184.59</v>
      </c>
      <c r="M262" s="2">
        <v>5283.61</v>
      </c>
      <c r="N262" s="6" t="s">
        <v>58</v>
      </c>
      <c r="O262" s="6" t="s">
        <v>45</v>
      </c>
    </row>
    <row r="263" spans="1:15" x14ac:dyDescent="0.3">
      <c r="A263" s="2" t="s">
        <v>1124</v>
      </c>
      <c r="B263" s="5">
        <v>45718</v>
      </c>
      <c r="C263" s="6" t="s">
        <v>37</v>
      </c>
      <c r="D263" s="6" t="s">
        <v>25</v>
      </c>
      <c r="E263" s="6" t="s">
        <v>26</v>
      </c>
      <c r="F263" s="6" t="s">
        <v>34</v>
      </c>
      <c r="G263" s="6" t="s">
        <v>35</v>
      </c>
      <c r="H263" s="2">
        <v>1</v>
      </c>
      <c r="I263" s="2">
        <v>18057.59</v>
      </c>
      <c r="J263" s="2">
        <v>0.1</v>
      </c>
      <c r="K263" s="2">
        <v>16251.84</v>
      </c>
      <c r="L263" s="2">
        <v>10964.83</v>
      </c>
      <c r="M263" s="2">
        <v>5287.01</v>
      </c>
      <c r="N263" s="6" t="s">
        <v>21</v>
      </c>
      <c r="O263" s="6" t="s">
        <v>59</v>
      </c>
    </row>
    <row r="264" spans="1:15" x14ac:dyDescent="0.3">
      <c r="A264" s="2" t="s">
        <v>811</v>
      </c>
      <c r="B264" s="5">
        <v>45739</v>
      </c>
      <c r="C264" s="6" t="s">
        <v>16</v>
      </c>
      <c r="D264" s="6" t="s">
        <v>32</v>
      </c>
      <c r="E264" s="6" t="s">
        <v>33</v>
      </c>
      <c r="F264" s="6" t="s">
        <v>43</v>
      </c>
      <c r="G264" s="6" t="s">
        <v>121</v>
      </c>
      <c r="H264" s="2">
        <v>7</v>
      </c>
      <c r="I264" s="2">
        <v>4844.6000000000004</v>
      </c>
      <c r="J264" s="2">
        <v>0</v>
      </c>
      <c r="K264" s="2">
        <v>33912.230000000003</v>
      </c>
      <c r="L264" s="2">
        <v>28616.28</v>
      </c>
      <c r="M264" s="2">
        <v>5295.95</v>
      </c>
      <c r="N264" s="6" t="s">
        <v>58</v>
      </c>
      <c r="O264" s="6" t="s">
        <v>30</v>
      </c>
    </row>
    <row r="265" spans="1:15" x14ac:dyDescent="0.3">
      <c r="A265" s="2" t="s">
        <v>979</v>
      </c>
      <c r="B265" s="5">
        <v>45884</v>
      </c>
      <c r="C265" s="6" t="s">
        <v>16</v>
      </c>
      <c r="D265" s="6" t="s">
        <v>17</v>
      </c>
      <c r="E265" s="6" t="s">
        <v>65</v>
      </c>
      <c r="F265" s="6" t="s">
        <v>34</v>
      </c>
      <c r="G265" s="6" t="s">
        <v>80</v>
      </c>
      <c r="H265" s="2">
        <v>3</v>
      </c>
      <c r="I265" s="2">
        <v>4794.6499999999996</v>
      </c>
      <c r="J265" s="2">
        <v>0</v>
      </c>
      <c r="K265" s="2">
        <v>14383.94</v>
      </c>
      <c r="L265" s="2">
        <v>9087.7199999999993</v>
      </c>
      <c r="M265" s="2">
        <v>5296.22</v>
      </c>
      <c r="N265" s="6" t="s">
        <v>58</v>
      </c>
      <c r="O265" s="6" t="s">
        <v>59</v>
      </c>
    </row>
    <row r="266" spans="1:15" x14ac:dyDescent="0.3">
      <c r="A266" s="2" t="s">
        <v>925</v>
      </c>
      <c r="B266" s="5">
        <v>45906</v>
      </c>
      <c r="C266" s="6" t="s">
        <v>54</v>
      </c>
      <c r="D266" s="6" t="s">
        <v>174</v>
      </c>
      <c r="E266" s="6" t="s">
        <v>26</v>
      </c>
      <c r="F266" s="6" t="s">
        <v>43</v>
      </c>
      <c r="G266" s="6" t="s">
        <v>75</v>
      </c>
      <c r="H266" s="2">
        <v>1</v>
      </c>
      <c r="I266" s="2">
        <v>33387.46</v>
      </c>
      <c r="J266" s="2">
        <v>0</v>
      </c>
      <c r="K266" s="2">
        <v>33387.46</v>
      </c>
      <c r="L266" s="2">
        <v>28083.55</v>
      </c>
      <c r="M266" s="2">
        <v>5303.91</v>
      </c>
      <c r="N266" s="6" t="s">
        <v>29</v>
      </c>
      <c r="O266" s="6" t="s">
        <v>40</v>
      </c>
    </row>
    <row r="267" spans="1:15" x14ac:dyDescent="0.3">
      <c r="A267" s="2" t="s">
        <v>609</v>
      </c>
      <c r="B267" s="5">
        <v>45699</v>
      </c>
      <c r="C267" s="6" t="s">
        <v>16</v>
      </c>
      <c r="D267" s="6" t="s">
        <v>17</v>
      </c>
      <c r="E267" s="6" t="s">
        <v>18</v>
      </c>
      <c r="F267" s="6" t="s">
        <v>34</v>
      </c>
      <c r="G267" s="6" t="s">
        <v>80</v>
      </c>
      <c r="H267" s="2">
        <v>6</v>
      </c>
      <c r="I267" s="2">
        <v>4843.8</v>
      </c>
      <c r="J267" s="2">
        <v>0.1</v>
      </c>
      <c r="K267" s="2">
        <v>26156.51</v>
      </c>
      <c r="L267" s="2">
        <v>20846.169999999998</v>
      </c>
      <c r="M267" s="2">
        <v>5310.34</v>
      </c>
      <c r="N267" s="6" t="s">
        <v>21</v>
      </c>
      <c r="O267" s="6" t="s">
        <v>59</v>
      </c>
    </row>
    <row r="268" spans="1:15" x14ac:dyDescent="0.3">
      <c r="A268" s="2" t="s">
        <v>540</v>
      </c>
      <c r="B268" s="5">
        <v>45932</v>
      </c>
      <c r="C268" s="6" t="s">
        <v>54</v>
      </c>
      <c r="D268" s="6" t="s">
        <v>174</v>
      </c>
      <c r="E268" s="6" t="s">
        <v>49</v>
      </c>
      <c r="F268" s="6" t="s">
        <v>43</v>
      </c>
      <c r="G268" s="6" t="s">
        <v>44</v>
      </c>
      <c r="H268" s="2">
        <v>2</v>
      </c>
      <c r="I268" s="2">
        <v>11607.68</v>
      </c>
      <c r="J268" s="2">
        <v>0.1</v>
      </c>
      <c r="K268" s="2">
        <v>20893.82</v>
      </c>
      <c r="L268" s="2">
        <v>15577.83</v>
      </c>
      <c r="M268" s="2">
        <v>5315.99</v>
      </c>
      <c r="N268" s="6" t="s">
        <v>29</v>
      </c>
      <c r="O268" s="6" t="s">
        <v>40</v>
      </c>
    </row>
    <row r="269" spans="1:15" x14ac:dyDescent="0.3">
      <c r="A269" s="2" t="s">
        <v>1265</v>
      </c>
      <c r="B269" s="5">
        <v>45938</v>
      </c>
      <c r="C269" s="6" t="s">
        <v>16</v>
      </c>
      <c r="D269" s="6" t="s">
        <v>82</v>
      </c>
      <c r="E269" s="6" t="s">
        <v>18</v>
      </c>
      <c r="F269" s="6" t="s">
        <v>43</v>
      </c>
      <c r="G269" s="6" t="s">
        <v>121</v>
      </c>
      <c r="H269" s="2">
        <v>5</v>
      </c>
      <c r="I269" s="2">
        <v>4784</v>
      </c>
      <c r="J269" s="2">
        <v>0</v>
      </c>
      <c r="K269" s="2">
        <v>23920</v>
      </c>
      <c r="L269" s="2">
        <v>18569.5</v>
      </c>
      <c r="M269" s="2">
        <v>5350.5</v>
      </c>
      <c r="N269" s="6" t="s">
        <v>58</v>
      </c>
      <c r="O269" s="6" t="s">
        <v>59</v>
      </c>
    </row>
    <row r="270" spans="1:15" x14ac:dyDescent="0.3">
      <c r="A270" s="2" t="s">
        <v>1091</v>
      </c>
      <c r="B270" s="5">
        <v>45785</v>
      </c>
      <c r="C270" s="6" t="s">
        <v>54</v>
      </c>
      <c r="D270" s="6" t="s">
        <v>55</v>
      </c>
      <c r="E270" s="6" t="s">
        <v>26</v>
      </c>
      <c r="F270" s="6" t="s">
        <v>19</v>
      </c>
      <c r="G270" s="6" t="s">
        <v>61</v>
      </c>
      <c r="H270" s="2">
        <v>2</v>
      </c>
      <c r="I270" s="2">
        <v>9333.76</v>
      </c>
      <c r="J270" s="2">
        <v>0.03</v>
      </c>
      <c r="K270" s="2">
        <v>18107.490000000002</v>
      </c>
      <c r="L270" s="2">
        <v>12753.57</v>
      </c>
      <c r="M270" s="2">
        <v>5353.92</v>
      </c>
      <c r="N270" s="6" t="s">
        <v>21</v>
      </c>
      <c r="O270" s="6" t="s">
        <v>22</v>
      </c>
    </row>
    <row r="271" spans="1:15" x14ac:dyDescent="0.3">
      <c r="A271" s="2" t="s">
        <v>1263</v>
      </c>
      <c r="B271" s="5">
        <v>45903</v>
      </c>
      <c r="C271" s="6" t="s">
        <v>63</v>
      </c>
      <c r="D271" s="6" t="s">
        <v>88</v>
      </c>
      <c r="E271" s="6" t="s">
        <v>49</v>
      </c>
      <c r="F271" s="6" t="s">
        <v>34</v>
      </c>
      <c r="G271" s="6" t="s">
        <v>80</v>
      </c>
      <c r="H271" s="2">
        <v>6</v>
      </c>
      <c r="I271" s="2">
        <v>4324.97</v>
      </c>
      <c r="J271" s="2">
        <v>0.03</v>
      </c>
      <c r="K271" s="2">
        <v>25171.3</v>
      </c>
      <c r="L271" s="2">
        <v>19778.61</v>
      </c>
      <c r="M271" s="2">
        <v>5392.69</v>
      </c>
      <c r="N271" s="6" t="s">
        <v>29</v>
      </c>
      <c r="O271" s="6" t="s">
        <v>40</v>
      </c>
    </row>
    <row r="272" spans="1:15" x14ac:dyDescent="0.3">
      <c r="A272" s="2" t="s">
        <v>1134</v>
      </c>
      <c r="B272" s="5">
        <v>45963</v>
      </c>
      <c r="C272" s="6" t="s">
        <v>16</v>
      </c>
      <c r="D272" s="6" t="s">
        <v>52</v>
      </c>
      <c r="E272" s="6" t="s">
        <v>26</v>
      </c>
      <c r="F272" s="6" t="s">
        <v>34</v>
      </c>
      <c r="G272" s="6" t="s">
        <v>57</v>
      </c>
      <c r="H272" s="2">
        <v>1</v>
      </c>
      <c r="I272" s="2">
        <v>23181.21</v>
      </c>
      <c r="J272" s="2">
        <v>0.15</v>
      </c>
      <c r="K272" s="2">
        <v>19704.03</v>
      </c>
      <c r="L272" s="2">
        <v>14290.89</v>
      </c>
      <c r="M272" s="2">
        <v>5413.14</v>
      </c>
      <c r="N272" s="6" t="s">
        <v>58</v>
      </c>
      <c r="O272" s="6" t="s">
        <v>59</v>
      </c>
    </row>
    <row r="273" spans="1:15" x14ac:dyDescent="0.3">
      <c r="A273" s="2" t="s">
        <v>358</v>
      </c>
      <c r="B273" s="5">
        <v>45871</v>
      </c>
      <c r="C273" s="6" t="s">
        <v>63</v>
      </c>
      <c r="D273" s="6" t="s">
        <v>64</v>
      </c>
      <c r="E273" s="6" t="s">
        <v>56</v>
      </c>
      <c r="F273" s="6" t="s">
        <v>43</v>
      </c>
      <c r="G273" s="6" t="s">
        <v>121</v>
      </c>
      <c r="H273" s="2">
        <v>5</v>
      </c>
      <c r="I273" s="2">
        <v>5082.79</v>
      </c>
      <c r="J273" s="2">
        <v>0.05</v>
      </c>
      <c r="K273" s="2">
        <v>24143.27</v>
      </c>
      <c r="L273" s="2">
        <v>18722.53</v>
      </c>
      <c r="M273" s="2">
        <v>5420.74</v>
      </c>
      <c r="N273" s="6" t="s">
        <v>21</v>
      </c>
      <c r="O273" s="6" t="s">
        <v>59</v>
      </c>
    </row>
    <row r="274" spans="1:15" x14ac:dyDescent="0.3">
      <c r="A274" s="2" t="s">
        <v>452</v>
      </c>
      <c r="B274" s="5">
        <v>45988</v>
      </c>
      <c r="C274" s="6" t="s">
        <v>54</v>
      </c>
      <c r="D274" s="6" t="s">
        <v>174</v>
      </c>
      <c r="E274" s="6" t="s">
        <v>26</v>
      </c>
      <c r="F274" s="6" t="s">
        <v>34</v>
      </c>
      <c r="G274" s="6" t="s">
        <v>80</v>
      </c>
      <c r="H274" s="2">
        <v>7</v>
      </c>
      <c r="I274" s="2">
        <v>4857.2299999999996</v>
      </c>
      <c r="J274" s="2">
        <v>0.1</v>
      </c>
      <c r="K274" s="2">
        <v>30600.57</v>
      </c>
      <c r="L274" s="2">
        <v>25177.200000000001</v>
      </c>
      <c r="M274" s="2">
        <v>5423.37</v>
      </c>
      <c r="N274" s="6" t="s">
        <v>58</v>
      </c>
      <c r="O274" s="6" t="s">
        <v>45</v>
      </c>
    </row>
    <row r="275" spans="1:15" x14ac:dyDescent="0.3">
      <c r="A275" s="2" t="s">
        <v>580</v>
      </c>
      <c r="B275" s="5">
        <v>45803</v>
      </c>
      <c r="C275" s="6" t="s">
        <v>16</v>
      </c>
      <c r="D275" s="6" t="s">
        <v>52</v>
      </c>
      <c r="E275" s="6" t="s">
        <v>49</v>
      </c>
      <c r="F275" s="6" t="s">
        <v>34</v>
      </c>
      <c r="G275" s="6" t="s">
        <v>57</v>
      </c>
      <c r="H275" s="2">
        <v>1</v>
      </c>
      <c r="I275" s="2">
        <v>23359.32</v>
      </c>
      <c r="J275" s="2">
        <v>0.05</v>
      </c>
      <c r="K275" s="2">
        <v>22191.360000000001</v>
      </c>
      <c r="L275" s="2">
        <v>16765.61</v>
      </c>
      <c r="M275" s="2">
        <v>5425.75</v>
      </c>
      <c r="N275" s="6" t="s">
        <v>58</v>
      </c>
      <c r="O275" s="6" t="s">
        <v>45</v>
      </c>
    </row>
    <row r="276" spans="1:15" x14ac:dyDescent="0.3">
      <c r="A276" s="2" t="s">
        <v>1243</v>
      </c>
      <c r="B276" s="5">
        <v>46004</v>
      </c>
      <c r="C276" s="6" t="s">
        <v>16</v>
      </c>
      <c r="D276" s="6" t="s">
        <v>17</v>
      </c>
      <c r="E276" s="6" t="s">
        <v>56</v>
      </c>
      <c r="F276" s="6" t="s">
        <v>27</v>
      </c>
      <c r="G276" s="6" t="s">
        <v>125</v>
      </c>
      <c r="H276" s="2">
        <v>3</v>
      </c>
      <c r="I276" s="2">
        <v>8671.99</v>
      </c>
      <c r="J276" s="2">
        <v>0.05</v>
      </c>
      <c r="K276" s="2">
        <v>24715.17</v>
      </c>
      <c r="L276" s="2">
        <v>19251.25</v>
      </c>
      <c r="M276" s="2">
        <v>5463.92</v>
      </c>
      <c r="N276" s="6" t="s">
        <v>58</v>
      </c>
      <c r="O276" s="6" t="s">
        <v>59</v>
      </c>
    </row>
    <row r="277" spans="1:15" x14ac:dyDescent="0.3">
      <c r="A277" s="2" t="s">
        <v>1063</v>
      </c>
      <c r="B277" s="5">
        <v>45903</v>
      </c>
      <c r="C277" s="6" t="s">
        <v>37</v>
      </c>
      <c r="D277" s="6" t="s">
        <v>42</v>
      </c>
      <c r="E277" s="6" t="s">
        <v>33</v>
      </c>
      <c r="F277" s="6" t="s">
        <v>34</v>
      </c>
      <c r="G277" s="6" t="s">
        <v>57</v>
      </c>
      <c r="H277" s="2">
        <v>1</v>
      </c>
      <c r="I277" s="2">
        <v>20316.52</v>
      </c>
      <c r="J277" s="2">
        <v>0.05</v>
      </c>
      <c r="K277" s="2">
        <v>19300.689999999999</v>
      </c>
      <c r="L277" s="2">
        <v>13781.18</v>
      </c>
      <c r="M277" s="2">
        <v>5519.51</v>
      </c>
      <c r="N277" s="6" t="s">
        <v>58</v>
      </c>
      <c r="O277" s="6" t="s">
        <v>45</v>
      </c>
    </row>
    <row r="278" spans="1:15" x14ac:dyDescent="0.3">
      <c r="A278" s="2" t="s">
        <v>1325</v>
      </c>
      <c r="B278" s="5">
        <v>45835</v>
      </c>
      <c r="C278" s="6" t="s">
        <v>16</v>
      </c>
      <c r="D278" s="6" t="s">
        <v>82</v>
      </c>
      <c r="E278" s="6" t="s">
        <v>69</v>
      </c>
      <c r="F278" s="6" t="s">
        <v>43</v>
      </c>
      <c r="G278" s="6" t="s">
        <v>121</v>
      </c>
      <c r="H278" s="2">
        <v>4</v>
      </c>
      <c r="I278" s="2">
        <v>4986.03</v>
      </c>
      <c r="J278" s="2">
        <v>0.1</v>
      </c>
      <c r="K278" s="2">
        <v>17949.71</v>
      </c>
      <c r="L278" s="2">
        <v>12393.96</v>
      </c>
      <c r="M278" s="2">
        <v>5555.75</v>
      </c>
      <c r="N278" s="6" t="s">
        <v>58</v>
      </c>
      <c r="O278" s="6" t="s">
        <v>22</v>
      </c>
    </row>
    <row r="279" spans="1:15" x14ac:dyDescent="0.3">
      <c r="A279" s="2" t="s">
        <v>727</v>
      </c>
      <c r="B279" s="5">
        <v>45807</v>
      </c>
      <c r="C279" s="6" t="s">
        <v>63</v>
      </c>
      <c r="D279" s="6" t="s">
        <v>64</v>
      </c>
      <c r="E279" s="6" t="s">
        <v>56</v>
      </c>
      <c r="F279" s="6" t="s">
        <v>43</v>
      </c>
      <c r="G279" s="6" t="s">
        <v>75</v>
      </c>
      <c r="H279" s="2">
        <v>1</v>
      </c>
      <c r="I279" s="2">
        <v>35792.269999999997</v>
      </c>
      <c r="J279" s="2">
        <v>0.03</v>
      </c>
      <c r="K279" s="2">
        <v>34718.5</v>
      </c>
      <c r="L279" s="2">
        <v>29148.34</v>
      </c>
      <c r="M279" s="2">
        <v>5570.16</v>
      </c>
      <c r="N279" s="6" t="s">
        <v>29</v>
      </c>
      <c r="O279" s="6" t="s">
        <v>59</v>
      </c>
    </row>
    <row r="280" spans="1:15" x14ac:dyDescent="0.3">
      <c r="A280" s="2" t="s">
        <v>425</v>
      </c>
      <c r="B280" s="5">
        <v>45718</v>
      </c>
      <c r="C280" s="6" t="s">
        <v>54</v>
      </c>
      <c r="D280" s="6" t="s">
        <v>48</v>
      </c>
      <c r="E280" s="6" t="s">
        <v>33</v>
      </c>
      <c r="F280" s="6" t="s">
        <v>43</v>
      </c>
      <c r="G280" s="6" t="s">
        <v>44</v>
      </c>
      <c r="H280" s="2">
        <v>2</v>
      </c>
      <c r="I280" s="2">
        <v>11082.07</v>
      </c>
      <c r="J280" s="2">
        <v>0.03</v>
      </c>
      <c r="K280" s="2">
        <v>21499.22</v>
      </c>
      <c r="L280" s="2">
        <v>15923</v>
      </c>
      <c r="M280" s="2">
        <v>5576.22</v>
      </c>
      <c r="N280" s="6" t="s">
        <v>29</v>
      </c>
      <c r="O280" s="6" t="s">
        <v>40</v>
      </c>
    </row>
    <row r="281" spans="1:15" x14ac:dyDescent="0.3">
      <c r="A281" s="2" t="s">
        <v>1064</v>
      </c>
      <c r="B281" s="5">
        <v>45967</v>
      </c>
      <c r="C281" s="6" t="s">
        <v>63</v>
      </c>
      <c r="D281" s="6" t="s">
        <v>95</v>
      </c>
      <c r="E281" s="6" t="s">
        <v>26</v>
      </c>
      <c r="F281" s="6" t="s">
        <v>34</v>
      </c>
      <c r="G281" s="6" t="s">
        <v>80</v>
      </c>
      <c r="H281" s="2">
        <v>6</v>
      </c>
      <c r="I281" s="2">
        <v>4445.88</v>
      </c>
      <c r="J281" s="2">
        <v>0.05</v>
      </c>
      <c r="K281" s="2">
        <v>25341.51</v>
      </c>
      <c r="L281" s="2">
        <v>19748.93</v>
      </c>
      <c r="M281" s="2">
        <v>5592.58</v>
      </c>
      <c r="N281" s="6" t="s">
        <v>21</v>
      </c>
      <c r="O281" s="6" t="s">
        <v>40</v>
      </c>
    </row>
    <row r="282" spans="1:15" x14ac:dyDescent="0.3">
      <c r="A282" s="2" t="s">
        <v>786</v>
      </c>
      <c r="B282" s="5">
        <v>45989</v>
      </c>
      <c r="C282" s="6" t="s">
        <v>37</v>
      </c>
      <c r="D282" s="6" t="s">
        <v>25</v>
      </c>
      <c r="E282" s="6" t="s">
        <v>26</v>
      </c>
      <c r="F282" s="6" t="s">
        <v>19</v>
      </c>
      <c r="G282" s="6" t="s">
        <v>61</v>
      </c>
      <c r="H282" s="2">
        <v>4</v>
      </c>
      <c r="I282" s="2">
        <v>9318.89</v>
      </c>
      <c r="J282" s="2">
        <v>0.1</v>
      </c>
      <c r="K282" s="2">
        <v>33547.99</v>
      </c>
      <c r="L282" s="2">
        <v>27898.26</v>
      </c>
      <c r="M282" s="2">
        <v>5649.73</v>
      </c>
      <c r="N282" s="6" t="s">
        <v>21</v>
      </c>
      <c r="O282" s="6" t="s">
        <v>22</v>
      </c>
    </row>
    <row r="283" spans="1:15" x14ac:dyDescent="0.3">
      <c r="A283" s="2" t="s">
        <v>1275</v>
      </c>
      <c r="B283" s="5">
        <v>45670</v>
      </c>
      <c r="C283" s="6" t="s">
        <v>54</v>
      </c>
      <c r="D283" s="6" t="s">
        <v>124</v>
      </c>
      <c r="E283" s="6" t="s">
        <v>18</v>
      </c>
      <c r="F283" s="6" t="s">
        <v>43</v>
      </c>
      <c r="G283" s="6" t="s">
        <v>121</v>
      </c>
      <c r="H283" s="2">
        <v>7</v>
      </c>
      <c r="I283" s="2">
        <v>5017.46</v>
      </c>
      <c r="J283" s="2">
        <v>0.03</v>
      </c>
      <c r="K283" s="2">
        <v>34068.54</v>
      </c>
      <c r="L283" s="2">
        <v>28416.13</v>
      </c>
      <c r="M283" s="2">
        <v>5652.41</v>
      </c>
      <c r="N283" s="6" t="s">
        <v>58</v>
      </c>
      <c r="O283" s="6" t="s">
        <v>59</v>
      </c>
    </row>
    <row r="284" spans="1:15" x14ac:dyDescent="0.3">
      <c r="A284" s="2" t="s">
        <v>480</v>
      </c>
      <c r="B284" s="5">
        <v>45812</v>
      </c>
      <c r="C284" s="6" t="s">
        <v>54</v>
      </c>
      <c r="D284" s="6" t="s">
        <v>174</v>
      </c>
      <c r="E284" s="6" t="s">
        <v>33</v>
      </c>
      <c r="F284" s="6" t="s">
        <v>34</v>
      </c>
      <c r="G284" s="6" t="s">
        <v>35</v>
      </c>
      <c r="H284" s="2">
        <v>1</v>
      </c>
      <c r="I284" s="2">
        <v>18787.34</v>
      </c>
      <c r="J284" s="2">
        <v>0.1</v>
      </c>
      <c r="K284" s="2">
        <v>16908.599999999999</v>
      </c>
      <c r="L284" s="2">
        <v>11250.87</v>
      </c>
      <c r="M284" s="2">
        <v>5657.73</v>
      </c>
      <c r="N284" s="6" t="s">
        <v>21</v>
      </c>
      <c r="O284" s="6" t="s">
        <v>30</v>
      </c>
    </row>
    <row r="285" spans="1:15" x14ac:dyDescent="0.3">
      <c r="A285" s="2" t="s">
        <v>501</v>
      </c>
      <c r="B285" s="5">
        <v>45701</v>
      </c>
      <c r="C285" s="6" t="s">
        <v>54</v>
      </c>
      <c r="D285" s="6" t="s">
        <v>174</v>
      </c>
      <c r="E285" s="6" t="s">
        <v>49</v>
      </c>
      <c r="F285" s="6" t="s">
        <v>19</v>
      </c>
      <c r="G285" s="6" t="s">
        <v>106</v>
      </c>
      <c r="H285" s="2">
        <v>3</v>
      </c>
      <c r="I285" s="2">
        <v>13398.52</v>
      </c>
      <c r="J285" s="2">
        <v>0.08</v>
      </c>
      <c r="K285" s="2">
        <v>36979.9</v>
      </c>
      <c r="L285" s="2">
        <v>31271.83</v>
      </c>
      <c r="M285" s="2">
        <v>5708.07</v>
      </c>
      <c r="N285" s="6" t="s">
        <v>58</v>
      </c>
      <c r="O285" s="6" t="s">
        <v>45</v>
      </c>
    </row>
    <row r="286" spans="1:15" x14ac:dyDescent="0.3">
      <c r="A286" s="2" t="s">
        <v>1303</v>
      </c>
      <c r="B286" s="5">
        <v>45945</v>
      </c>
      <c r="C286" s="6" t="s">
        <v>63</v>
      </c>
      <c r="D286" s="6" t="s">
        <v>64</v>
      </c>
      <c r="E286" s="6" t="s">
        <v>18</v>
      </c>
      <c r="F286" s="6" t="s">
        <v>19</v>
      </c>
      <c r="G286" s="6" t="s">
        <v>61</v>
      </c>
      <c r="H286" s="2">
        <v>3</v>
      </c>
      <c r="I286" s="2">
        <v>9279.69</v>
      </c>
      <c r="J286" s="2">
        <v>0.1</v>
      </c>
      <c r="K286" s="2">
        <v>25055.15</v>
      </c>
      <c r="L286" s="2">
        <v>19344.97</v>
      </c>
      <c r="M286" s="2">
        <v>5710.18</v>
      </c>
      <c r="N286" s="6" t="s">
        <v>21</v>
      </c>
      <c r="O286" s="6" t="s">
        <v>40</v>
      </c>
    </row>
    <row r="287" spans="1:15" x14ac:dyDescent="0.3">
      <c r="A287" s="2" t="s">
        <v>614</v>
      </c>
      <c r="B287" s="5">
        <v>45983</v>
      </c>
      <c r="C287" s="6" t="s">
        <v>16</v>
      </c>
      <c r="D287" s="6" t="s">
        <v>82</v>
      </c>
      <c r="E287" s="6" t="s">
        <v>74</v>
      </c>
      <c r="F287" s="6" t="s">
        <v>43</v>
      </c>
      <c r="G287" s="6" t="s">
        <v>44</v>
      </c>
      <c r="H287" s="2">
        <v>2</v>
      </c>
      <c r="I287" s="2">
        <v>11361.73</v>
      </c>
      <c r="J287" s="2">
        <v>0.03</v>
      </c>
      <c r="K287" s="2">
        <v>22041.75</v>
      </c>
      <c r="L287" s="2">
        <v>16328.59</v>
      </c>
      <c r="M287" s="2">
        <v>5713.16</v>
      </c>
      <c r="N287" s="6" t="s">
        <v>29</v>
      </c>
      <c r="O287" s="6" t="s">
        <v>30</v>
      </c>
    </row>
    <row r="288" spans="1:15" x14ac:dyDescent="0.3">
      <c r="A288" s="2" t="s">
        <v>495</v>
      </c>
      <c r="B288" s="5">
        <v>45768</v>
      </c>
      <c r="C288" s="6" t="s">
        <v>16</v>
      </c>
      <c r="D288" s="6" t="s">
        <v>32</v>
      </c>
      <c r="E288" s="6" t="s">
        <v>33</v>
      </c>
      <c r="F288" s="6" t="s">
        <v>34</v>
      </c>
      <c r="G288" s="6" t="s">
        <v>35</v>
      </c>
      <c r="H288" s="2">
        <v>1</v>
      </c>
      <c r="I288" s="2">
        <v>18552.990000000002</v>
      </c>
      <c r="J288" s="2">
        <v>0.05</v>
      </c>
      <c r="K288" s="2">
        <v>17625.34</v>
      </c>
      <c r="L288" s="2">
        <v>11885.92</v>
      </c>
      <c r="M288" s="2">
        <v>5739.42</v>
      </c>
      <c r="N288" s="6" t="s">
        <v>29</v>
      </c>
      <c r="O288" s="6" t="s">
        <v>30</v>
      </c>
    </row>
    <row r="289" spans="1:15" x14ac:dyDescent="0.3">
      <c r="A289" s="2" t="s">
        <v>737</v>
      </c>
      <c r="B289" s="5">
        <v>45677</v>
      </c>
      <c r="C289" s="6" t="s">
        <v>1356</v>
      </c>
      <c r="D289" s="6" t="s">
        <v>68</v>
      </c>
      <c r="E289" s="6" t="s">
        <v>69</v>
      </c>
      <c r="F289" s="6" t="s">
        <v>27</v>
      </c>
      <c r="G289" s="6" t="s">
        <v>125</v>
      </c>
      <c r="H289" s="2">
        <v>5</v>
      </c>
      <c r="I289" s="2">
        <v>8284.68</v>
      </c>
      <c r="J289" s="2">
        <v>0.15</v>
      </c>
      <c r="K289" s="2">
        <v>35209.879999999997</v>
      </c>
      <c r="L289" s="2">
        <v>29462.42</v>
      </c>
      <c r="M289" s="2">
        <v>5747.46</v>
      </c>
      <c r="N289" s="6" t="s">
        <v>29</v>
      </c>
      <c r="O289" s="6" t="s">
        <v>40</v>
      </c>
    </row>
    <row r="290" spans="1:15" x14ac:dyDescent="0.3">
      <c r="A290" s="2" t="s">
        <v>598</v>
      </c>
      <c r="B290" s="5">
        <v>45770</v>
      </c>
      <c r="C290" s="6" t="s">
        <v>63</v>
      </c>
      <c r="D290" s="6" t="s">
        <v>95</v>
      </c>
      <c r="E290" s="6" t="s">
        <v>49</v>
      </c>
      <c r="F290" s="6" t="s">
        <v>43</v>
      </c>
      <c r="G290" s="6" t="s">
        <v>121</v>
      </c>
      <c r="H290" s="2">
        <v>6</v>
      </c>
      <c r="I290" s="2">
        <v>4756.57</v>
      </c>
      <c r="J290" s="2">
        <v>0.1</v>
      </c>
      <c r="K290" s="2">
        <v>25685.48</v>
      </c>
      <c r="L290" s="2">
        <v>19924.21</v>
      </c>
      <c r="M290" s="2">
        <v>5761.27</v>
      </c>
      <c r="N290" s="6" t="s">
        <v>21</v>
      </c>
      <c r="O290" s="6" t="s">
        <v>59</v>
      </c>
    </row>
    <row r="291" spans="1:15" x14ac:dyDescent="0.3">
      <c r="A291" s="2" t="s">
        <v>635</v>
      </c>
      <c r="B291" s="5">
        <v>45692</v>
      </c>
      <c r="C291" s="6" t="s">
        <v>63</v>
      </c>
      <c r="D291" s="6" t="s">
        <v>95</v>
      </c>
      <c r="E291" s="6" t="s">
        <v>74</v>
      </c>
      <c r="F291" s="6" t="s">
        <v>34</v>
      </c>
      <c r="G291" s="6" t="s">
        <v>80</v>
      </c>
      <c r="H291" s="2">
        <v>8</v>
      </c>
      <c r="I291" s="2">
        <v>4371.8900000000003</v>
      </c>
      <c r="J291" s="2">
        <v>0.05</v>
      </c>
      <c r="K291" s="2">
        <v>33226.35</v>
      </c>
      <c r="L291" s="2">
        <v>27441.79</v>
      </c>
      <c r="M291" s="2">
        <v>5784.56</v>
      </c>
      <c r="N291" s="6" t="s">
        <v>21</v>
      </c>
      <c r="O291" s="6" t="s">
        <v>59</v>
      </c>
    </row>
    <row r="292" spans="1:15" x14ac:dyDescent="0.3">
      <c r="A292" s="2" t="s">
        <v>219</v>
      </c>
      <c r="B292" s="5">
        <v>45880</v>
      </c>
      <c r="C292" s="6" t="s">
        <v>37</v>
      </c>
      <c r="D292" s="6" t="s">
        <v>42</v>
      </c>
      <c r="E292" s="6" t="s">
        <v>56</v>
      </c>
      <c r="F292" s="6" t="s">
        <v>27</v>
      </c>
      <c r="G292" s="6" t="s">
        <v>125</v>
      </c>
      <c r="H292" s="2">
        <v>3</v>
      </c>
      <c r="I292" s="2">
        <v>9038.86</v>
      </c>
      <c r="J292" s="2">
        <v>0.08</v>
      </c>
      <c r="K292" s="2">
        <v>24947.26</v>
      </c>
      <c r="L292" s="2">
        <v>19159.12</v>
      </c>
      <c r="M292" s="2">
        <v>5788.14</v>
      </c>
      <c r="N292" s="6" t="s">
        <v>29</v>
      </c>
      <c r="O292" s="6" t="s">
        <v>59</v>
      </c>
    </row>
    <row r="293" spans="1:15" x14ac:dyDescent="0.3">
      <c r="A293" s="2" t="s">
        <v>331</v>
      </c>
      <c r="B293" s="5">
        <v>45981</v>
      </c>
      <c r="C293" s="6" t="s">
        <v>63</v>
      </c>
      <c r="D293" s="6" t="s">
        <v>95</v>
      </c>
      <c r="E293" s="6" t="s">
        <v>69</v>
      </c>
      <c r="F293" s="6" t="s">
        <v>34</v>
      </c>
      <c r="G293" s="6" t="s">
        <v>80</v>
      </c>
      <c r="H293" s="2">
        <v>7</v>
      </c>
      <c r="I293" s="2">
        <v>4182.8599999999997</v>
      </c>
      <c r="J293" s="2">
        <v>0.08</v>
      </c>
      <c r="K293" s="2">
        <v>26937.599999999999</v>
      </c>
      <c r="L293" s="2">
        <v>21140.13</v>
      </c>
      <c r="M293" s="2">
        <v>5797.47</v>
      </c>
      <c r="N293" s="6" t="s">
        <v>21</v>
      </c>
      <c r="O293" s="6" t="s">
        <v>40</v>
      </c>
    </row>
    <row r="294" spans="1:15" x14ac:dyDescent="0.3">
      <c r="A294" s="2" t="s">
        <v>1029</v>
      </c>
      <c r="B294" s="5">
        <v>45943</v>
      </c>
      <c r="C294" s="6" t="s">
        <v>37</v>
      </c>
      <c r="D294" s="6" t="s">
        <v>42</v>
      </c>
      <c r="E294" s="6" t="s">
        <v>65</v>
      </c>
      <c r="F294" s="6" t="s">
        <v>27</v>
      </c>
      <c r="G294" s="6" t="s">
        <v>50</v>
      </c>
      <c r="H294" s="2">
        <v>1</v>
      </c>
      <c r="I294" s="2">
        <v>30877.09</v>
      </c>
      <c r="J294" s="2">
        <v>0.08</v>
      </c>
      <c r="K294" s="2">
        <v>28406.92</v>
      </c>
      <c r="L294" s="2">
        <v>22566.48</v>
      </c>
      <c r="M294" s="2">
        <v>5840.44</v>
      </c>
      <c r="N294" s="6" t="s">
        <v>58</v>
      </c>
      <c r="O294" s="6" t="s">
        <v>40</v>
      </c>
    </row>
    <row r="295" spans="1:15" x14ac:dyDescent="0.3">
      <c r="A295" s="2" t="s">
        <v>649</v>
      </c>
      <c r="B295" s="5">
        <v>45808</v>
      </c>
      <c r="C295" s="6" t="s">
        <v>63</v>
      </c>
      <c r="D295" s="6" t="s">
        <v>64</v>
      </c>
      <c r="E295" s="6" t="s">
        <v>18</v>
      </c>
      <c r="F295" s="6" t="s">
        <v>34</v>
      </c>
      <c r="G295" s="6" t="s">
        <v>80</v>
      </c>
      <c r="H295" s="2">
        <v>6</v>
      </c>
      <c r="I295" s="2">
        <v>4481.3900000000003</v>
      </c>
      <c r="J295" s="2">
        <v>0.03</v>
      </c>
      <c r="K295" s="2">
        <v>26081.71</v>
      </c>
      <c r="L295" s="2">
        <v>20030.47</v>
      </c>
      <c r="M295" s="2">
        <v>6051.24</v>
      </c>
      <c r="N295" s="6" t="s">
        <v>21</v>
      </c>
      <c r="O295" s="6" t="s">
        <v>45</v>
      </c>
    </row>
    <row r="296" spans="1:15" x14ac:dyDescent="0.3">
      <c r="A296" s="2" t="s">
        <v>1258</v>
      </c>
      <c r="B296" s="5">
        <v>45920</v>
      </c>
      <c r="C296" s="6" t="s">
        <v>54</v>
      </c>
      <c r="D296" s="6" t="s">
        <v>55</v>
      </c>
      <c r="E296" s="6" t="s">
        <v>33</v>
      </c>
      <c r="F296" s="6" t="s">
        <v>43</v>
      </c>
      <c r="G296" s="6" t="s">
        <v>75</v>
      </c>
      <c r="H296" s="2">
        <v>1</v>
      </c>
      <c r="I296" s="2">
        <v>34799.480000000003</v>
      </c>
      <c r="J296" s="2">
        <v>0</v>
      </c>
      <c r="K296" s="2">
        <v>34799.480000000003</v>
      </c>
      <c r="L296" s="2">
        <v>28719.16</v>
      </c>
      <c r="M296" s="2">
        <v>6080.32</v>
      </c>
      <c r="N296" s="6" t="s">
        <v>29</v>
      </c>
      <c r="O296" s="6" t="s">
        <v>59</v>
      </c>
    </row>
    <row r="297" spans="1:15" x14ac:dyDescent="0.3">
      <c r="A297" s="2" t="s">
        <v>493</v>
      </c>
      <c r="B297" s="5">
        <v>46017</v>
      </c>
      <c r="C297" s="6" t="s">
        <v>63</v>
      </c>
      <c r="D297" s="6" t="s">
        <v>64</v>
      </c>
      <c r="E297" s="6" t="s">
        <v>65</v>
      </c>
      <c r="F297" s="6" t="s">
        <v>34</v>
      </c>
      <c r="G297" s="6" t="s">
        <v>80</v>
      </c>
      <c r="H297" s="2">
        <v>6</v>
      </c>
      <c r="I297" s="2">
        <v>4294.58</v>
      </c>
      <c r="J297" s="2">
        <v>0</v>
      </c>
      <c r="K297" s="2">
        <v>25767.49</v>
      </c>
      <c r="L297" s="2">
        <v>19654.5</v>
      </c>
      <c r="M297" s="2">
        <v>6112.99</v>
      </c>
      <c r="N297" s="6" t="s">
        <v>21</v>
      </c>
      <c r="O297" s="6" t="s">
        <v>22</v>
      </c>
    </row>
    <row r="298" spans="1:15" x14ac:dyDescent="0.3">
      <c r="A298" s="2" t="s">
        <v>654</v>
      </c>
      <c r="B298" s="5">
        <v>45803</v>
      </c>
      <c r="C298" s="6" t="s">
        <v>54</v>
      </c>
      <c r="D298" s="6" t="s">
        <v>55</v>
      </c>
      <c r="E298" s="6" t="s">
        <v>26</v>
      </c>
      <c r="F298" s="6" t="s">
        <v>34</v>
      </c>
      <c r="G298" s="6" t="s">
        <v>35</v>
      </c>
      <c r="H298" s="2">
        <v>2</v>
      </c>
      <c r="I298" s="2">
        <v>18869.3</v>
      </c>
      <c r="J298" s="2">
        <v>0.05</v>
      </c>
      <c r="K298" s="2">
        <v>35851.67</v>
      </c>
      <c r="L298" s="2">
        <v>29709.85</v>
      </c>
      <c r="M298" s="2">
        <v>6141.82</v>
      </c>
      <c r="N298" s="6" t="s">
        <v>58</v>
      </c>
      <c r="O298" s="6" t="s">
        <v>30</v>
      </c>
    </row>
    <row r="299" spans="1:15" x14ac:dyDescent="0.3">
      <c r="A299" s="2" t="s">
        <v>1235</v>
      </c>
      <c r="B299" s="5">
        <v>45700</v>
      </c>
      <c r="C299" s="6" t="s">
        <v>16</v>
      </c>
      <c r="D299" s="6" t="s">
        <v>52</v>
      </c>
      <c r="E299" s="6" t="s">
        <v>26</v>
      </c>
      <c r="F299" s="6" t="s">
        <v>27</v>
      </c>
      <c r="G299" s="6" t="s">
        <v>89</v>
      </c>
      <c r="H299" s="2">
        <v>1</v>
      </c>
      <c r="I299" s="2">
        <v>34212.36</v>
      </c>
      <c r="J299" s="2">
        <v>0.08</v>
      </c>
      <c r="K299" s="2">
        <v>31475.37</v>
      </c>
      <c r="L299" s="2">
        <v>25290.73</v>
      </c>
      <c r="M299" s="2">
        <v>6184.64</v>
      </c>
      <c r="N299" s="6" t="s">
        <v>29</v>
      </c>
      <c r="O299" s="6" t="s">
        <v>45</v>
      </c>
    </row>
    <row r="300" spans="1:15" x14ac:dyDescent="0.3">
      <c r="A300" s="2" t="s">
        <v>1247</v>
      </c>
      <c r="B300" s="5">
        <v>45826</v>
      </c>
      <c r="C300" s="6" t="s">
        <v>54</v>
      </c>
      <c r="D300" s="6" t="s">
        <v>48</v>
      </c>
      <c r="E300" s="6" t="s">
        <v>26</v>
      </c>
      <c r="F300" s="6" t="s">
        <v>43</v>
      </c>
      <c r="G300" s="6" t="s">
        <v>121</v>
      </c>
      <c r="H300" s="2">
        <v>8</v>
      </c>
      <c r="I300" s="2">
        <v>5063.6899999999996</v>
      </c>
      <c r="J300" s="2">
        <v>0.1</v>
      </c>
      <c r="K300" s="2">
        <v>36458.559999999998</v>
      </c>
      <c r="L300" s="2">
        <v>30197.14</v>
      </c>
      <c r="M300" s="2">
        <v>6261.42</v>
      </c>
      <c r="N300" s="6" t="s">
        <v>29</v>
      </c>
      <c r="O300" s="6" t="s">
        <v>59</v>
      </c>
    </row>
    <row r="301" spans="1:15" x14ac:dyDescent="0.3">
      <c r="A301" s="2" t="s">
        <v>76</v>
      </c>
      <c r="B301" s="5">
        <v>45809</v>
      </c>
      <c r="C301" s="6" t="s">
        <v>16</v>
      </c>
      <c r="D301" s="6" t="s">
        <v>32</v>
      </c>
      <c r="E301" s="6" t="s">
        <v>18</v>
      </c>
      <c r="F301" s="6" t="s">
        <v>34</v>
      </c>
      <c r="G301" s="6" t="s">
        <v>57</v>
      </c>
      <c r="H301" s="2">
        <v>1</v>
      </c>
      <c r="I301" s="2">
        <v>21946.6</v>
      </c>
      <c r="J301" s="2">
        <v>0.08</v>
      </c>
      <c r="K301" s="2">
        <v>20190.87</v>
      </c>
      <c r="L301" s="2">
        <v>13823.86</v>
      </c>
      <c r="M301" s="2">
        <v>6367.01</v>
      </c>
      <c r="N301" s="6" t="s">
        <v>58</v>
      </c>
      <c r="O301" s="6" t="s">
        <v>30</v>
      </c>
    </row>
    <row r="302" spans="1:15" x14ac:dyDescent="0.3">
      <c r="A302" s="2" t="s">
        <v>594</v>
      </c>
      <c r="B302" s="5">
        <v>45752</v>
      </c>
      <c r="C302" s="6" t="s">
        <v>54</v>
      </c>
      <c r="D302" s="6" t="s">
        <v>174</v>
      </c>
      <c r="E302" s="6" t="s">
        <v>49</v>
      </c>
      <c r="F302" s="6" t="s">
        <v>27</v>
      </c>
      <c r="G302" s="6" t="s">
        <v>66</v>
      </c>
      <c r="H302" s="2">
        <v>4</v>
      </c>
      <c r="I302" s="2">
        <v>10945.07</v>
      </c>
      <c r="J302" s="2">
        <v>0.08</v>
      </c>
      <c r="K302" s="2">
        <v>40277.86</v>
      </c>
      <c r="L302" s="2">
        <v>33886.81</v>
      </c>
      <c r="M302" s="2">
        <v>6391.05</v>
      </c>
      <c r="N302" s="6" t="s">
        <v>58</v>
      </c>
      <c r="O302" s="6" t="s">
        <v>40</v>
      </c>
    </row>
    <row r="303" spans="1:15" x14ac:dyDescent="0.3">
      <c r="A303" s="2" t="s">
        <v>1085</v>
      </c>
      <c r="B303" s="5">
        <v>45936</v>
      </c>
      <c r="C303" s="6" t="s">
        <v>16</v>
      </c>
      <c r="D303" s="6" t="s">
        <v>52</v>
      </c>
      <c r="E303" s="6" t="s">
        <v>18</v>
      </c>
      <c r="F303" s="6" t="s">
        <v>43</v>
      </c>
      <c r="G303" s="6" t="s">
        <v>121</v>
      </c>
      <c r="H303" s="2">
        <v>5</v>
      </c>
      <c r="I303" s="2">
        <v>5027.51</v>
      </c>
      <c r="J303" s="2">
        <v>0.1</v>
      </c>
      <c r="K303" s="2">
        <v>22623.79</v>
      </c>
      <c r="L303" s="2">
        <v>16208.62</v>
      </c>
      <c r="M303" s="2">
        <v>6415.17</v>
      </c>
      <c r="N303" s="6" t="s">
        <v>21</v>
      </c>
      <c r="O303" s="6" t="s">
        <v>40</v>
      </c>
    </row>
    <row r="304" spans="1:15" x14ac:dyDescent="0.3">
      <c r="A304" s="2" t="s">
        <v>513</v>
      </c>
      <c r="B304" s="5">
        <v>45940</v>
      </c>
      <c r="C304" s="6" t="s">
        <v>16</v>
      </c>
      <c r="D304" s="6" t="s">
        <v>82</v>
      </c>
      <c r="E304" s="6" t="s">
        <v>33</v>
      </c>
      <c r="F304" s="6" t="s">
        <v>43</v>
      </c>
      <c r="G304" s="6" t="s">
        <v>121</v>
      </c>
      <c r="H304" s="2">
        <v>4</v>
      </c>
      <c r="I304" s="2">
        <v>5379.04</v>
      </c>
      <c r="J304" s="2">
        <v>0.05</v>
      </c>
      <c r="K304" s="2">
        <v>20440.349999999999</v>
      </c>
      <c r="L304" s="2">
        <v>14023.25</v>
      </c>
      <c r="M304" s="2">
        <v>6417.1</v>
      </c>
      <c r="N304" s="6" t="s">
        <v>29</v>
      </c>
      <c r="O304" s="6" t="s">
        <v>40</v>
      </c>
    </row>
    <row r="305" spans="1:15" x14ac:dyDescent="0.3">
      <c r="A305" s="2" t="s">
        <v>364</v>
      </c>
      <c r="B305" s="5">
        <v>45997</v>
      </c>
      <c r="C305" s="6" t="s">
        <v>54</v>
      </c>
      <c r="D305" s="6" t="s">
        <v>124</v>
      </c>
      <c r="E305" s="6" t="s">
        <v>56</v>
      </c>
      <c r="F305" s="6" t="s">
        <v>34</v>
      </c>
      <c r="G305" s="6" t="s">
        <v>57</v>
      </c>
      <c r="H305" s="2">
        <v>1</v>
      </c>
      <c r="I305" s="2">
        <v>22619.9</v>
      </c>
      <c r="J305" s="2">
        <v>0.1</v>
      </c>
      <c r="K305" s="2">
        <v>20357.91</v>
      </c>
      <c r="L305" s="2">
        <v>13936.05</v>
      </c>
      <c r="M305" s="2">
        <v>6421.86</v>
      </c>
      <c r="N305" s="6" t="s">
        <v>58</v>
      </c>
      <c r="O305" s="6" t="s">
        <v>40</v>
      </c>
    </row>
    <row r="306" spans="1:15" x14ac:dyDescent="0.3">
      <c r="A306" s="2" t="s">
        <v>205</v>
      </c>
      <c r="B306" s="5">
        <v>46001</v>
      </c>
      <c r="C306" s="6" t="s">
        <v>16</v>
      </c>
      <c r="D306" s="6" t="s">
        <v>32</v>
      </c>
      <c r="E306" s="6" t="s">
        <v>33</v>
      </c>
      <c r="F306" s="6" t="s">
        <v>34</v>
      </c>
      <c r="G306" s="6" t="s">
        <v>57</v>
      </c>
      <c r="H306" s="2">
        <v>1</v>
      </c>
      <c r="I306" s="2">
        <v>22210.65</v>
      </c>
      <c r="J306" s="2">
        <v>0</v>
      </c>
      <c r="K306" s="2">
        <v>22210.65</v>
      </c>
      <c r="L306" s="2">
        <v>15778.6</v>
      </c>
      <c r="M306" s="2">
        <v>6432.05</v>
      </c>
      <c r="N306" s="6" t="s">
        <v>58</v>
      </c>
      <c r="O306" s="6" t="s">
        <v>22</v>
      </c>
    </row>
    <row r="307" spans="1:15" x14ac:dyDescent="0.3">
      <c r="A307" s="2" t="s">
        <v>747</v>
      </c>
      <c r="B307" s="5">
        <v>45737</v>
      </c>
      <c r="C307" s="6" t="s">
        <v>16</v>
      </c>
      <c r="D307" s="6" t="s">
        <v>17</v>
      </c>
      <c r="E307" s="6" t="s">
        <v>49</v>
      </c>
      <c r="F307" s="6" t="s">
        <v>27</v>
      </c>
      <c r="G307" s="6" t="s">
        <v>125</v>
      </c>
      <c r="H307" s="2">
        <v>3</v>
      </c>
      <c r="I307" s="2">
        <v>8234.94</v>
      </c>
      <c r="J307" s="2">
        <v>0.03</v>
      </c>
      <c r="K307" s="2">
        <v>23963.66</v>
      </c>
      <c r="L307" s="2">
        <v>17506.93</v>
      </c>
      <c r="M307" s="2">
        <v>6456.73</v>
      </c>
      <c r="N307" s="6" t="s">
        <v>29</v>
      </c>
      <c r="O307" s="6" t="s">
        <v>22</v>
      </c>
    </row>
    <row r="308" spans="1:15" x14ac:dyDescent="0.3">
      <c r="A308" s="2" t="s">
        <v>265</v>
      </c>
      <c r="B308" s="5">
        <v>45888</v>
      </c>
      <c r="C308" s="6" t="s">
        <v>63</v>
      </c>
      <c r="D308" s="6" t="s">
        <v>88</v>
      </c>
      <c r="E308" s="6" t="s">
        <v>18</v>
      </c>
      <c r="F308" s="6" t="s">
        <v>34</v>
      </c>
      <c r="G308" s="6" t="s">
        <v>80</v>
      </c>
      <c r="H308" s="2">
        <v>7</v>
      </c>
      <c r="I308" s="2">
        <v>4298.9799999999996</v>
      </c>
      <c r="J308" s="2">
        <v>0.03</v>
      </c>
      <c r="K308" s="2">
        <v>29190.06</v>
      </c>
      <c r="L308" s="2">
        <v>22691.58</v>
      </c>
      <c r="M308" s="2">
        <v>6498.48</v>
      </c>
      <c r="N308" s="6" t="s">
        <v>58</v>
      </c>
      <c r="O308" s="6" t="s">
        <v>45</v>
      </c>
    </row>
    <row r="309" spans="1:15" x14ac:dyDescent="0.3">
      <c r="A309" s="2" t="s">
        <v>467</v>
      </c>
      <c r="B309" s="5">
        <v>45782</v>
      </c>
      <c r="C309" s="6" t="s">
        <v>37</v>
      </c>
      <c r="D309" s="6" t="s">
        <v>42</v>
      </c>
      <c r="E309" s="6" t="s">
        <v>69</v>
      </c>
      <c r="F309" s="6" t="s">
        <v>34</v>
      </c>
      <c r="G309" s="6" t="s">
        <v>80</v>
      </c>
      <c r="H309" s="2">
        <v>6</v>
      </c>
      <c r="I309" s="2">
        <v>4154.7700000000004</v>
      </c>
      <c r="J309" s="2">
        <v>0.1</v>
      </c>
      <c r="K309" s="2">
        <v>22435.78</v>
      </c>
      <c r="L309" s="2">
        <v>15878.77</v>
      </c>
      <c r="M309" s="2">
        <v>6557.01</v>
      </c>
      <c r="N309" s="6" t="s">
        <v>21</v>
      </c>
      <c r="O309" s="6" t="s">
        <v>40</v>
      </c>
    </row>
    <row r="310" spans="1:15" x14ac:dyDescent="0.3">
      <c r="A310" s="2" t="s">
        <v>323</v>
      </c>
      <c r="B310" s="5">
        <v>45981</v>
      </c>
      <c r="C310" s="6" t="s">
        <v>16</v>
      </c>
      <c r="D310" s="6" t="s">
        <v>17</v>
      </c>
      <c r="E310" s="6" t="s">
        <v>26</v>
      </c>
      <c r="F310" s="6" t="s">
        <v>27</v>
      </c>
      <c r="G310" s="6" t="s">
        <v>66</v>
      </c>
      <c r="H310" s="2">
        <v>4</v>
      </c>
      <c r="I310" s="2">
        <v>10322.280000000001</v>
      </c>
      <c r="J310" s="2">
        <v>0</v>
      </c>
      <c r="K310" s="2">
        <v>41289.129999999997</v>
      </c>
      <c r="L310" s="2">
        <v>34613.11</v>
      </c>
      <c r="M310" s="2">
        <v>6676.02</v>
      </c>
      <c r="N310" s="6" t="s">
        <v>58</v>
      </c>
      <c r="O310" s="6" t="s">
        <v>59</v>
      </c>
    </row>
    <row r="311" spans="1:15" x14ac:dyDescent="0.3">
      <c r="A311" s="2" t="s">
        <v>949</v>
      </c>
      <c r="B311" s="5">
        <v>45868</v>
      </c>
      <c r="C311" s="6" t="s">
        <v>16</v>
      </c>
      <c r="D311" s="6" t="s">
        <v>82</v>
      </c>
      <c r="E311" s="6" t="s">
        <v>18</v>
      </c>
      <c r="F311" s="6" t="s">
        <v>43</v>
      </c>
      <c r="G311" s="6" t="s">
        <v>121</v>
      </c>
      <c r="H311" s="2">
        <v>4</v>
      </c>
      <c r="I311" s="2">
        <v>4624.78</v>
      </c>
      <c r="J311" s="2">
        <v>0.03</v>
      </c>
      <c r="K311" s="2">
        <v>17944.13</v>
      </c>
      <c r="L311" s="2">
        <v>11266.62</v>
      </c>
      <c r="M311" s="2">
        <v>6677.51</v>
      </c>
      <c r="N311" s="6" t="s">
        <v>58</v>
      </c>
      <c r="O311" s="6" t="s">
        <v>22</v>
      </c>
    </row>
    <row r="312" spans="1:15" x14ac:dyDescent="0.3">
      <c r="A312" s="2" t="s">
        <v>720</v>
      </c>
      <c r="B312" s="5">
        <v>45660</v>
      </c>
      <c r="C312" s="6" t="s">
        <v>63</v>
      </c>
      <c r="D312" s="6" t="s">
        <v>64</v>
      </c>
      <c r="E312" s="6" t="s">
        <v>18</v>
      </c>
      <c r="F312" s="6" t="s">
        <v>43</v>
      </c>
      <c r="G312" s="6" t="s">
        <v>121</v>
      </c>
      <c r="H312" s="2">
        <v>6</v>
      </c>
      <c r="I312" s="2">
        <v>4656.5600000000004</v>
      </c>
      <c r="J312" s="2">
        <v>0.05</v>
      </c>
      <c r="K312" s="2">
        <v>26542.38</v>
      </c>
      <c r="L312" s="2">
        <v>19863.04</v>
      </c>
      <c r="M312" s="2">
        <v>6679.34</v>
      </c>
      <c r="N312" s="6" t="s">
        <v>29</v>
      </c>
      <c r="O312" s="6" t="s">
        <v>45</v>
      </c>
    </row>
    <row r="313" spans="1:15" x14ac:dyDescent="0.3">
      <c r="A313" s="2" t="s">
        <v>1222</v>
      </c>
      <c r="B313" s="5">
        <v>45830</v>
      </c>
      <c r="C313" s="6" t="s">
        <v>63</v>
      </c>
      <c r="D313" s="6" t="s">
        <v>64</v>
      </c>
      <c r="E313" s="6" t="s">
        <v>65</v>
      </c>
      <c r="F313" s="6" t="s">
        <v>43</v>
      </c>
      <c r="G313" s="6" t="s">
        <v>84</v>
      </c>
      <c r="H313" s="2">
        <v>1</v>
      </c>
      <c r="I313" s="2">
        <v>40805.839999999997</v>
      </c>
      <c r="J313" s="2">
        <v>0.05</v>
      </c>
      <c r="K313" s="2">
        <v>38765.550000000003</v>
      </c>
      <c r="L313" s="2">
        <v>32047.82</v>
      </c>
      <c r="M313" s="2">
        <v>6717.73</v>
      </c>
      <c r="N313" s="6" t="s">
        <v>58</v>
      </c>
      <c r="O313" s="6" t="s">
        <v>22</v>
      </c>
    </row>
    <row r="314" spans="1:15" x14ac:dyDescent="0.3">
      <c r="A314" s="2" t="s">
        <v>746</v>
      </c>
      <c r="B314" s="5">
        <v>45846</v>
      </c>
      <c r="C314" s="6" t="s">
        <v>54</v>
      </c>
      <c r="D314" s="6" t="s">
        <v>48</v>
      </c>
      <c r="E314" s="6" t="s">
        <v>74</v>
      </c>
      <c r="F314" s="6" t="s">
        <v>34</v>
      </c>
      <c r="G314" s="6" t="s">
        <v>39</v>
      </c>
      <c r="H314" s="2">
        <v>1</v>
      </c>
      <c r="I314" s="2">
        <v>29199.84</v>
      </c>
      <c r="J314" s="2">
        <v>0.05</v>
      </c>
      <c r="K314" s="2">
        <v>27739.85</v>
      </c>
      <c r="L314" s="2">
        <v>21011.98</v>
      </c>
      <c r="M314" s="2">
        <v>6727.87</v>
      </c>
      <c r="N314" s="6" t="s">
        <v>58</v>
      </c>
      <c r="O314" s="6" t="s">
        <v>45</v>
      </c>
    </row>
    <row r="315" spans="1:15" x14ac:dyDescent="0.3">
      <c r="A315" s="2" t="s">
        <v>728</v>
      </c>
      <c r="B315" s="5">
        <v>45908</v>
      </c>
      <c r="C315" s="6" t="s">
        <v>16</v>
      </c>
      <c r="D315" s="6" t="s">
        <v>32</v>
      </c>
      <c r="E315" s="6" t="s">
        <v>74</v>
      </c>
      <c r="F315" s="6" t="s">
        <v>43</v>
      </c>
      <c r="G315" s="6" t="s">
        <v>75</v>
      </c>
      <c r="H315" s="2">
        <v>1</v>
      </c>
      <c r="I315" s="2">
        <v>36708.22</v>
      </c>
      <c r="J315" s="2">
        <v>0.05</v>
      </c>
      <c r="K315" s="2">
        <v>34872.800000000003</v>
      </c>
      <c r="L315" s="2">
        <v>28132.46</v>
      </c>
      <c r="M315" s="2">
        <v>6740.34</v>
      </c>
      <c r="N315" s="6" t="s">
        <v>21</v>
      </c>
      <c r="O315" s="6" t="s">
        <v>40</v>
      </c>
    </row>
    <row r="316" spans="1:15" x14ac:dyDescent="0.3">
      <c r="A316" s="2" t="s">
        <v>1262</v>
      </c>
      <c r="B316" s="5">
        <v>45805</v>
      </c>
      <c r="C316" s="6" t="s">
        <v>54</v>
      </c>
      <c r="D316" s="6" t="s">
        <v>174</v>
      </c>
      <c r="E316" s="6" t="s">
        <v>74</v>
      </c>
      <c r="F316" s="6" t="s">
        <v>27</v>
      </c>
      <c r="G316" s="6" t="s">
        <v>125</v>
      </c>
      <c r="H316" s="2">
        <v>3</v>
      </c>
      <c r="I316" s="2">
        <v>8412.74</v>
      </c>
      <c r="J316" s="2">
        <v>0.05</v>
      </c>
      <c r="K316" s="2">
        <v>23976.32</v>
      </c>
      <c r="L316" s="2">
        <v>17196.72</v>
      </c>
      <c r="M316" s="2">
        <v>6779.6</v>
      </c>
      <c r="N316" s="6" t="s">
        <v>29</v>
      </c>
      <c r="O316" s="6" t="s">
        <v>40</v>
      </c>
    </row>
    <row r="317" spans="1:15" x14ac:dyDescent="0.3">
      <c r="A317" s="2" t="s">
        <v>1180</v>
      </c>
      <c r="B317" s="5">
        <v>45740</v>
      </c>
      <c r="C317" s="6" t="s">
        <v>37</v>
      </c>
      <c r="D317" s="6" t="s">
        <v>25</v>
      </c>
      <c r="E317" s="6" t="s">
        <v>26</v>
      </c>
      <c r="F317" s="6" t="s">
        <v>43</v>
      </c>
      <c r="G317" s="6" t="s">
        <v>84</v>
      </c>
      <c r="H317" s="2">
        <v>1</v>
      </c>
      <c r="I317" s="2">
        <v>41700.050000000003</v>
      </c>
      <c r="J317" s="2">
        <v>0.1</v>
      </c>
      <c r="K317" s="2">
        <v>37530.04</v>
      </c>
      <c r="L317" s="2">
        <v>30727.13</v>
      </c>
      <c r="M317" s="2">
        <v>6802.91</v>
      </c>
      <c r="N317" s="6" t="s">
        <v>21</v>
      </c>
      <c r="O317" s="6" t="s">
        <v>22</v>
      </c>
    </row>
    <row r="318" spans="1:15" x14ac:dyDescent="0.3">
      <c r="A318" s="2" t="s">
        <v>239</v>
      </c>
      <c r="B318" s="5">
        <v>45774</v>
      </c>
      <c r="C318" s="6" t="s">
        <v>37</v>
      </c>
      <c r="D318" s="6" t="s">
        <v>25</v>
      </c>
      <c r="E318" s="6" t="s">
        <v>33</v>
      </c>
      <c r="F318" s="6" t="s">
        <v>19</v>
      </c>
      <c r="G318" s="6" t="s">
        <v>108</v>
      </c>
      <c r="H318" s="2">
        <v>3</v>
      </c>
      <c r="I318" s="2">
        <v>15101.67</v>
      </c>
      <c r="J318" s="2">
        <v>0.15</v>
      </c>
      <c r="K318" s="2">
        <v>38509.269999999997</v>
      </c>
      <c r="L318" s="2">
        <v>31705.46</v>
      </c>
      <c r="M318" s="2">
        <v>6803.81</v>
      </c>
      <c r="N318" s="6" t="s">
        <v>58</v>
      </c>
      <c r="O318" s="6" t="s">
        <v>30</v>
      </c>
    </row>
    <row r="319" spans="1:15" x14ac:dyDescent="0.3">
      <c r="A319" s="2" t="s">
        <v>330</v>
      </c>
      <c r="B319" s="5">
        <v>45747</v>
      </c>
      <c r="C319" s="6" t="s">
        <v>16</v>
      </c>
      <c r="D319" s="6" t="s">
        <v>82</v>
      </c>
      <c r="E319" s="6" t="s">
        <v>69</v>
      </c>
      <c r="F319" s="6" t="s">
        <v>43</v>
      </c>
      <c r="G319" s="6" t="s">
        <v>121</v>
      </c>
      <c r="H319" s="2">
        <v>5</v>
      </c>
      <c r="I319" s="2">
        <v>4806.54</v>
      </c>
      <c r="J319" s="2">
        <v>0.08</v>
      </c>
      <c r="K319" s="2">
        <v>22110.080000000002</v>
      </c>
      <c r="L319" s="2">
        <v>15282.81</v>
      </c>
      <c r="M319" s="2">
        <v>6827.27</v>
      </c>
      <c r="N319" s="6" t="s">
        <v>58</v>
      </c>
      <c r="O319" s="6" t="s">
        <v>59</v>
      </c>
    </row>
    <row r="320" spans="1:15" x14ac:dyDescent="0.3">
      <c r="A320" s="2" t="s">
        <v>901</v>
      </c>
      <c r="B320" s="5">
        <v>45836</v>
      </c>
      <c r="C320" s="6" t="s">
        <v>54</v>
      </c>
      <c r="D320" s="6" t="s">
        <v>55</v>
      </c>
      <c r="E320" s="6" t="s">
        <v>33</v>
      </c>
      <c r="F320" s="6" t="s">
        <v>34</v>
      </c>
      <c r="G320" s="6" t="s">
        <v>39</v>
      </c>
      <c r="H320" s="2">
        <v>1</v>
      </c>
      <c r="I320" s="2">
        <v>27870.63</v>
      </c>
      <c r="J320" s="2">
        <v>0.05</v>
      </c>
      <c r="K320" s="2">
        <v>26477.1</v>
      </c>
      <c r="L320" s="2">
        <v>19629.97</v>
      </c>
      <c r="M320" s="2">
        <v>6847.13</v>
      </c>
      <c r="N320" s="6" t="s">
        <v>58</v>
      </c>
      <c r="O320" s="6" t="s">
        <v>59</v>
      </c>
    </row>
    <row r="321" spans="1:15" x14ac:dyDescent="0.3">
      <c r="A321" s="2" t="s">
        <v>837</v>
      </c>
      <c r="B321" s="5">
        <v>45832</v>
      </c>
      <c r="C321" s="6" t="s">
        <v>37</v>
      </c>
      <c r="D321" s="6" t="s">
        <v>25</v>
      </c>
      <c r="E321" s="6" t="s">
        <v>69</v>
      </c>
      <c r="F321" s="6" t="s">
        <v>43</v>
      </c>
      <c r="G321" s="6" t="s">
        <v>121</v>
      </c>
      <c r="H321" s="2">
        <v>4</v>
      </c>
      <c r="I321" s="2">
        <v>5382.28</v>
      </c>
      <c r="J321" s="2">
        <v>0.03</v>
      </c>
      <c r="K321" s="2">
        <v>20883.259999999998</v>
      </c>
      <c r="L321" s="2">
        <v>14027</v>
      </c>
      <c r="M321" s="2">
        <v>6856.26</v>
      </c>
      <c r="N321" s="6" t="s">
        <v>21</v>
      </c>
      <c r="O321" s="6" t="s">
        <v>40</v>
      </c>
    </row>
    <row r="322" spans="1:15" x14ac:dyDescent="0.3">
      <c r="A322" s="2" t="s">
        <v>989</v>
      </c>
      <c r="B322" s="5">
        <v>45917</v>
      </c>
      <c r="C322" s="6" t="s">
        <v>54</v>
      </c>
      <c r="D322" s="6" t="s">
        <v>174</v>
      </c>
      <c r="E322" s="6" t="s">
        <v>74</v>
      </c>
      <c r="F322" s="6" t="s">
        <v>34</v>
      </c>
      <c r="G322" s="6" t="s">
        <v>80</v>
      </c>
      <c r="H322" s="2">
        <v>6</v>
      </c>
      <c r="I322" s="2">
        <v>4231.2299999999996</v>
      </c>
      <c r="J322" s="2">
        <v>0.05</v>
      </c>
      <c r="K322" s="2">
        <v>24118.03</v>
      </c>
      <c r="L322" s="2">
        <v>17259.25</v>
      </c>
      <c r="M322" s="2">
        <v>6858.78</v>
      </c>
      <c r="N322" s="6" t="s">
        <v>58</v>
      </c>
      <c r="O322" s="6" t="s">
        <v>22</v>
      </c>
    </row>
    <row r="323" spans="1:15" x14ac:dyDescent="0.3">
      <c r="A323" s="2" t="s">
        <v>418</v>
      </c>
      <c r="B323" s="5">
        <v>45696</v>
      </c>
      <c r="C323" s="6" t="s">
        <v>16</v>
      </c>
      <c r="D323" s="6" t="s">
        <v>1356</v>
      </c>
      <c r="E323" s="6" t="s">
        <v>26</v>
      </c>
      <c r="F323" s="6" t="s">
        <v>34</v>
      </c>
      <c r="G323" s="6" t="s">
        <v>57</v>
      </c>
      <c r="H323" s="2">
        <v>1</v>
      </c>
      <c r="I323" s="2">
        <v>22600.78</v>
      </c>
      <c r="J323" s="2">
        <v>0.08</v>
      </c>
      <c r="K323" s="2">
        <v>20792.72</v>
      </c>
      <c r="L323" s="2">
        <v>13909.62</v>
      </c>
      <c r="M323" s="2">
        <v>6883.1</v>
      </c>
      <c r="N323" s="6" t="s">
        <v>21</v>
      </c>
      <c r="O323" s="6" t="s">
        <v>40</v>
      </c>
    </row>
    <row r="324" spans="1:15" x14ac:dyDescent="0.3">
      <c r="A324" s="2" t="s">
        <v>255</v>
      </c>
      <c r="B324" s="5">
        <v>45818</v>
      </c>
      <c r="C324" s="6" t="s">
        <v>54</v>
      </c>
      <c r="D324" s="6" t="s">
        <v>55</v>
      </c>
      <c r="E324" s="6" t="s">
        <v>56</v>
      </c>
      <c r="F324" s="6" t="s">
        <v>27</v>
      </c>
      <c r="G324" s="6" t="s">
        <v>125</v>
      </c>
      <c r="H324" s="2">
        <v>4</v>
      </c>
      <c r="I324" s="2">
        <v>8668.08</v>
      </c>
      <c r="J324" s="2">
        <v>0</v>
      </c>
      <c r="K324" s="2">
        <v>34672.31</v>
      </c>
      <c r="L324" s="2">
        <v>27781.71</v>
      </c>
      <c r="M324" s="2">
        <v>6890.6</v>
      </c>
      <c r="N324" s="6" t="s">
        <v>29</v>
      </c>
      <c r="O324" s="6" t="s">
        <v>40</v>
      </c>
    </row>
    <row r="325" spans="1:15" x14ac:dyDescent="0.3">
      <c r="A325" s="2" t="s">
        <v>161</v>
      </c>
      <c r="B325" s="5">
        <v>45672</v>
      </c>
      <c r="C325" s="6" t="s">
        <v>16</v>
      </c>
      <c r="D325" s="6" t="s">
        <v>52</v>
      </c>
      <c r="E325" s="6" t="s">
        <v>56</v>
      </c>
      <c r="F325" s="6" t="s">
        <v>34</v>
      </c>
      <c r="G325" s="6" t="s">
        <v>80</v>
      </c>
      <c r="H325" s="2">
        <v>7</v>
      </c>
      <c r="I325" s="2">
        <v>4412.75</v>
      </c>
      <c r="J325" s="2">
        <v>0.05</v>
      </c>
      <c r="K325" s="2">
        <v>29344.799999999999</v>
      </c>
      <c r="L325" s="2">
        <v>22447.3</v>
      </c>
      <c r="M325" s="2">
        <v>6897.5</v>
      </c>
      <c r="N325" s="6" t="s">
        <v>58</v>
      </c>
      <c r="O325" s="6" t="s">
        <v>45</v>
      </c>
    </row>
    <row r="326" spans="1:15" x14ac:dyDescent="0.3">
      <c r="A326" s="2" t="s">
        <v>1337</v>
      </c>
      <c r="B326" s="5">
        <v>45687</v>
      </c>
      <c r="C326" s="6" t="s">
        <v>54</v>
      </c>
      <c r="D326" s="6" t="s">
        <v>48</v>
      </c>
      <c r="E326" s="6" t="s">
        <v>26</v>
      </c>
      <c r="F326" s="6" t="s">
        <v>43</v>
      </c>
      <c r="G326" s="6" t="s">
        <v>121</v>
      </c>
      <c r="H326" s="2">
        <v>4</v>
      </c>
      <c r="I326" s="2">
        <v>5207.13</v>
      </c>
      <c r="J326" s="2">
        <v>0.03</v>
      </c>
      <c r="K326" s="2">
        <v>20203.66</v>
      </c>
      <c r="L326" s="2">
        <v>13258.89</v>
      </c>
      <c r="M326" s="2">
        <v>6944.77</v>
      </c>
      <c r="N326" s="6" t="s">
        <v>21</v>
      </c>
      <c r="O326" s="6" t="s">
        <v>45</v>
      </c>
    </row>
    <row r="327" spans="1:15" x14ac:dyDescent="0.3">
      <c r="A327" s="2" t="s">
        <v>869</v>
      </c>
      <c r="B327" s="5">
        <v>45878</v>
      </c>
      <c r="C327" s="6" t="s">
        <v>37</v>
      </c>
      <c r="D327" s="6" t="s">
        <v>38</v>
      </c>
      <c r="E327" s="6" t="s">
        <v>56</v>
      </c>
      <c r="F327" s="6" t="s">
        <v>27</v>
      </c>
      <c r="G327" s="6" t="s">
        <v>125</v>
      </c>
      <c r="H327" s="2">
        <v>3</v>
      </c>
      <c r="I327" s="2">
        <v>8555.43</v>
      </c>
      <c r="J327" s="2">
        <v>0.15</v>
      </c>
      <c r="K327" s="2">
        <v>21816.35</v>
      </c>
      <c r="L327" s="2">
        <v>14862.25</v>
      </c>
      <c r="M327" s="2">
        <v>6954.1</v>
      </c>
      <c r="N327" s="6" t="s">
        <v>58</v>
      </c>
      <c r="O327" s="6" t="s">
        <v>40</v>
      </c>
    </row>
    <row r="328" spans="1:15" x14ac:dyDescent="0.3">
      <c r="A328" s="2" t="s">
        <v>1164</v>
      </c>
      <c r="B328" s="5">
        <v>45846</v>
      </c>
      <c r="C328" s="6" t="s">
        <v>63</v>
      </c>
      <c r="D328" s="6" t="s">
        <v>95</v>
      </c>
      <c r="E328" s="6" t="s">
        <v>33</v>
      </c>
      <c r="F328" s="6" t="s">
        <v>43</v>
      </c>
      <c r="G328" s="6" t="s">
        <v>91</v>
      </c>
      <c r="H328" s="2">
        <v>1</v>
      </c>
      <c r="I328" s="2">
        <v>50746.8</v>
      </c>
      <c r="J328" s="2">
        <v>0.1</v>
      </c>
      <c r="K328" s="2">
        <v>45672.12</v>
      </c>
      <c r="L328" s="2">
        <v>38693.870000000003</v>
      </c>
      <c r="M328" s="2">
        <v>6978.25</v>
      </c>
      <c r="N328" s="6" t="s">
        <v>21</v>
      </c>
      <c r="O328" s="6" t="s">
        <v>40</v>
      </c>
    </row>
    <row r="329" spans="1:15" x14ac:dyDescent="0.3">
      <c r="A329" s="2" t="s">
        <v>228</v>
      </c>
      <c r="B329" s="5">
        <v>45958</v>
      </c>
      <c r="C329" s="6" t="s">
        <v>16</v>
      </c>
      <c r="D329" s="6" t="s">
        <v>17</v>
      </c>
      <c r="E329" s="6" t="s">
        <v>49</v>
      </c>
      <c r="F329" s="6" t="s">
        <v>34</v>
      </c>
      <c r="G329" s="6" t="s">
        <v>80</v>
      </c>
      <c r="H329" s="2">
        <v>5</v>
      </c>
      <c r="I329" s="2">
        <v>4374.1400000000003</v>
      </c>
      <c r="J329" s="2">
        <v>0.08</v>
      </c>
      <c r="K329" s="2">
        <v>20121.03</v>
      </c>
      <c r="L329" s="2">
        <v>13107.03</v>
      </c>
      <c r="M329" s="2">
        <v>7014</v>
      </c>
      <c r="N329" s="6" t="s">
        <v>21</v>
      </c>
      <c r="O329" s="6" t="s">
        <v>22</v>
      </c>
    </row>
    <row r="330" spans="1:15" x14ac:dyDescent="0.3">
      <c r="A330" s="2" t="s">
        <v>455</v>
      </c>
      <c r="B330" s="5">
        <v>45795</v>
      </c>
      <c r="C330" s="6" t="s">
        <v>63</v>
      </c>
      <c r="D330" s="6" t="s">
        <v>88</v>
      </c>
      <c r="E330" s="6" t="s">
        <v>26</v>
      </c>
      <c r="F330" s="6" t="s">
        <v>34</v>
      </c>
      <c r="G330" s="6" t="s">
        <v>57</v>
      </c>
      <c r="H330" s="2">
        <v>2</v>
      </c>
      <c r="I330" s="2">
        <v>22223.15</v>
      </c>
      <c r="J330" s="2">
        <v>0.08</v>
      </c>
      <c r="K330" s="2">
        <v>40890.6</v>
      </c>
      <c r="L330" s="2">
        <v>33835.5</v>
      </c>
      <c r="M330" s="2">
        <v>7055.1</v>
      </c>
      <c r="N330" s="6" t="s">
        <v>21</v>
      </c>
      <c r="O330" s="6" t="s">
        <v>40</v>
      </c>
    </row>
    <row r="331" spans="1:15" x14ac:dyDescent="0.3">
      <c r="A331" s="2" t="s">
        <v>377</v>
      </c>
      <c r="B331" s="5">
        <v>45682</v>
      </c>
      <c r="C331" s="6" t="s">
        <v>63</v>
      </c>
      <c r="D331" s="6" t="s">
        <v>88</v>
      </c>
      <c r="E331" s="6" t="s">
        <v>49</v>
      </c>
      <c r="F331" s="6" t="s">
        <v>19</v>
      </c>
      <c r="G331" s="6" t="s">
        <v>108</v>
      </c>
      <c r="H331" s="2">
        <v>3</v>
      </c>
      <c r="I331" s="2">
        <v>15541.51</v>
      </c>
      <c r="J331" s="2">
        <v>0.08</v>
      </c>
      <c r="K331" s="2">
        <v>42894.55</v>
      </c>
      <c r="L331" s="2">
        <v>35819.440000000002</v>
      </c>
      <c r="M331" s="2">
        <v>7075.11</v>
      </c>
      <c r="N331" s="6" t="s">
        <v>58</v>
      </c>
      <c r="O331" s="6" t="s">
        <v>45</v>
      </c>
    </row>
    <row r="332" spans="1:15" x14ac:dyDescent="0.3">
      <c r="A332" s="2" t="s">
        <v>783</v>
      </c>
      <c r="B332" s="5">
        <v>45989</v>
      </c>
      <c r="C332" s="6" t="s">
        <v>63</v>
      </c>
      <c r="D332" s="6" t="s">
        <v>88</v>
      </c>
      <c r="E332" s="6" t="s">
        <v>26</v>
      </c>
      <c r="F332" s="6" t="s">
        <v>34</v>
      </c>
      <c r="G332" s="6" t="s">
        <v>80</v>
      </c>
      <c r="H332" s="2">
        <v>5</v>
      </c>
      <c r="I332" s="2">
        <v>4817.3</v>
      </c>
      <c r="J332" s="2">
        <v>0</v>
      </c>
      <c r="K332" s="2">
        <v>24086.48</v>
      </c>
      <c r="L332" s="2">
        <v>16969.78</v>
      </c>
      <c r="M332" s="2">
        <v>7116.7</v>
      </c>
      <c r="N332" s="6" t="s">
        <v>21</v>
      </c>
      <c r="O332" s="6" t="s">
        <v>30</v>
      </c>
    </row>
    <row r="333" spans="1:15" x14ac:dyDescent="0.3">
      <c r="A333" s="2" t="s">
        <v>563</v>
      </c>
      <c r="B333" s="5">
        <v>45991</v>
      </c>
      <c r="C333" s="6" t="s">
        <v>16</v>
      </c>
      <c r="D333" s="6" t="s">
        <v>52</v>
      </c>
      <c r="E333" s="6" t="s">
        <v>69</v>
      </c>
      <c r="F333" s="6" t="s">
        <v>43</v>
      </c>
      <c r="G333" s="6" t="s">
        <v>84</v>
      </c>
      <c r="H333" s="2">
        <v>1</v>
      </c>
      <c r="I333" s="2">
        <v>44936.160000000003</v>
      </c>
      <c r="J333" s="2">
        <v>0.15</v>
      </c>
      <c r="K333" s="2">
        <v>38195.730000000003</v>
      </c>
      <c r="L333" s="2">
        <v>30982.71</v>
      </c>
      <c r="M333" s="2">
        <v>7213.02</v>
      </c>
      <c r="N333" s="6" t="s">
        <v>21</v>
      </c>
      <c r="O333" s="6" t="s">
        <v>30</v>
      </c>
    </row>
    <row r="334" spans="1:15" x14ac:dyDescent="0.3">
      <c r="A334" s="2" t="s">
        <v>445</v>
      </c>
      <c r="B334" s="5">
        <v>45686</v>
      </c>
      <c r="C334" s="6" t="s">
        <v>63</v>
      </c>
      <c r="D334" s="6" t="s">
        <v>95</v>
      </c>
      <c r="E334" s="6" t="s">
        <v>26</v>
      </c>
      <c r="F334" s="6" t="s">
        <v>19</v>
      </c>
      <c r="G334" s="6" t="s">
        <v>61</v>
      </c>
      <c r="H334" s="2">
        <v>4</v>
      </c>
      <c r="I334" s="2">
        <v>8482.07</v>
      </c>
      <c r="J334" s="2">
        <v>0.08</v>
      </c>
      <c r="K334" s="2">
        <v>31214.01</v>
      </c>
      <c r="L334" s="2">
        <v>24000.880000000001</v>
      </c>
      <c r="M334" s="2">
        <v>7213.13</v>
      </c>
      <c r="N334" s="6" t="s">
        <v>21</v>
      </c>
      <c r="O334" s="6" t="s">
        <v>40</v>
      </c>
    </row>
    <row r="335" spans="1:15" x14ac:dyDescent="0.3">
      <c r="A335" s="2" t="s">
        <v>592</v>
      </c>
      <c r="B335" s="5">
        <v>45658</v>
      </c>
      <c r="C335" s="6" t="s">
        <v>63</v>
      </c>
      <c r="D335" s="6" t="s">
        <v>88</v>
      </c>
      <c r="E335" s="6" t="s">
        <v>26</v>
      </c>
      <c r="F335" s="6" t="s">
        <v>19</v>
      </c>
      <c r="G335" s="6" t="s">
        <v>106</v>
      </c>
      <c r="H335" s="2">
        <v>3</v>
      </c>
      <c r="I335" s="2">
        <v>14309.91</v>
      </c>
      <c r="J335" s="2">
        <v>0.03</v>
      </c>
      <c r="K335" s="2">
        <v>41641.82</v>
      </c>
      <c r="L335" s="2">
        <v>34409.599999999999</v>
      </c>
      <c r="M335" s="2">
        <v>7232.22</v>
      </c>
      <c r="N335" s="6" t="s">
        <v>29</v>
      </c>
      <c r="O335" s="6" t="s">
        <v>40</v>
      </c>
    </row>
    <row r="336" spans="1:15" x14ac:dyDescent="0.3">
      <c r="A336" s="2" t="s">
        <v>857</v>
      </c>
      <c r="B336" s="5">
        <v>45815</v>
      </c>
      <c r="C336" s="6" t="s">
        <v>54</v>
      </c>
      <c r="D336" s="6" t="s">
        <v>174</v>
      </c>
      <c r="E336" s="6" t="s">
        <v>33</v>
      </c>
      <c r="F336" s="6" t="s">
        <v>34</v>
      </c>
      <c r="G336" s="6" t="s">
        <v>39</v>
      </c>
      <c r="H336" s="2">
        <v>1</v>
      </c>
      <c r="I336" s="2">
        <v>28774.78</v>
      </c>
      <c r="J336" s="2">
        <v>0.1</v>
      </c>
      <c r="K336" s="2">
        <v>25897.3</v>
      </c>
      <c r="L336" s="2">
        <v>18641.38</v>
      </c>
      <c r="M336" s="2">
        <v>7255.92</v>
      </c>
      <c r="N336" s="6" t="s">
        <v>21</v>
      </c>
      <c r="O336" s="6" t="s">
        <v>22</v>
      </c>
    </row>
    <row r="337" spans="1:15" x14ac:dyDescent="0.3">
      <c r="A337" s="2" t="s">
        <v>1054</v>
      </c>
      <c r="B337" s="5">
        <v>45741</v>
      </c>
      <c r="C337" s="6" t="s">
        <v>16</v>
      </c>
      <c r="D337" s="6" t="s">
        <v>32</v>
      </c>
      <c r="E337" s="6" t="s">
        <v>74</v>
      </c>
      <c r="F337" s="6" t="s">
        <v>27</v>
      </c>
      <c r="G337" s="6" t="s">
        <v>125</v>
      </c>
      <c r="H337" s="2">
        <v>7</v>
      </c>
      <c r="I337" s="2">
        <v>8112.56</v>
      </c>
      <c r="J337" s="2">
        <v>0.1</v>
      </c>
      <c r="K337" s="2">
        <v>51109.15</v>
      </c>
      <c r="L337" s="2">
        <v>43795.42</v>
      </c>
      <c r="M337" s="2">
        <v>7313.73</v>
      </c>
      <c r="N337" s="6" t="s">
        <v>21</v>
      </c>
      <c r="O337" s="6" t="s">
        <v>45</v>
      </c>
    </row>
    <row r="338" spans="1:15" x14ac:dyDescent="0.3">
      <c r="A338" s="2" t="s">
        <v>821</v>
      </c>
      <c r="B338" s="5">
        <v>45902</v>
      </c>
      <c r="C338" s="6" t="s">
        <v>63</v>
      </c>
      <c r="D338" s="6" t="s">
        <v>88</v>
      </c>
      <c r="E338" s="6" t="s">
        <v>74</v>
      </c>
      <c r="F338" s="6" t="s">
        <v>34</v>
      </c>
      <c r="G338" s="6" t="s">
        <v>39</v>
      </c>
      <c r="H338" s="2">
        <v>1</v>
      </c>
      <c r="I338" s="2">
        <v>30211.34</v>
      </c>
      <c r="J338" s="2">
        <v>0.05</v>
      </c>
      <c r="K338" s="2">
        <v>28700.78</v>
      </c>
      <c r="L338" s="2">
        <v>21377.14</v>
      </c>
      <c r="M338" s="2">
        <v>7323.64</v>
      </c>
      <c r="N338" s="6" t="s">
        <v>58</v>
      </c>
      <c r="O338" s="6" t="s">
        <v>59</v>
      </c>
    </row>
    <row r="339" spans="1:15" x14ac:dyDescent="0.3">
      <c r="A339" s="2" t="s">
        <v>648</v>
      </c>
      <c r="B339" s="5">
        <v>45800</v>
      </c>
      <c r="C339" s="6" t="s">
        <v>54</v>
      </c>
      <c r="D339" s="6" t="s">
        <v>174</v>
      </c>
      <c r="E339" s="6" t="s">
        <v>65</v>
      </c>
      <c r="F339" s="6" t="s">
        <v>43</v>
      </c>
      <c r="G339" s="6" t="s">
        <v>44</v>
      </c>
      <c r="H339" s="2">
        <v>2</v>
      </c>
      <c r="I339" s="2">
        <v>12420.93</v>
      </c>
      <c r="J339" s="2">
        <v>0.03</v>
      </c>
      <c r="K339" s="2">
        <v>24096.6</v>
      </c>
      <c r="L339" s="2">
        <v>16768.62</v>
      </c>
      <c r="M339" s="2">
        <v>7327.98</v>
      </c>
      <c r="N339" s="6" t="s">
        <v>21</v>
      </c>
      <c r="O339" s="6" t="s">
        <v>40</v>
      </c>
    </row>
    <row r="340" spans="1:15" x14ac:dyDescent="0.3">
      <c r="A340" s="2" t="s">
        <v>1082</v>
      </c>
      <c r="B340" s="5">
        <v>45969</v>
      </c>
      <c r="C340" s="6" t="s">
        <v>16</v>
      </c>
      <c r="D340" s="6" t="s">
        <v>82</v>
      </c>
      <c r="E340" s="6" t="s">
        <v>69</v>
      </c>
      <c r="F340" s="6" t="s">
        <v>27</v>
      </c>
      <c r="G340" s="6" t="s">
        <v>125</v>
      </c>
      <c r="H340" s="2">
        <v>4</v>
      </c>
      <c r="I340" s="2">
        <v>7946.52</v>
      </c>
      <c r="J340" s="2">
        <v>0.08</v>
      </c>
      <c r="K340" s="2">
        <v>29243.200000000001</v>
      </c>
      <c r="L340" s="2">
        <v>21865.38</v>
      </c>
      <c r="M340" s="2">
        <v>7377.82</v>
      </c>
      <c r="N340" s="6" t="s">
        <v>58</v>
      </c>
      <c r="O340" s="6" t="s">
        <v>22</v>
      </c>
    </row>
    <row r="341" spans="1:15" x14ac:dyDescent="0.3">
      <c r="A341" s="2" t="s">
        <v>705</v>
      </c>
      <c r="B341" s="5">
        <v>45774</v>
      </c>
      <c r="C341" s="6" t="s">
        <v>37</v>
      </c>
      <c r="D341" s="6" t="s">
        <v>68</v>
      </c>
      <c r="E341" s="6" t="s">
        <v>33</v>
      </c>
      <c r="F341" s="6" t="s">
        <v>34</v>
      </c>
      <c r="G341" s="6" t="s">
        <v>39</v>
      </c>
      <c r="H341" s="2">
        <v>1</v>
      </c>
      <c r="I341" s="2">
        <v>30545.68</v>
      </c>
      <c r="J341" s="2">
        <v>0.03</v>
      </c>
      <c r="K341" s="2">
        <v>29629.31</v>
      </c>
      <c r="L341" s="2">
        <v>22250.44</v>
      </c>
      <c r="M341" s="2">
        <v>7378.87</v>
      </c>
      <c r="N341" s="6" t="s">
        <v>58</v>
      </c>
      <c r="O341" s="6" t="s">
        <v>40</v>
      </c>
    </row>
    <row r="342" spans="1:15" x14ac:dyDescent="0.3">
      <c r="A342" s="2" t="s">
        <v>422</v>
      </c>
      <c r="B342" s="5">
        <v>45941</v>
      </c>
      <c r="C342" s="6" t="s">
        <v>37</v>
      </c>
      <c r="D342" s="6" t="s">
        <v>38</v>
      </c>
      <c r="E342" s="6" t="s">
        <v>74</v>
      </c>
      <c r="F342" s="6" t="s">
        <v>34</v>
      </c>
      <c r="G342" s="6" t="s">
        <v>39</v>
      </c>
      <c r="H342" s="2">
        <v>1</v>
      </c>
      <c r="I342" s="2">
        <v>32019.68</v>
      </c>
      <c r="J342" s="2">
        <v>0.08</v>
      </c>
      <c r="K342" s="2">
        <v>29458.11</v>
      </c>
      <c r="L342" s="2">
        <v>22070.01</v>
      </c>
      <c r="M342" s="2">
        <v>7388.1</v>
      </c>
      <c r="N342" s="6" t="s">
        <v>58</v>
      </c>
      <c r="O342" s="6" t="s">
        <v>45</v>
      </c>
    </row>
    <row r="343" spans="1:15" x14ac:dyDescent="0.3">
      <c r="A343" s="2" t="s">
        <v>511</v>
      </c>
      <c r="B343" s="5">
        <v>45721</v>
      </c>
      <c r="C343" s="6" t="s">
        <v>16</v>
      </c>
      <c r="D343" s="6" t="s">
        <v>52</v>
      </c>
      <c r="E343" s="6" t="s">
        <v>69</v>
      </c>
      <c r="F343" s="6" t="s">
        <v>34</v>
      </c>
      <c r="G343" s="6" t="s">
        <v>80</v>
      </c>
      <c r="H343" s="2">
        <v>5</v>
      </c>
      <c r="I343" s="2">
        <v>4822.74</v>
      </c>
      <c r="J343" s="2">
        <v>0.03</v>
      </c>
      <c r="K343" s="2">
        <v>23390.29</v>
      </c>
      <c r="L343" s="2">
        <v>15986.88</v>
      </c>
      <c r="M343" s="2">
        <v>7403.41</v>
      </c>
      <c r="N343" s="6" t="s">
        <v>21</v>
      </c>
      <c r="O343" s="6" t="s">
        <v>30</v>
      </c>
    </row>
    <row r="344" spans="1:15" x14ac:dyDescent="0.3">
      <c r="A344" s="2" t="s">
        <v>1336</v>
      </c>
      <c r="B344" s="5">
        <v>45949</v>
      </c>
      <c r="C344" s="6" t="s">
        <v>37</v>
      </c>
      <c r="D344" s="6" t="s">
        <v>25</v>
      </c>
      <c r="E344" s="6" t="s">
        <v>33</v>
      </c>
      <c r="F344" s="6" t="s">
        <v>27</v>
      </c>
      <c r="G344" s="6" t="s">
        <v>125</v>
      </c>
      <c r="H344" s="2">
        <v>3</v>
      </c>
      <c r="I344" s="2">
        <v>8513.69</v>
      </c>
      <c r="J344" s="2">
        <v>0.03</v>
      </c>
      <c r="K344" s="2">
        <v>24774.85</v>
      </c>
      <c r="L344" s="2">
        <v>17352.96</v>
      </c>
      <c r="M344" s="2">
        <v>7421.89</v>
      </c>
      <c r="N344" s="6" t="s">
        <v>29</v>
      </c>
      <c r="O344" s="6" t="s">
        <v>45</v>
      </c>
    </row>
    <row r="345" spans="1:15" x14ac:dyDescent="0.3">
      <c r="A345" s="2" t="s">
        <v>104</v>
      </c>
      <c r="B345" s="5">
        <v>45704</v>
      </c>
      <c r="C345" s="6" t="s">
        <v>16</v>
      </c>
      <c r="D345" s="6" t="s">
        <v>17</v>
      </c>
      <c r="E345" s="6" t="s">
        <v>49</v>
      </c>
      <c r="F345" s="6" t="s">
        <v>34</v>
      </c>
      <c r="G345" s="6" t="s">
        <v>80</v>
      </c>
      <c r="H345" s="2">
        <v>7</v>
      </c>
      <c r="I345" s="2">
        <v>4201.45</v>
      </c>
      <c r="J345" s="2">
        <v>0</v>
      </c>
      <c r="K345" s="2">
        <v>29410.15</v>
      </c>
      <c r="L345" s="2">
        <v>21984.83</v>
      </c>
      <c r="M345" s="2">
        <v>7425.32</v>
      </c>
      <c r="N345" s="6" t="s">
        <v>29</v>
      </c>
      <c r="O345" s="6" t="s">
        <v>40</v>
      </c>
    </row>
    <row r="346" spans="1:15" x14ac:dyDescent="0.3">
      <c r="A346" s="2" t="s">
        <v>1096</v>
      </c>
      <c r="B346" s="5">
        <v>45789</v>
      </c>
      <c r="C346" s="6" t="s">
        <v>16</v>
      </c>
      <c r="D346" s="6" t="s">
        <v>82</v>
      </c>
      <c r="E346" s="6" t="s">
        <v>56</v>
      </c>
      <c r="F346" s="6" t="s">
        <v>43</v>
      </c>
      <c r="G346" s="6" t="s">
        <v>121</v>
      </c>
      <c r="H346" s="2">
        <v>8</v>
      </c>
      <c r="I346" s="2">
        <v>4739.3500000000004</v>
      </c>
      <c r="J346" s="2">
        <v>0.08</v>
      </c>
      <c r="K346" s="2">
        <v>34881.599999999999</v>
      </c>
      <c r="L346" s="2">
        <v>27447.14</v>
      </c>
      <c r="M346" s="2">
        <v>7434.46</v>
      </c>
      <c r="N346" s="6" t="s">
        <v>29</v>
      </c>
      <c r="O346" s="6" t="s">
        <v>22</v>
      </c>
    </row>
    <row r="347" spans="1:15" x14ac:dyDescent="0.3">
      <c r="A347" s="2" t="s">
        <v>1046</v>
      </c>
      <c r="B347" s="5">
        <v>45990</v>
      </c>
      <c r="C347" s="6" t="s">
        <v>37</v>
      </c>
      <c r="D347" s="6" t="s">
        <v>25</v>
      </c>
      <c r="E347" s="6" t="s">
        <v>65</v>
      </c>
      <c r="F347" s="6" t="s">
        <v>43</v>
      </c>
      <c r="G347" s="6" t="s">
        <v>44</v>
      </c>
      <c r="H347" s="2">
        <v>4</v>
      </c>
      <c r="I347" s="2">
        <v>12286.23</v>
      </c>
      <c r="J347" s="2">
        <v>0.05</v>
      </c>
      <c r="K347" s="2">
        <v>46687.69</v>
      </c>
      <c r="L347" s="2">
        <v>39222.5</v>
      </c>
      <c r="M347" s="2">
        <v>7465.19</v>
      </c>
      <c r="N347" s="6" t="s">
        <v>21</v>
      </c>
      <c r="O347" s="6" t="s">
        <v>59</v>
      </c>
    </row>
    <row r="348" spans="1:15" x14ac:dyDescent="0.3">
      <c r="A348" s="2" t="s">
        <v>731</v>
      </c>
      <c r="B348" s="5">
        <v>45971</v>
      </c>
      <c r="C348" s="6" t="s">
        <v>54</v>
      </c>
      <c r="D348" s="6" t="s">
        <v>124</v>
      </c>
      <c r="E348" s="6" t="s">
        <v>56</v>
      </c>
      <c r="F348" s="6" t="s">
        <v>34</v>
      </c>
      <c r="G348" s="6" t="s">
        <v>80</v>
      </c>
      <c r="H348" s="2">
        <v>8</v>
      </c>
      <c r="I348" s="2">
        <v>4851.37</v>
      </c>
      <c r="J348" s="2">
        <v>0.05</v>
      </c>
      <c r="K348" s="2">
        <v>36870.410000000003</v>
      </c>
      <c r="L348" s="2">
        <v>29342.47</v>
      </c>
      <c r="M348" s="2">
        <v>7527.94</v>
      </c>
      <c r="N348" s="6" t="s">
        <v>21</v>
      </c>
      <c r="O348" s="6" t="s">
        <v>22</v>
      </c>
    </row>
    <row r="349" spans="1:15" x14ac:dyDescent="0.3">
      <c r="A349" s="2" t="s">
        <v>1081</v>
      </c>
      <c r="B349" s="5">
        <v>46012</v>
      </c>
      <c r="C349" s="6" t="s">
        <v>37</v>
      </c>
      <c r="D349" s="6" t="s">
        <v>38</v>
      </c>
      <c r="E349" s="6" t="s">
        <v>74</v>
      </c>
      <c r="F349" s="6" t="s">
        <v>27</v>
      </c>
      <c r="G349" s="6" t="s">
        <v>66</v>
      </c>
      <c r="H349" s="2">
        <v>4</v>
      </c>
      <c r="I349" s="2">
        <v>10545.19</v>
      </c>
      <c r="J349" s="2">
        <v>0.05</v>
      </c>
      <c r="K349" s="2">
        <v>40071.72</v>
      </c>
      <c r="L349" s="2">
        <v>32501.56</v>
      </c>
      <c r="M349" s="2">
        <v>7570.16</v>
      </c>
      <c r="N349" s="6" t="s">
        <v>29</v>
      </c>
      <c r="O349" s="6" t="s">
        <v>22</v>
      </c>
    </row>
    <row r="350" spans="1:15" x14ac:dyDescent="0.3">
      <c r="A350" s="2" t="s">
        <v>696</v>
      </c>
      <c r="B350" s="5">
        <v>45933</v>
      </c>
      <c r="C350" s="6" t="s">
        <v>54</v>
      </c>
      <c r="D350" s="6" t="s">
        <v>55</v>
      </c>
      <c r="E350" s="6" t="s">
        <v>56</v>
      </c>
      <c r="F350" s="6" t="s">
        <v>43</v>
      </c>
      <c r="G350" s="6" t="s">
        <v>121</v>
      </c>
      <c r="H350" s="2">
        <v>8</v>
      </c>
      <c r="I350" s="2">
        <v>5328.9</v>
      </c>
      <c r="J350" s="2">
        <v>0.1</v>
      </c>
      <c r="K350" s="2">
        <v>38368.050000000003</v>
      </c>
      <c r="L350" s="2">
        <v>30786.84</v>
      </c>
      <c r="M350" s="2">
        <v>7581.21</v>
      </c>
      <c r="N350" s="6" t="s">
        <v>29</v>
      </c>
      <c r="O350" s="6" t="s">
        <v>59</v>
      </c>
    </row>
    <row r="351" spans="1:15" x14ac:dyDescent="0.3">
      <c r="A351" s="2" t="s">
        <v>755</v>
      </c>
      <c r="B351" s="5">
        <v>45848</v>
      </c>
      <c r="C351" s="6" t="s">
        <v>37</v>
      </c>
      <c r="D351" s="6" t="s">
        <v>68</v>
      </c>
      <c r="E351" s="6" t="s">
        <v>69</v>
      </c>
      <c r="F351" s="6" t="s">
        <v>19</v>
      </c>
      <c r="G351" s="6" t="s">
        <v>61</v>
      </c>
      <c r="H351" s="2">
        <v>6</v>
      </c>
      <c r="I351" s="2">
        <v>8981.82</v>
      </c>
      <c r="J351" s="2">
        <v>0.08</v>
      </c>
      <c r="K351" s="2">
        <v>49579.64</v>
      </c>
      <c r="L351" s="2">
        <v>41998.16</v>
      </c>
      <c r="M351" s="2">
        <v>7581.48</v>
      </c>
      <c r="N351" s="6" t="s">
        <v>29</v>
      </c>
      <c r="O351" s="6" t="s">
        <v>22</v>
      </c>
    </row>
    <row r="352" spans="1:15" x14ac:dyDescent="0.3">
      <c r="A352" s="2" t="s">
        <v>1316</v>
      </c>
      <c r="B352" s="5">
        <v>45918</v>
      </c>
      <c r="C352" s="6" t="s">
        <v>16</v>
      </c>
      <c r="D352" s="6" t="s">
        <v>17</v>
      </c>
      <c r="E352" s="6" t="s">
        <v>18</v>
      </c>
      <c r="F352" s="6" t="s">
        <v>43</v>
      </c>
      <c r="G352" s="6" t="s">
        <v>75</v>
      </c>
      <c r="H352" s="2">
        <v>1</v>
      </c>
      <c r="I352" s="2">
        <v>35546.06</v>
      </c>
      <c r="J352" s="2">
        <v>0.1</v>
      </c>
      <c r="K352" s="2">
        <v>31991.46</v>
      </c>
      <c r="L352" s="2">
        <v>24366.639999999999</v>
      </c>
      <c r="M352" s="2">
        <v>7624.82</v>
      </c>
      <c r="N352" s="6" t="s">
        <v>29</v>
      </c>
      <c r="O352" s="6" t="s">
        <v>30</v>
      </c>
    </row>
    <row r="353" spans="1:15" x14ac:dyDescent="0.3">
      <c r="A353" s="2" t="s">
        <v>967</v>
      </c>
      <c r="B353" s="5">
        <v>45837</v>
      </c>
      <c r="C353" s="6" t="s">
        <v>37</v>
      </c>
      <c r="D353" s="6" t="s">
        <v>68</v>
      </c>
      <c r="E353" s="6" t="s">
        <v>65</v>
      </c>
      <c r="F353" s="6" t="s">
        <v>34</v>
      </c>
      <c r="G353" s="6" t="s">
        <v>39</v>
      </c>
      <c r="H353" s="2">
        <v>1</v>
      </c>
      <c r="I353" s="2">
        <v>30322.22</v>
      </c>
      <c r="J353" s="2">
        <v>0.05</v>
      </c>
      <c r="K353" s="2">
        <v>28806.11</v>
      </c>
      <c r="L353" s="2">
        <v>21145.74</v>
      </c>
      <c r="M353" s="2">
        <v>7660.37</v>
      </c>
      <c r="N353" s="6" t="s">
        <v>29</v>
      </c>
      <c r="O353" s="6" t="s">
        <v>45</v>
      </c>
    </row>
    <row r="354" spans="1:15" x14ac:dyDescent="0.3">
      <c r="A354" s="2" t="s">
        <v>940</v>
      </c>
      <c r="B354" s="5">
        <v>45758</v>
      </c>
      <c r="C354" s="6" t="s">
        <v>16</v>
      </c>
      <c r="D354" s="6" t="s">
        <v>17</v>
      </c>
      <c r="E354" s="6" t="s">
        <v>26</v>
      </c>
      <c r="F354" s="6" t="s">
        <v>27</v>
      </c>
      <c r="G354" s="6" t="s">
        <v>125</v>
      </c>
      <c r="H354" s="2">
        <v>6</v>
      </c>
      <c r="I354" s="2">
        <v>8815.35</v>
      </c>
      <c r="J354" s="2">
        <v>0.05</v>
      </c>
      <c r="K354" s="2">
        <v>50247.48</v>
      </c>
      <c r="L354" s="2">
        <v>42549.17</v>
      </c>
      <c r="M354" s="2">
        <v>7698.31</v>
      </c>
      <c r="N354" s="6" t="s">
        <v>21</v>
      </c>
      <c r="O354" s="6" t="s">
        <v>30</v>
      </c>
    </row>
    <row r="355" spans="1:15" x14ac:dyDescent="0.3">
      <c r="A355" s="2" t="s">
        <v>1065</v>
      </c>
      <c r="B355" s="5">
        <v>45902</v>
      </c>
      <c r="C355" s="6" t="s">
        <v>54</v>
      </c>
      <c r="D355" s="6" t="s">
        <v>48</v>
      </c>
      <c r="E355" s="6" t="s">
        <v>26</v>
      </c>
      <c r="F355" s="6" t="s">
        <v>19</v>
      </c>
      <c r="G355" s="6" t="s">
        <v>106</v>
      </c>
      <c r="H355" s="2">
        <v>2</v>
      </c>
      <c r="I355" s="2">
        <v>14761.07</v>
      </c>
      <c r="J355" s="2">
        <v>0.15</v>
      </c>
      <c r="K355" s="2">
        <v>25093.82</v>
      </c>
      <c r="L355" s="2">
        <v>17320.41</v>
      </c>
      <c r="M355" s="2">
        <v>7773.41</v>
      </c>
      <c r="N355" s="6" t="s">
        <v>58</v>
      </c>
      <c r="O355" s="6" t="s">
        <v>22</v>
      </c>
    </row>
    <row r="356" spans="1:15" x14ac:dyDescent="0.3">
      <c r="A356" s="2" t="s">
        <v>233</v>
      </c>
      <c r="B356" s="5">
        <v>45783</v>
      </c>
      <c r="C356" s="6" t="s">
        <v>16</v>
      </c>
      <c r="D356" s="6" t="s">
        <v>17</v>
      </c>
      <c r="E356" s="6" t="s">
        <v>56</v>
      </c>
      <c r="F356" s="6" t="s">
        <v>43</v>
      </c>
      <c r="G356" s="6" t="s">
        <v>44</v>
      </c>
      <c r="H356" s="2">
        <v>2</v>
      </c>
      <c r="I356" s="2">
        <v>11697.89</v>
      </c>
      <c r="J356" s="2">
        <v>0.05</v>
      </c>
      <c r="K356" s="2">
        <v>22226</v>
      </c>
      <c r="L356" s="2">
        <v>14450.86</v>
      </c>
      <c r="M356" s="2">
        <v>7775.14</v>
      </c>
      <c r="N356" s="6" t="s">
        <v>21</v>
      </c>
      <c r="O356" s="6" t="s">
        <v>59</v>
      </c>
    </row>
    <row r="357" spans="1:15" x14ac:dyDescent="0.3">
      <c r="A357" s="2" t="s">
        <v>725</v>
      </c>
      <c r="B357" s="5">
        <v>46010</v>
      </c>
      <c r="C357" s="6" t="s">
        <v>16</v>
      </c>
      <c r="D357" s="6" t="s">
        <v>17</v>
      </c>
      <c r="E357" s="6" t="s">
        <v>65</v>
      </c>
      <c r="F357" s="6" t="s">
        <v>43</v>
      </c>
      <c r="G357" s="6" t="s">
        <v>121</v>
      </c>
      <c r="H357" s="2">
        <v>6</v>
      </c>
      <c r="I357" s="2">
        <v>5191.1400000000003</v>
      </c>
      <c r="J357" s="2">
        <v>0</v>
      </c>
      <c r="K357" s="2">
        <v>31146.87</v>
      </c>
      <c r="L357" s="2">
        <v>23356.95</v>
      </c>
      <c r="M357" s="2">
        <v>7789.92</v>
      </c>
      <c r="N357" s="6" t="s">
        <v>29</v>
      </c>
      <c r="O357" s="6" t="s">
        <v>59</v>
      </c>
    </row>
    <row r="358" spans="1:15" x14ac:dyDescent="0.3">
      <c r="A358" s="2" t="s">
        <v>221</v>
      </c>
      <c r="B358" s="5">
        <v>45669</v>
      </c>
      <c r="C358" s="6" t="s">
        <v>54</v>
      </c>
      <c r="D358" s="6" t="s">
        <v>174</v>
      </c>
      <c r="E358" s="6" t="s">
        <v>69</v>
      </c>
      <c r="F358" s="6" t="s">
        <v>34</v>
      </c>
      <c r="G358" s="6" t="s">
        <v>35</v>
      </c>
      <c r="H358" s="2">
        <v>2</v>
      </c>
      <c r="I358" s="2">
        <v>17823.189999999999</v>
      </c>
      <c r="J358" s="2">
        <v>0.08</v>
      </c>
      <c r="K358" s="2">
        <v>32794.67</v>
      </c>
      <c r="L358" s="2">
        <v>25002.23</v>
      </c>
      <c r="M358" s="2">
        <v>7792.44</v>
      </c>
      <c r="N358" s="6" t="s">
        <v>21</v>
      </c>
      <c r="O358" s="6" t="s">
        <v>45</v>
      </c>
    </row>
    <row r="359" spans="1:15" x14ac:dyDescent="0.3">
      <c r="A359" s="2" t="s">
        <v>661</v>
      </c>
      <c r="B359" s="5">
        <v>45699</v>
      </c>
      <c r="C359" s="6" t="s">
        <v>16</v>
      </c>
      <c r="D359" s="6" t="s">
        <v>32</v>
      </c>
      <c r="E359" s="6" t="s">
        <v>56</v>
      </c>
      <c r="F359" s="6" t="s">
        <v>34</v>
      </c>
      <c r="G359" s="6" t="s">
        <v>35</v>
      </c>
      <c r="H359" s="2">
        <v>3</v>
      </c>
      <c r="I359" s="2">
        <v>19266.98</v>
      </c>
      <c r="J359" s="2">
        <v>0.05</v>
      </c>
      <c r="K359" s="2">
        <v>54910.9</v>
      </c>
      <c r="L359" s="2">
        <v>47066.87</v>
      </c>
      <c r="M359" s="2">
        <v>7844.03</v>
      </c>
      <c r="N359" s="6" t="s">
        <v>21</v>
      </c>
      <c r="O359" s="6" t="s">
        <v>45</v>
      </c>
    </row>
    <row r="360" spans="1:15" x14ac:dyDescent="0.3">
      <c r="A360" s="2" t="s">
        <v>996</v>
      </c>
      <c r="B360" s="5">
        <v>45740</v>
      </c>
      <c r="C360" s="6" t="s">
        <v>63</v>
      </c>
      <c r="D360" s="6" t="s">
        <v>88</v>
      </c>
      <c r="E360" s="6" t="s">
        <v>26</v>
      </c>
      <c r="F360" s="6" t="s">
        <v>34</v>
      </c>
      <c r="G360" s="6" t="s">
        <v>35</v>
      </c>
      <c r="H360" s="2">
        <v>3</v>
      </c>
      <c r="I360" s="2">
        <v>19313.990000000002</v>
      </c>
      <c r="J360" s="2">
        <v>0.08</v>
      </c>
      <c r="K360" s="2">
        <v>53306.61</v>
      </c>
      <c r="L360" s="2">
        <v>45454.21</v>
      </c>
      <c r="M360" s="2">
        <v>7852.4</v>
      </c>
      <c r="N360" s="6" t="s">
        <v>58</v>
      </c>
      <c r="O360" s="6" t="s">
        <v>30</v>
      </c>
    </row>
    <row r="361" spans="1:15" x14ac:dyDescent="0.3">
      <c r="A361" s="2" t="s">
        <v>417</v>
      </c>
      <c r="B361" s="5">
        <v>45789</v>
      </c>
      <c r="C361" s="6" t="s">
        <v>16</v>
      </c>
      <c r="D361" s="6" t="s">
        <v>32</v>
      </c>
      <c r="E361" s="6" t="s">
        <v>74</v>
      </c>
      <c r="F361" s="6" t="s">
        <v>34</v>
      </c>
      <c r="G361" s="6" t="s">
        <v>35</v>
      </c>
      <c r="H361" s="2">
        <v>3</v>
      </c>
      <c r="I361" s="2">
        <v>16802.79</v>
      </c>
      <c r="J361" s="2">
        <v>0.1</v>
      </c>
      <c r="K361" s="2">
        <v>45367.53</v>
      </c>
      <c r="L361" s="2">
        <v>37506.1</v>
      </c>
      <c r="M361" s="2">
        <v>7861.43</v>
      </c>
      <c r="N361" s="6" t="s">
        <v>29</v>
      </c>
      <c r="O361" s="6" t="s">
        <v>30</v>
      </c>
    </row>
    <row r="362" spans="1:15" x14ac:dyDescent="0.3">
      <c r="A362" s="2" t="s">
        <v>441</v>
      </c>
      <c r="B362" s="5">
        <v>45992</v>
      </c>
      <c r="C362" s="6" t="s">
        <v>37</v>
      </c>
      <c r="D362" s="6" t="s">
        <v>42</v>
      </c>
      <c r="E362" s="6" t="s">
        <v>49</v>
      </c>
      <c r="F362" s="6" t="s">
        <v>27</v>
      </c>
      <c r="G362" s="6" t="s">
        <v>50</v>
      </c>
      <c r="H362" s="2">
        <v>1</v>
      </c>
      <c r="I362" s="2">
        <v>32312.2</v>
      </c>
      <c r="J362" s="2">
        <v>0.05</v>
      </c>
      <c r="K362" s="2">
        <v>30696.59</v>
      </c>
      <c r="L362" s="2">
        <v>22813.96</v>
      </c>
      <c r="M362" s="2">
        <v>7882.63</v>
      </c>
      <c r="N362" s="6" t="s">
        <v>21</v>
      </c>
      <c r="O362" s="6" t="s">
        <v>45</v>
      </c>
    </row>
    <row r="363" spans="1:15" x14ac:dyDescent="0.3">
      <c r="A363" s="2" t="s">
        <v>656</v>
      </c>
      <c r="B363" s="5">
        <v>45747</v>
      </c>
      <c r="C363" s="6" t="s">
        <v>16</v>
      </c>
      <c r="D363" s="6" t="s">
        <v>32</v>
      </c>
      <c r="E363" s="6" t="s">
        <v>26</v>
      </c>
      <c r="F363" s="6" t="s">
        <v>43</v>
      </c>
      <c r="G363" s="6" t="s">
        <v>44</v>
      </c>
      <c r="H363" s="2">
        <v>3</v>
      </c>
      <c r="I363" s="2">
        <v>12701.9</v>
      </c>
      <c r="J363" s="2">
        <v>0.05</v>
      </c>
      <c r="K363" s="2">
        <v>36200.410000000003</v>
      </c>
      <c r="L363" s="2">
        <v>28300.36</v>
      </c>
      <c r="M363" s="2">
        <v>7900.05</v>
      </c>
      <c r="N363" s="6" t="s">
        <v>29</v>
      </c>
      <c r="O363" s="6" t="s">
        <v>40</v>
      </c>
    </row>
    <row r="364" spans="1:15" x14ac:dyDescent="0.3">
      <c r="A364" s="2" t="s">
        <v>533</v>
      </c>
      <c r="B364" s="5">
        <v>45945</v>
      </c>
      <c r="C364" s="6" t="s">
        <v>16</v>
      </c>
      <c r="D364" s="6" t="s">
        <v>32</v>
      </c>
      <c r="E364" s="6" t="s">
        <v>56</v>
      </c>
      <c r="F364" s="6" t="s">
        <v>34</v>
      </c>
      <c r="G364" s="6" t="s">
        <v>57</v>
      </c>
      <c r="H364" s="2">
        <v>1</v>
      </c>
      <c r="I364" s="2">
        <v>22191.34</v>
      </c>
      <c r="J364" s="2">
        <v>0</v>
      </c>
      <c r="K364" s="2">
        <v>22191.34</v>
      </c>
      <c r="L364" s="2">
        <v>14249.14</v>
      </c>
      <c r="M364" s="2">
        <v>7942.2</v>
      </c>
      <c r="N364" s="6" t="s">
        <v>58</v>
      </c>
      <c r="O364" s="6" t="s">
        <v>22</v>
      </c>
    </row>
    <row r="365" spans="1:15" x14ac:dyDescent="0.3">
      <c r="A365" s="2" t="s">
        <v>143</v>
      </c>
      <c r="B365" s="5">
        <v>45691</v>
      </c>
      <c r="C365" s="6" t="s">
        <v>54</v>
      </c>
      <c r="D365" s="6" t="s">
        <v>48</v>
      </c>
      <c r="E365" s="6" t="s">
        <v>49</v>
      </c>
      <c r="F365" s="6" t="s">
        <v>34</v>
      </c>
      <c r="G365" s="6" t="s">
        <v>80</v>
      </c>
      <c r="H365" s="2">
        <v>6</v>
      </c>
      <c r="I365" s="2">
        <v>4226.8599999999997</v>
      </c>
      <c r="J365" s="2">
        <v>0.05</v>
      </c>
      <c r="K365" s="2">
        <v>24093.09</v>
      </c>
      <c r="L365" s="2">
        <v>16130.81</v>
      </c>
      <c r="M365" s="2">
        <v>7962.28</v>
      </c>
      <c r="N365" s="6" t="s">
        <v>21</v>
      </c>
      <c r="O365" s="6" t="s">
        <v>59</v>
      </c>
    </row>
    <row r="366" spans="1:15" x14ac:dyDescent="0.3">
      <c r="A366" s="2" t="s">
        <v>1242</v>
      </c>
      <c r="B366" s="5">
        <v>45874</v>
      </c>
      <c r="C366" s="6" t="s">
        <v>63</v>
      </c>
      <c r="D366" s="6" t="s">
        <v>117</v>
      </c>
      <c r="E366" s="6" t="s">
        <v>33</v>
      </c>
      <c r="F366" s="6" t="s">
        <v>27</v>
      </c>
      <c r="G366" s="6" t="s">
        <v>125</v>
      </c>
      <c r="H366" s="2">
        <v>5</v>
      </c>
      <c r="I366" s="2">
        <v>7917.17</v>
      </c>
      <c r="J366" s="2">
        <v>0</v>
      </c>
      <c r="K366" s="2">
        <v>39585.870000000003</v>
      </c>
      <c r="L366" s="2">
        <v>31616.98</v>
      </c>
      <c r="M366" s="2">
        <v>7968.89</v>
      </c>
      <c r="N366" s="6" t="s">
        <v>21</v>
      </c>
      <c r="O366" s="6" t="s">
        <v>40</v>
      </c>
    </row>
    <row r="367" spans="1:15" x14ac:dyDescent="0.3">
      <c r="A367" s="2" t="s">
        <v>968</v>
      </c>
      <c r="B367" s="5">
        <v>45923</v>
      </c>
      <c r="C367" s="6" t="s">
        <v>16</v>
      </c>
      <c r="D367" s="6" t="s">
        <v>17</v>
      </c>
      <c r="E367" s="6" t="s">
        <v>56</v>
      </c>
      <c r="F367" s="6" t="s">
        <v>19</v>
      </c>
      <c r="G367" s="6" t="s">
        <v>106</v>
      </c>
      <c r="H367" s="2">
        <v>2</v>
      </c>
      <c r="I367" s="2">
        <v>14840.83</v>
      </c>
      <c r="J367" s="2">
        <v>0.05</v>
      </c>
      <c r="K367" s="2">
        <v>28197.58</v>
      </c>
      <c r="L367" s="2">
        <v>20208.25</v>
      </c>
      <c r="M367" s="2">
        <v>7989.33</v>
      </c>
      <c r="N367" s="6" t="s">
        <v>21</v>
      </c>
      <c r="O367" s="6" t="s">
        <v>30</v>
      </c>
    </row>
    <row r="368" spans="1:15" x14ac:dyDescent="0.3">
      <c r="A368" s="2" t="s">
        <v>521</v>
      </c>
      <c r="B368" s="5">
        <v>45661</v>
      </c>
      <c r="C368" s="6" t="s">
        <v>63</v>
      </c>
      <c r="D368" s="6" t="s">
        <v>88</v>
      </c>
      <c r="E368" s="6" t="s">
        <v>56</v>
      </c>
      <c r="F368" s="6" t="s">
        <v>43</v>
      </c>
      <c r="G368" s="6" t="s">
        <v>121</v>
      </c>
      <c r="H368" s="2">
        <v>7</v>
      </c>
      <c r="I368" s="2">
        <v>5151.2700000000004</v>
      </c>
      <c r="J368" s="2">
        <v>0.1</v>
      </c>
      <c r="K368" s="2">
        <v>32453</v>
      </c>
      <c r="L368" s="2">
        <v>24452.87</v>
      </c>
      <c r="M368" s="2">
        <v>8000.13</v>
      </c>
      <c r="N368" s="6" t="s">
        <v>29</v>
      </c>
      <c r="O368" s="6" t="s">
        <v>59</v>
      </c>
    </row>
    <row r="369" spans="1:15" x14ac:dyDescent="0.3">
      <c r="A369" s="2" t="s">
        <v>253</v>
      </c>
      <c r="B369" s="5">
        <v>45968</v>
      </c>
      <c r="C369" s="6" t="s">
        <v>54</v>
      </c>
      <c r="D369" s="6" t="s">
        <v>174</v>
      </c>
      <c r="E369" s="6" t="s">
        <v>74</v>
      </c>
      <c r="F369" s="6" t="s">
        <v>34</v>
      </c>
      <c r="G369" s="6" t="s">
        <v>35</v>
      </c>
      <c r="H369" s="2">
        <v>2</v>
      </c>
      <c r="I369" s="2">
        <v>19317.96</v>
      </c>
      <c r="J369" s="2">
        <v>0.03</v>
      </c>
      <c r="K369" s="2">
        <v>37476.839999999997</v>
      </c>
      <c r="L369" s="2">
        <v>29441.85</v>
      </c>
      <c r="M369" s="2">
        <v>8034.99</v>
      </c>
      <c r="N369" s="6" t="s">
        <v>29</v>
      </c>
      <c r="O369" s="6" t="s">
        <v>30</v>
      </c>
    </row>
    <row r="370" spans="1:15" x14ac:dyDescent="0.3">
      <c r="A370" s="2" t="s">
        <v>908</v>
      </c>
      <c r="B370" s="5">
        <v>45861</v>
      </c>
      <c r="C370" s="6" t="s">
        <v>63</v>
      </c>
      <c r="D370" s="6" t="s">
        <v>64</v>
      </c>
      <c r="E370" s="6" t="s">
        <v>56</v>
      </c>
      <c r="F370" s="6" t="s">
        <v>43</v>
      </c>
      <c r="G370" s="6" t="s">
        <v>121</v>
      </c>
      <c r="H370" s="2">
        <v>8</v>
      </c>
      <c r="I370" s="2">
        <v>4777.67</v>
      </c>
      <c r="J370" s="2">
        <v>0.1</v>
      </c>
      <c r="K370" s="2">
        <v>34399.19</v>
      </c>
      <c r="L370" s="2">
        <v>26349.919999999998</v>
      </c>
      <c r="M370" s="2">
        <v>8049.27</v>
      </c>
      <c r="N370" s="6" t="s">
        <v>21</v>
      </c>
      <c r="O370" s="6" t="s">
        <v>45</v>
      </c>
    </row>
    <row r="371" spans="1:15" x14ac:dyDescent="0.3">
      <c r="A371" s="2" t="s">
        <v>464</v>
      </c>
      <c r="B371" s="5">
        <v>45776</v>
      </c>
      <c r="C371" s="6" t="s">
        <v>63</v>
      </c>
      <c r="D371" s="6" t="s">
        <v>88</v>
      </c>
      <c r="E371" s="6" t="s">
        <v>26</v>
      </c>
      <c r="F371" s="6" t="s">
        <v>19</v>
      </c>
      <c r="G371" s="6" t="s">
        <v>106</v>
      </c>
      <c r="H371" s="2">
        <v>3</v>
      </c>
      <c r="I371" s="2">
        <v>12947.26</v>
      </c>
      <c r="J371" s="2">
        <v>0.1</v>
      </c>
      <c r="K371" s="2">
        <v>34957.599999999999</v>
      </c>
      <c r="L371" s="2">
        <v>26897.47</v>
      </c>
      <c r="M371" s="2">
        <v>8060.13</v>
      </c>
      <c r="N371" s="6" t="s">
        <v>29</v>
      </c>
      <c r="O371" s="6" t="s">
        <v>45</v>
      </c>
    </row>
    <row r="372" spans="1:15" x14ac:dyDescent="0.3">
      <c r="A372" s="2" t="s">
        <v>867</v>
      </c>
      <c r="B372" s="5">
        <v>45868</v>
      </c>
      <c r="C372" s="6" t="s">
        <v>63</v>
      </c>
      <c r="D372" s="6" t="s">
        <v>64</v>
      </c>
      <c r="E372" s="6" t="s">
        <v>33</v>
      </c>
      <c r="F372" s="6" t="s">
        <v>27</v>
      </c>
      <c r="G372" s="6" t="s">
        <v>89</v>
      </c>
      <c r="H372" s="2">
        <v>1</v>
      </c>
      <c r="I372" s="2">
        <v>30941.94</v>
      </c>
      <c r="J372" s="2">
        <v>0.05</v>
      </c>
      <c r="K372" s="2">
        <v>29394.85</v>
      </c>
      <c r="L372" s="2">
        <v>21319.11</v>
      </c>
      <c r="M372" s="2">
        <v>8075.74</v>
      </c>
      <c r="N372" s="6" t="s">
        <v>21</v>
      </c>
      <c r="O372" s="6" t="s">
        <v>59</v>
      </c>
    </row>
    <row r="373" spans="1:15" x14ac:dyDescent="0.3">
      <c r="A373" s="2" t="s">
        <v>1034</v>
      </c>
      <c r="B373" s="5">
        <v>45663</v>
      </c>
      <c r="C373" s="6" t="s">
        <v>37</v>
      </c>
      <c r="D373" s="6" t="s">
        <v>25</v>
      </c>
      <c r="E373" s="6" t="s">
        <v>56</v>
      </c>
      <c r="F373" s="6" t="s">
        <v>34</v>
      </c>
      <c r="G373" s="6" t="s">
        <v>80</v>
      </c>
      <c r="H373" s="2">
        <v>7</v>
      </c>
      <c r="I373" s="2">
        <v>4329.54</v>
      </c>
      <c r="J373" s="2">
        <v>0.05</v>
      </c>
      <c r="K373" s="2">
        <v>28791.42</v>
      </c>
      <c r="L373" s="2">
        <v>20693.509999999998</v>
      </c>
      <c r="M373" s="2">
        <v>8097.91</v>
      </c>
      <c r="N373" s="6" t="s">
        <v>21</v>
      </c>
      <c r="O373" s="6" t="s">
        <v>59</v>
      </c>
    </row>
    <row r="374" spans="1:15" x14ac:dyDescent="0.3">
      <c r="A374" s="2" t="s">
        <v>1253</v>
      </c>
      <c r="B374" s="5">
        <v>45900</v>
      </c>
      <c r="C374" s="6" t="s">
        <v>63</v>
      </c>
      <c r="D374" s="6" t="s">
        <v>95</v>
      </c>
      <c r="E374" s="6" t="s">
        <v>74</v>
      </c>
      <c r="F374" s="6" t="s">
        <v>43</v>
      </c>
      <c r="G374" s="6" t="s">
        <v>44</v>
      </c>
      <c r="H374" s="2">
        <v>2</v>
      </c>
      <c r="I374" s="2">
        <v>12182.78</v>
      </c>
      <c r="J374" s="2">
        <v>0.08</v>
      </c>
      <c r="K374" s="2">
        <v>22416.32</v>
      </c>
      <c r="L374" s="2">
        <v>14241.96</v>
      </c>
      <c r="M374" s="2">
        <v>8174.36</v>
      </c>
      <c r="N374" s="6" t="s">
        <v>21</v>
      </c>
      <c r="O374" s="6" t="s">
        <v>22</v>
      </c>
    </row>
    <row r="375" spans="1:15" x14ac:dyDescent="0.3">
      <c r="A375" s="2" t="s">
        <v>236</v>
      </c>
      <c r="B375" s="5">
        <v>45849</v>
      </c>
      <c r="C375" s="6" t="s">
        <v>63</v>
      </c>
      <c r="D375" s="6" t="s">
        <v>95</v>
      </c>
      <c r="E375" s="6" t="s">
        <v>56</v>
      </c>
      <c r="F375" s="6" t="s">
        <v>34</v>
      </c>
      <c r="G375" s="6" t="s">
        <v>80</v>
      </c>
      <c r="H375" s="2">
        <v>8</v>
      </c>
      <c r="I375" s="2">
        <v>4608.8900000000003</v>
      </c>
      <c r="J375" s="2">
        <v>0</v>
      </c>
      <c r="K375" s="2">
        <v>36871.1</v>
      </c>
      <c r="L375" s="2">
        <v>28681.4</v>
      </c>
      <c r="M375" s="2">
        <v>8189.7</v>
      </c>
      <c r="N375" s="6" t="s">
        <v>21</v>
      </c>
      <c r="O375" s="6" t="s">
        <v>30</v>
      </c>
    </row>
    <row r="376" spans="1:15" x14ac:dyDescent="0.3">
      <c r="A376" s="2" t="s">
        <v>1323</v>
      </c>
      <c r="B376" s="5">
        <v>45973</v>
      </c>
      <c r="C376" s="6" t="s">
        <v>37</v>
      </c>
      <c r="D376" s="6" t="s">
        <v>38</v>
      </c>
      <c r="E376" s="6" t="s">
        <v>33</v>
      </c>
      <c r="F376" s="6" t="s">
        <v>34</v>
      </c>
      <c r="G376" s="6" t="s">
        <v>57</v>
      </c>
      <c r="H376" s="2">
        <v>2</v>
      </c>
      <c r="I376" s="2">
        <v>23161.45</v>
      </c>
      <c r="J376" s="2">
        <v>0.03</v>
      </c>
      <c r="K376" s="2">
        <v>44933.21</v>
      </c>
      <c r="L376" s="2">
        <v>36731.440000000002</v>
      </c>
      <c r="M376" s="2">
        <v>8201.77</v>
      </c>
      <c r="N376" s="6" t="s">
        <v>58</v>
      </c>
      <c r="O376" s="6" t="s">
        <v>40</v>
      </c>
    </row>
    <row r="377" spans="1:15" x14ac:dyDescent="0.3">
      <c r="A377" s="2" t="s">
        <v>543</v>
      </c>
      <c r="B377" s="5">
        <v>45746</v>
      </c>
      <c r="C377" s="6" t="s">
        <v>63</v>
      </c>
      <c r="D377" s="6" t="s">
        <v>117</v>
      </c>
      <c r="E377" s="6" t="s">
        <v>49</v>
      </c>
      <c r="F377" s="6" t="s">
        <v>43</v>
      </c>
      <c r="G377" s="6" t="s">
        <v>121</v>
      </c>
      <c r="H377" s="2">
        <v>5</v>
      </c>
      <c r="I377" s="2">
        <v>4616.75</v>
      </c>
      <c r="J377" s="2">
        <v>0.03</v>
      </c>
      <c r="K377" s="2">
        <v>22391.22</v>
      </c>
      <c r="L377" s="2">
        <v>14188.23</v>
      </c>
      <c r="M377" s="2">
        <v>8202.99</v>
      </c>
      <c r="N377" s="6" t="s">
        <v>58</v>
      </c>
      <c r="O377" s="6" t="s">
        <v>30</v>
      </c>
    </row>
    <row r="378" spans="1:15" x14ac:dyDescent="0.3">
      <c r="A378" s="2" t="s">
        <v>856</v>
      </c>
      <c r="B378" s="5">
        <v>45727</v>
      </c>
      <c r="C378" s="6" t="s">
        <v>16</v>
      </c>
      <c r="D378" s="6" t="s">
        <v>32</v>
      </c>
      <c r="E378" s="6" t="s">
        <v>49</v>
      </c>
      <c r="F378" s="6" t="s">
        <v>34</v>
      </c>
      <c r="G378" s="6" t="s">
        <v>80</v>
      </c>
      <c r="H378" s="2">
        <v>6</v>
      </c>
      <c r="I378" s="2">
        <v>4743.6099999999997</v>
      </c>
      <c r="J378" s="2">
        <v>0.08</v>
      </c>
      <c r="K378" s="2">
        <v>26184.75</v>
      </c>
      <c r="L378" s="2">
        <v>17965.439999999999</v>
      </c>
      <c r="M378" s="2">
        <v>8219.31</v>
      </c>
      <c r="N378" s="6" t="s">
        <v>21</v>
      </c>
      <c r="O378" s="6" t="s">
        <v>45</v>
      </c>
    </row>
    <row r="379" spans="1:15" x14ac:dyDescent="0.3">
      <c r="A379" s="2" t="s">
        <v>293</v>
      </c>
      <c r="B379" s="5">
        <v>45977</v>
      </c>
      <c r="C379" s="6" t="s">
        <v>63</v>
      </c>
      <c r="D379" s="6" t="s">
        <v>64</v>
      </c>
      <c r="E379" s="6" t="s">
        <v>65</v>
      </c>
      <c r="F379" s="6" t="s">
        <v>19</v>
      </c>
      <c r="G379" s="6" t="s">
        <v>106</v>
      </c>
      <c r="H379" s="2">
        <v>2</v>
      </c>
      <c r="I379" s="2">
        <v>14790.11</v>
      </c>
      <c r="J379" s="2">
        <v>0.03</v>
      </c>
      <c r="K379" s="2">
        <v>28692.81</v>
      </c>
      <c r="L379" s="2">
        <v>20385.080000000002</v>
      </c>
      <c r="M379" s="2">
        <v>8307.73</v>
      </c>
      <c r="N379" s="6" t="s">
        <v>21</v>
      </c>
      <c r="O379" s="6" t="s">
        <v>30</v>
      </c>
    </row>
    <row r="380" spans="1:15" x14ac:dyDescent="0.3">
      <c r="A380" s="2" t="s">
        <v>393</v>
      </c>
      <c r="B380" s="5">
        <v>45698</v>
      </c>
      <c r="C380" s="6" t="s">
        <v>54</v>
      </c>
      <c r="D380" s="6" t="s">
        <v>124</v>
      </c>
      <c r="E380" s="6" t="s">
        <v>74</v>
      </c>
      <c r="F380" s="6" t="s">
        <v>19</v>
      </c>
      <c r="G380" s="6" t="s">
        <v>61</v>
      </c>
      <c r="H380" s="2">
        <v>4</v>
      </c>
      <c r="I380" s="2">
        <v>8996.4599999999991</v>
      </c>
      <c r="J380" s="2">
        <v>0.03</v>
      </c>
      <c r="K380" s="2">
        <v>34906.25</v>
      </c>
      <c r="L380" s="2">
        <v>26594.07</v>
      </c>
      <c r="M380" s="2">
        <v>8312.18</v>
      </c>
      <c r="N380" s="6" t="s">
        <v>21</v>
      </c>
      <c r="O380" s="6" t="s">
        <v>40</v>
      </c>
    </row>
    <row r="381" spans="1:15" x14ac:dyDescent="0.3">
      <c r="A381" s="2" t="s">
        <v>1233</v>
      </c>
      <c r="B381" s="5">
        <v>45977</v>
      </c>
      <c r="C381" s="6" t="s">
        <v>54</v>
      </c>
      <c r="D381" s="6" t="s">
        <v>174</v>
      </c>
      <c r="E381" s="6" t="s">
        <v>69</v>
      </c>
      <c r="F381" s="6" t="s">
        <v>27</v>
      </c>
      <c r="G381" s="6" t="s">
        <v>125</v>
      </c>
      <c r="H381" s="2">
        <v>3</v>
      </c>
      <c r="I381" s="2">
        <v>8909.3700000000008</v>
      </c>
      <c r="J381" s="2">
        <v>0.05</v>
      </c>
      <c r="K381" s="2">
        <v>25391.71</v>
      </c>
      <c r="L381" s="2">
        <v>17035.89</v>
      </c>
      <c r="M381" s="2">
        <v>8355.82</v>
      </c>
      <c r="N381" s="6" t="s">
        <v>58</v>
      </c>
      <c r="O381" s="6" t="s">
        <v>22</v>
      </c>
    </row>
    <row r="382" spans="1:15" x14ac:dyDescent="0.3">
      <c r="A382" s="2" t="s">
        <v>1146</v>
      </c>
      <c r="B382" s="5">
        <v>45753</v>
      </c>
      <c r="C382" s="6" t="s">
        <v>37</v>
      </c>
      <c r="D382" s="6" t="s">
        <v>38</v>
      </c>
      <c r="E382" s="6" t="s">
        <v>26</v>
      </c>
      <c r="F382" s="6" t="s">
        <v>27</v>
      </c>
      <c r="G382" s="6" t="s">
        <v>50</v>
      </c>
      <c r="H382" s="2">
        <v>1</v>
      </c>
      <c r="I382" s="2">
        <v>29809.85</v>
      </c>
      <c r="J382" s="2">
        <v>0.05</v>
      </c>
      <c r="K382" s="2">
        <v>28319.360000000001</v>
      </c>
      <c r="L382" s="2">
        <v>19957.25</v>
      </c>
      <c r="M382" s="2">
        <v>8362.11</v>
      </c>
      <c r="N382" s="6" t="s">
        <v>58</v>
      </c>
      <c r="O382" s="6" t="s">
        <v>45</v>
      </c>
    </row>
    <row r="383" spans="1:15" x14ac:dyDescent="0.3">
      <c r="A383" s="2" t="s">
        <v>471</v>
      </c>
      <c r="B383" s="5">
        <v>45984</v>
      </c>
      <c r="C383" s="6" t="s">
        <v>54</v>
      </c>
      <c r="D383" s="6" t="s">
        <v>48</v>
      </c>
      <c r="E383" s="6" t="s">
        <v>69</v>
      </c>
      <c r="F383" s="6" t="s">
        <v>43</v>
      </c>
      <c r="G383" s="6" t="s">
        <v>121</v>
      </c>
      <c r="H383" s="2">
        <v>8</v>
      </c>
      <c r="I383" s="2">
        <v>5124.84</v>
      </c>
      <c r="J383" s="2">
        <v>0.05</v>
      </c>
      <c r="K383" s="2">
        <v>38948.81</v>
      </c>
      <c r="L383" s="2">
        <v>30570.51</v>
      </c>
      <c r="M383" s="2">
        <v>8378.2999999999993</v>
      </c>
      <c r="N383" s="6" t="s">
        <v>21</v>
      </c>
      <c r="O383" s="6" t="s">
        <v>59</v>
      </c>
    </row>
    <row r="384" spans="1:15" x14ac:dyDescent="0.3">
      <c r="A384" s="2" t="s">
        <v>898</v>
      </c>
      <c r="B384" s="5">
        <v>45744</v>
      </c>
      <c r="C384" s="6" t="s">
        <v>1356</v>
      </c>
      <c r="D384" s="6" t="s">
        <v>95</v>
      </c>
      <c r="E384" s="6" t="s">
        <v>65</v>
      </c>
      <c r="F384" s="6" t="s">
        <v>27</v>
      </c>
      <c r="G384" s="6" t="s">
        <v>28</v>
      </c>
      <c r="H384" s="2">
        <v>1</v>
      </c>
      <c r="I384" s="2">
        <v>29664.55</v>
      </c>
      <c r="J384" s="2">
        <v>0.05</v>
      </c>
      <c r="K384" s="2">
        <v>28181.32</v>
      </c>
      <c r="L384" s="2">
        <v>19792.080000000002</v>
      </c>
      <c r="M384" s="2">
        <v>8389.24</v>
      </c>
      <c r="N384" s="6" t="s">
        <v>58</v>
      </c>
      <c r="O384" s="6" t="s">
        <v>45</v>
      </c>
    </row>
    <row r="385" spans="1:15" x14ac:dyDescent="0.3">
      <c r="A385" s="2" t="s">
        <v>111</v>
      </c>
      <c r="B385" s="5">
        <v>45914</v>
      </c>
      <c r="C385" s="6" t="s">
        <v>16</v>
      </c>
      <c r="D385" s="6" t="s">
        <v>52</v>
      </c>
      <c r="E385" s="6" t="s">
        <v>74</v>
      </c>
      <c r="F385" s="6" t="s">
        <v>19</v>
      </c>
      <c r="G385" s="6" t="s">
        <v>61</v>
      </c>
      <c r="H385" s="2">
        <v>4</v>
      </c>
      <c r="I385" s="2">
        <v>8819.44</v>
      </c>
      <c r="J385" s="2">
        <v>0.08</v>
      </c>
      <c r="K385" s="2">
        <v>32455.55</v>
      </c>
      <c r="L385" s="2">
        <v>24041.54</v>
      </c>
      <c r="M385" s="2">
        <v>8414.01</v>
      </c>
      <c r="N385" s="6" t="s">
        <v>29</v>
      </c>
      <c r="O385" s="6" t="s">
        <v>45</v>
      </c>
    </row>
    <row r="386" spans="1:15" x14ac:dyDescent="0.3">
      <c r="A386" s="2" t="s">
        <v>111</v>
      </c>
      <c r="B386" s="5">
        <v>45914</v>
      </c>
      <c r="C386" s="6" t="s">
        <v>16</v>
      </c>
      <c r="D386" s="6" t="s">
        <v>52</v>
      </c>
      <c r="E386" s="6" t="s">
        <v>74</v>
      </c>
      <c r="F386" s="6" t="s">
        <v>19</v>
      </c>
      <c r="G386" s="6" t="s">
        <v>61</v>
      </c>
      <c r="H386" s="2">
        <v>4</v>
      </c>
      <c r="I386" s="2">
        <v>8819.44</v>
      </c>
      <c r="J386" s="2">
        <v>0.08</v>
      </c>
      <c r="K386" s="2">
        <v>32455.55</v>
      </c>
      <c r="L386" s="2">
        <v>24041.54</v>
      </c>
      <c r="M386" s="2">
        <v>8414.01</v>
      </c>
      <c r="N386" s="6" t="s">
        <v>29</v>
      </c>
      <c r="O386" s="6" t="s">
        <v>45</v>
      </c>
    </row>
    <row r="387" spans="1:15" x14ac:dyDescent="0.3">
      <c r="A387" s="2" t="s">
        <v>789</v>
      </c>
      <c r="B387" s="5">
        <v>46012</v>
      </c>
      <c r="C387" s="6" t="s">
        <v>63</v>
      </c>
      <c r="D387" s="6" t="s">
        <v>64</v>
      </c>
      <c r="E387" s="6" t="s">
        <v>74</v>
      </c>
      <c r="F387" s="6" t="s">
        <v>19</v>
      </c>
      <c r="G387" s="6" t="s">
        <v>108</v>
      </c>
      <c r="H387" s="2">
        <v>4</v>
      </c>
      <c r="I387" s="2">
        <v>15458.65</v>
      </c>
      <c r="J387" s="2">
        <v>0.1</v>
      </c>
      <c r="K387" s="2">
        <v>55651.15</v>
      </c>
      <c r="L387" s="2">
        <v>47168.11</v>
      </c>
      <c r="M387" s="2">
        <v>8483.0400000000009</v>
      </c>
      <c r="N387" s="6" t="s">
        <v>58</v>
      </c>
      <c r="O387" s="6" t="s">
        <v>59</v>
      </c>
    </row>
    <row r="388" spans="1:15" x14ac:dyDescent="0.3">
      <c r="A388" s="2" t="s">
        <v>881</v>
      </c>
      <c r="B388" s="5">
        <v>45746</v>
      </c>
      <c r="C388" s="6" t="s">
        <v>37</v>
      </c>
      <c r="D388" s="6" t="s">
        <v>68</v>
      </c>
      <c r="E388" s="6" t="s">
        <v>26</v>
      </c>
      <c r="F388" s="6" t="s">
        <v>34</v>
      </c>
      <c r="G388" s="6" t="s">
        <v>39</v>
      </c>
      <c r="H388" s="2">
        <v>1</v>
      </c>
      <c r="I388" s="2">
        <v>29139.52</v>
      </c>
      <c r="J388" s="2">
        <v>0.1</v>
      </c>
      <c r="K388" s="2">
        <v>26225.57</v>
      </c>
      <c r="L388" s="2">
        <v>17723.669999999998</v>
      </c>
      <c r="M388" s="2">
        <v>8501.9</v>
      </c>
      <c r="N388" s="6" t="s">
        <v>21</v>
      </c>
      <c r="O388" s="6" t="s">
        <v>22</v>
      </c>
    </row>
    <row r="389" spans="1:15" x14ac:dyDescent="0.3">
      <c r="A389" s="2" t="s">
        <v>129</v>
      </c>
      <c r="B389" s="5">
        <v>45886</v>
      </c>
      <c r="C389" s="6" t="s">
        <v>54</v>
      </c>
      <c r="D389" s="6" t="s">
        <v>55</v>
      </c>
      <c r="E389" s="6" t="s">
        <v>65</v>
      </c>
      <c r="F389" s="6" t="s">
        <v>27</v>
      </c>
      <c r="G389" s="6" t="s">
        <v>125</v>
      </c>
      <c r="H389" s="2">
        <v>7</v>
      </c>
      <c r="I389" s="2">
        <v>9031.9500000000007</v>
      </c>
      <c r="J389" s="2">
        <v>0.05</v>
      </c>
      <c r="K389" s="2">
        <v>60062.5</v>
      </c>
      <c r="L389" s="2">
        <v>51552.34</v>
      </c>
      <c r="M389" s="2">
        <v>8510.16</v>
      </c>
      <c r="N389" s="6" t="s">
        <v>21</v>
      </c>
      <c r="O389" s="6" t="s">
        <v>22</v>
      </c>
    </row>
    <row r="390" spans="1:15" x14ac:dyDescent="0.3">
      <c r="A390" s="2" t="s">
        <v>1032</v>
      </c>
      <c r="B390" s="5">
        <v>45941</v>
      </c>
      <c r="C390" s="6" t="s">
        <v>37</v>
      </c>
      <c r="D390" s="6" t="s">
        <v>38</v>
      </c>
      <c r="E390" s="6" t="s">
        <v>65</v>
      </c>
      <c r="F390" s="6" t="s">
        <v>34</v>
      </c>
      <c r="G390" s="6" t="s">
        <v>57</v>
      </c>
      <c r="H390" s="2">
        <v>2</v>
      </c>
      <c r="I390" s="2">
        <v>22872.69</v>
      </c>
      <c r="J390" s="2">
        <v>0.03</v>
      </c>
      <c r="K390" s="2">
        <v>44373.02</v>
      </c>
      <c r="L390" s="2">
        <v>35789.1</v>
      </c>
      <c r="M390" s="2">
        <v>8583.92</v>
      </c>
      <c r="N390" s="6" t="s">
        <v>58</v>
      </c>
      <c r="O390" s="6" t="s">
        <v>59</v>
      </c>
    </row>
    <row r="391" spans="1:15" x14ac:dyDescent="0.3">
      <c r="A391" s="2" t="s">
        <v>593</v>
      </c>
      <c r="B391" s="5">
        <v>45866</v>
      </c>
      <c r="C391" s="6" t="s">
        <v>37</v>
      </c>
      <c r="D391" s="6" t="s">
        <v>38</v>
      </c>
      <c r="E391" s="6" t="s">
        <v>69</v>
      </c>
      <c r="F391" s="6" t="s">
        <v>19</v>
      </c>
      <c r="G391" s="6" t="s">
        <v>108</v>
      </c>
      <c r="H391" s="2">
        <v>2</v>
      </c>
      <c r="I391" s="2">
        <v>14764.3</v>
      </c>
      <c r="J391" s="2">
        <v>0.05</v>
      </c>
      <c r="K391" s="2">
        <v>28052.18</v>
      </c>
      <c r="L391" s="2">
        <v>19465.12</v>
      </c>
      <c r="M391" s="2">
        <v>8587.06</v>
      </c>
      <c r="N391" s="6" t="s">
        <v>29</v>
      </c>
      <c r="O391" s="6" t="s">
        <v>45</v>
      </c>
    </row>
    <row r="392" spans="1:15" x14ac:dyDescent="0.3">
      <c r="A392" s="2" t="s">
        <v>308</v>
      </c>
      <c r="B392" s="5">
        <v>45833</v>
      </c>
      <c r="C392" s="6" t="s">
        <v>54</v>
      </c>
      <c r="D392" s="6" t="s">
        <v>174</v>
      </c>
      <c r="E392" s="6" t="s">
        <v>26</v>
      </c>
      <c r="F392" s="6" t="s">
        <v>43</v>
      </c>
      <c r="G392" s="6" t="s">
        <v>91</v>
      </c>
      <c r="H392" s="2">
        <v>1</v>
      </c>
      <c r="I392" s="2">
        <v>44416.39</v>
      </c>
      <c r="J392" s="2">
        <v>0.05</v>
      </c>
      <c r="K392" s="2">
        <v>42195.57</v>
      </c>
      <c r="L392" s="2">
        <v>33580.6</v>
      </c>
      <c r="M392" s="2">
        <v>8614.9699999999993</v>
      </c>
      <c r="N392" s="6" t="s">
        <v>21</v>
      </c>
      <c r="O392" s="6" t="s">
        <v>40</v>
      </c>
    </row>
    <row r="393" spans="1:15" x14ac:dyDescent="0.3">
      <c r="A393" s="2" t="s">
        <v>259</v>
      </c>
      <c r="B393" s="5">
        <v>45923</v>
      </c>
      <c r="C393" s="6" t="s">
        <v>54</v>
      </c>
      <c r="D393" s="6" t="s">
        <v>174</v>
      </c>
      <c r="E393" s="6" t="s">
        <v>65</v>
      </c>
      <c r="F393" s="6" t="s">
        <v>34</v>
      </c>
      <c r="G393" s="6" t="s">
        <v>57</v>
      </c>
      <c r="H393" s="2">
        <v>2</v>
      </c>
      <c r="I393" s="2">
        <v>21027.119999999999</v>
      </c>
      <c r="J393" s="2">
        <v>0.15</v>
      </c>
      <c r="K393" s="2">
        <v>35746.11</v>
      </c>
      <c r="L393" s="2">
        <v>27078.75</v>
      </c>
      <c r="M393" s="2">
        <v>8667.36</v>
      </c>
      <c r="N393" s="6" t="s">
        <v>58</v>
      </c>
      <c r="O393" s="6" t="s">
        <v>30</v>
      </c>
    </row>
    <row r="394" spans="1:15" x14ac:dyDescent="0.3">
      <c r="A394" s="2" t="s">
        <v>1017</v>
      </c>
      <c r="B394" s="5">
        <v>45987</v>
      </c>
      <c r="C394" s="6" t="s">
        <v>16</v>
      </c>
      <c r="D394" s="6" t="s">
        <v>52</v>
      </c>
      <c r="E394" s="6" t="s">
        <v>18</v>
      </c>
      <c r="F394" s="6" t="s">
        <v>27</v>
      </c>
      <c r="G394" s="6" t="s">
        <v>50</v>
      </c>
      <c r="H394" s="2">
        <v>1</v>
      </c>
      <c r="I394" s="2">
        <v>29558.5</v>
      </c>
      <c r="J394" s="2">
        <v>0.08</v>
      </c>
      <c r="K394" s="2">
        <v>27193.82</v>
      </c>
      <c r="L394" s="2">
        <v>18490.93</v>
      </c>
      <c r="M394" s="2">
        <v>8702.89</v>
      </c>
      <c r="N394" s="6" t="s">
        <v>58</v>
      </c>
      <c r="O394" s="6" t="s">
        <v>45</v>
      </c>
    </row>
    <row r="395" spans="1:15" x14ac:dyDescent="0.3">
      <c r="A395" s="2" t="s">
        <v>829</v>
      </c>
      <c r="B395" s="5">
        <v>45772</v>
      </c>
      <c r="C395" s="6" t="s">
        <v>63</v>
      </c>
      <c r="D395" s="6" t="s">
        <v>64</v>
      </c>
      <c r="E395" s="6" t="s">
        <v>49</v>
      </c>
      <c r="F395" s="6" t="s">
        <v>43</v>
      </c>
      <c r="G395" s="6" t="s">
        <v>75</v>
      </c>
      <c r="H395" s="2">
        <v>1</v>
      </c>
      <c r="I395" s="2">
        <v>37262.589999999997</v>
      </c>
      <c r="J395" s="2">
        <v>0.08</v>
      </c>
      <c r="K395" s="2">
        <v>34281.58</v>
      </c>
      <c r="L395" s="2">
        <v>25487.279999999999</v>
      </c>
      <c r="M395" s="2">
        <v>8794.2999999999993</v>
      </c>
      <c r="N395" s="6" t="s">
        <v>58</v>
      </c>
      <c r="O395" s="6" t="s">
        <v>40</v>
      </c>
    </row>
    <row r="396" spans="1:15" x14ac:dyDescent="0.3">
      <c r="A396" s="2" t="s">
        <v>1269</v>
      </c>
      <c r="B396" s="5">
        <v>45881</v>
      </c>
      <c r="C396" s="6" t="s">
        <v>54</v>
      </c>
      <c r="D396" s="6" t="s">
        <v>48</v>
      </c>
      <c r="E396" s="6" t="s">
        <v>69</v>
      </c>
      <c r="F396" s="6" t="s">
        <v>27</v>
      </c>
      <c r="G396" s="6" t="s">
        <v>66</v>
      </c>
      <c r="H396" s="2">
        <v>3</v>
      </c>
      <c r="I396" s="2">
        <v>11714.34</v>
      </c>
      <c r="J396" s="2">
        <v>0.15</v>
      </c>
      <c r="K396" s="2">
        <v>29871.57</v>
      </c>
      <c r="L396" s="2">
        <v>21030.1</v>
      </c>
      <c r="M396" s="2">
        <v>8841.4699999999993</v>
      </c>
      <c r="N396" s="6" t="s">
        <v>21</v>
      </c>
      <c r="O396" s="6" t="s">
        <v>40</v>
      </c>
    </row>
    <row r="397" spans="1:15" x14ac:dyDescent="0.3">
      <c r="A397" s="2" t="s">
        <v>51</v>
      </c>
      <c r="B397" s="5">
        <v>45672</v>
      </c>
      <c r="C397" s="6" t="s">
        <v>16</v>
      </c>
      <c r="D397" s="6" t="s">
        <v>52</v>
      </c>
      <c r="E397" s="6" t="s">
        <v>18</v>
      </c>
      <c r="F397" s="6" t="s">
        <v>27</v>
      </c>
      <c r="G397" s="6" t="s">
        <v>28</v>
      </c>
      <c r="H397" s="2">
        <v>1</v>
      </c>
      <c r="I397" s="2">
        <v>27018.59</v>
      </c>
      <c r="J397" s="2">
        <v>0.05</v>
      </c>
      <c r="K397" s="2">
        <v>25667.66</v>
      </c>
      <c r="L397" s="2">
        <v>16782.080000000002</v>
      </c>
      <c r="M397" s="2">
        <v>8885.58</v>
      </c>
      <c r="N397" s="6" t="s">
        <v>21</v>
      </c>
      <c r="O397" s="6" t="s">
        <v>30</v>
      </c>
    </row>
    <row r="398" spans="1:15" x14ac:dyDescent="0.3">
      <c r="A398" s="2" t="s">
        <v>1198</v>
      </c>
      <c r="B398" s="5">
        <v>45902</v>
      </c>
      <c r="C398" s="6" t="s">
        <v>16</v>
      </c>
      <c r="D398" s="6" t="s">
        <v>17</v>
      </c>
      <c r="E398" s="6" t="s">
        <v>65</v>
      </c>
      <c r="F398" s="6" t="s">
        <v>34</v>
      </c>
      <c r="G398" s="6" t="s">
        <v>80</v>
      </c>
      <c r="H398" s="2">
        <v>8</v>
      </c>
      <c r="I398" s="2">
        <v>4817.0200000000004</v>
      </c>
      <c r="J398" s="2">
        <v>0.05</v>
      </c>
      <c r="K398" s="2">
        <v>36609.39</v>
      </c>
      <c r="L398" s="2">
        <v>27571.5</v>
      </c>
      <c r="M398" s="2">
        <v>9037.89</v>
      </c>
      <c r="N398" s="6" t="s">
        <v>58</v>
      </c>
      <c r="O398" s="6" t="s">
        <v>45</v>
      </c>
    </row>
    <row r="399" spans="1:15" x14ac:dyDescent="0.3">
      <c r="A399" s="2" t="s">
        <v>311</v>
      </c>
      <c r="B399" s="5">
        <v>45791</v>
      </c>
      <c r="C399" s="6" t="s">
        <v>54</v>
      </c>
      <c r="D399" s="6" t="s">
        <v>48</v>
      </c>
      <c r="E399" s="6" t="s">
        <v>74</v>
      </c>
      <c r="F399" s="6" t="s">
        <v>43</v>
      </c>
      <c r="G399" s="6" t="s">
        <v>44</v>
      </c>
      <c r="H399" s="2">
        <v>5</v>
      </c>
      <c r="I399" s="2">
        <v>11686.73</v>
      </c>
      <c r="J399" s="2">
        <v>0.03</v>
      </c>
      <c r="K399" s="2">
        <v>56680.66</v>
      </c>
      <c r="L399" s="2">
        <v>47632.72</v>
      </c>
      <c r="M399" s="2">
        <v>9047.94</v>
      </c>
      <c r="N399" s="6" t="s">
        <v>58</v>
      </c>
      <c r="O399" s="6" t="s">
        <v>40</v>
      </c>
    </row>
    <row r="400" spans="1:15" x14ac:dyDescent="0.3">
      <c r="A400" s="2" t="s">
        <v>454</v>
      </c>
      <c r="B400" s="5">
        <v>45948</v>
      </c>
      <c r="C400" s="6" t="s">
        <v>16</v>
      </c>
      <c r="D400" s="6" t="s">
        <v>32</v>
      </c>
      <c r="E400" s="6" t="s">
        <v>49</v>
      </c>
      <c r="F400" s="6" t="s">
        <v>27</v>
      </c>
      <c r="G400" s="6" t="s">
        <v>125</v>
      </c>
      <c r="H400" s="2">
        <v>3</v>
      </c>
      <c r="I400" s="2">
        <v>8372.18</v>
      </c>
      <c r="J400" s="2">
        <v>0</v>
      </c>
      <c r="K400" s="2">
        <v>25116.53</v>
      </c>
      <c r="L400" s="2">
        <v>16055.83</v>
      </c>
      <c r="M400" s="2">
        <v>9060.7000000000007</v>
      </c>
      <c r="N400" s="6" t="s">
        <v>21</v>
      </c>
      <c r="O400" s="6" t="s">
        <v>59</v>
      </c>
    </row>
    <row r="401" spans="1:15" x14ac:dyDescent="0.3">
      <c r="A401" s="2" t="s">
        <v>862</v>
      </c>
      <c r="B401" s="5">
        <v>46011</v>
      </c>
      <c r="C401" s="6" t="s">
        <v>37</v>
      </c>
      <c r="D401" s="6" t="s">
        <v>38</v>
      </c>
      <c r="E401" s="6" t="s">
        <v>65</v>
      </c>
      <c r="F401" s="6" t="s">
        <v>27</v>
      </c>
      <c r="G401" s="6" t="s">
        <v>66</v>
      </c>
      <c r="H401" s="2">
        <v>3</v>
      </c>
      <c r="I401" s="2">
        <v>10680.48</v>
      </c>
      <c r="J401" s="2">
        <v>0.08</v>
      </c>
      <c r="K401" s="2">
        <v>29478.11</v>
      </c>
      <c r="L401" s="2">
        <v>20311.96</v>
      </c>
      <c r="M401" s="2">
        <v>9166.15</v>
      </c>
      <c r="N401" s="6" t="s">
        <v>21</v>
      </c>
      <c r="O401" s="6" t="s">
        <v>59</v>
      </c>
    </row>
    <row r="402" spans="1:15" x14ac:dyDescent="0.3">
      <c r="A402" s="2" t="s">
        <v>726</v>
      </c>
      <c r="B402" s="5">
        <v>45791</v>
      </c>
      <c r="C402" s="6" t="s">
        <v>37</v>
      </c>
      <c r="D402" s="6" t="s">
        <v>25</v>
      </c>
      <c r="E402" s="6" t="s">
        <v>26</v>
      </c>
      <c r="F402" s="6" t="s">
        <v>19</v>
      </c>
      <c r="G402" s="6" t="s">
        <v>108</v>
      </c>
      <c r="H402" s="2">
        <v>2</v>
      </c>
      <c r="I402" s="2">
        <v>14859.61</v>
      </c>
      <c r="J402" s="2">
        <v>0</v>
      </c>
      <c r="K402" s="2">
        <v>29719.22</v>
      </c>
      <c r="L402" s="2">
        <v>20501.5</v>
      </c>
      <c r="M402" s="2">
        <v>9217.7199999999993</v>
      </c>
      <c r="N402" s="6" t="s">
        <v>58</v>
      </c>
      <c r="O402" s="6" t="s">
        <v>59</v>
      </c>
    </row>
    <row r="403" spans="1:15" x14ac:dyDescent="0.3">
      <c r="A403" s="2" t="s">
        <v>139</v>
      </c>
      <c r="B403" s="5">
        <v>46004</v>
      </c>
      <c r="C403" s="6" t="s">
        <v>63</v>
      </c>
      <c r="D403" s="6" t="s">
        <v>117</v>
      </c>
      <c r="E403" s="6" t="s">
        <v>69</v>
      </c>
      <c r="F403" s="6" t="s">
        <v>34</v>
      </c>
      <c r="G403" s="6" t="s">
        <v>35</v>
      </c>
      <c r="H403" s="2">
        <v>2</v>
      </c>
      <c r="I403" s="2">
        <v>17569.689999999999</v>
      </c>
      <c r="J403" s="2">
        <v>0.08</v>
      </c>
      <c r="K403" s="2">
        <v>32328.23</v>
      </c>
      <c r="L403" s="2">
        <v>23086.84</v>
      </c>
      <c r="M403" s="2">
        <v>9241.39</v>
      </c>
      <c r="N403" s="6" t="s">
        <v>21</v>
      </c>
      <c r="O403" s="6" t="s">
        <v>59</v>
      </c>
    </row>
    <row r="404" spans="1:15" x14ac:dyDescent="0.3">
      <c r="A404" s="2" t="s">
        <v>576</v>
      </c>
      <c r="B404" s="5">
        <v>45810</v>
      </c>
      <c r="C404" s="6" t="s">
        <v>16</v>
      </c>
      <c r="D404" s="6" t="s">
        <v>82</v>
      </c>
      <c r="E404" s="6" t="s">
        <v>69</v>
      </c>
      <c r="F404" s="6" t="s">
        <v>19</v>
      </c>
      <c r="G404" s="6" t="s">
        <v>108</v>
      </c>
      <c r="H404" s="2">
        <v>4</v>
      </c>
      <c r="I404" s="2">
        <v>14777.68</v>
      </c>
      <c r="J404" s="2">
        <v>0.05</v>
      </c>
      <c r="K404" s="2">
        <v>56155.17</v>
      </c>
      <c r="L404" s="2">
        <v>46899.56</v>
      </c>
      <c r="M404" s="2">
        <v>9255.61</v>
      </c>
      <c r="N404" s="6" t="s">
        <v>21</v>
      </c>
      <c r="O404" s="6" t="s">
        <v>40</v>
      </c>
    </row>
    <row r="405" spans="1:15" x14ac:dyDescent="0.3">
      <c r="A405" s="2" t="s">
        <v>194</v>
      </c>
      <c r="B405" s="5">
        <v>45716</v>
      </c>
      <c r="C405" s="6" t="s">
        <v>63</v>
      </c>
      <c r="D405" s="6" t="s">
        <v>64</v>
      </c>
      <c r="E405" s="6" t="s">
        <v>26</v>
      </c>
      <c r="F405" s="6" t="s">
        <v>27</v>
      </c>
      <c r="G405" s="6" t="s">
        <v>66</v>
      </c>
      <c r="H405" s="2">
        <v>6</v>
      </c>
      <c r="I405" s="2">
        <v>11199.6</v>
      </c>
      <c r="J405" s="2">
        <v>0.03</v>
      </c>
      <c r="K405" s="2">
        <v>65181.7</v>
      </c>
      <c r="L405" s="2">
        <v>55918.11</v>
      </c>
      <c r="M405" s="2">
        <v>9263.59</v>
      </c>
      <c r="N405" s="6" t="s">
        <v>21</v>
      </c>
      <c r="O405" s="6" t="s">
        <v>45</v>
      </c>
    </row>
    <row r="406" spans="1:15" x14ac:dyDescent="0.3">
      <c r="A406" s="2" t="s">
        <v>1141</v>
      </c>
      <c r="B406" s="5">
        <v>45797</v>
      </c>
      <c r="C406" s="6" t="s">
        <v>37</v>
      </c>
      <c r="D406" s="6" t="s">
        <v>42</v>
      </c>
      <c r="E406" s="6" t="s">
        <v>69</v>
      </c>
      <c r="F406" s="6" t="s">
        <v>34</v>
      </c>
      <c r="G406" s="6" t="s">
        <v>70</v>
      </c>
      <c r="H406" s="2">
        <v>1</v>
      </c>
      <c r="I406" s="2">
        <v>61853</v>
      </c>
      <c r="J406" s="2">
        <v>0.05</v>
      </c>
      <c r="K406" s="2">
        <v>58760.35</v>
      </c>
      <c r="L406" s="2">
        <v>49479.95</v>
      </c>
      <c r="M406" s="2">
        <v>9280.4</v>
      </c>
      <c r="N406" s="6" t="s">
        <v>29</v>
      </c>
      <c r="O406" s="6" t="s">
        <v>59</v>
      </c>
    </row>
    <row r="407" spans="1:15" x14ac:dyDescent="0.3">
      <c r="A407" s="2" t="s">
        <v>433</v>
      </c>
      <c r="B407" s="5">
        <v>45852</v>
      </c>
      <c r="C407" s="6" t="s">
        <v>16</v>
      </c>
      <c r="D407" s="6" t="s">
        <v>52</v>
      </c>
      <c r="E407" s="6" t="s">
        <v>49</v>
      </c>
      <c r="F407" s="6" t="s">
        <v>43</v>
      </c>
      <c r="G407" s="6" t="s">
        <v>44</v>
      </c>
      <c r="H407" s="2">
        <v>5</v>
      </c>
      <c r="I407" s="2">
        <v>11836.29</v>
      </c>
      <c r="J407" s="2">
        <v>0.08</v>
      </c>
      <c r="K407" s="2">
        <v>54446.95</v>
      </c>
      <c r="L407" s="2">
        <v>45144.82</v>
      </c>
      <c r="M407" s="2">
        <v>9302.1299999999992</v>
      </c>
      <c r="N407" s="6" t="s">
        <v>29</v>
      </c>
      <c r="O407" s="6" t="s">
        <v>59</v>
      </c>
    </row>
    <row r="408" spans="1:15" x14ac:dyDescent="0.3">
      <c r="A408" s="2" t="s">
        <v>566</v>
      </c>
      <c r="B408" s="5">
        <v>45995</v>
      </c>
      <c r="C408" s="6" t="s">
        <v>54</v>
      </c>
      <c r="D408" s="6" t="s">
        <v>48</v>
      </c>
      <c r="E408" s="6" t="s">
        <v>26</v>
      </c>
      <c r="F408" s="6" t="s">
        <v>27</v>
      </c>
      <c r="G408" s="6" t="s">
        <v>125</v>
      </c>
      <c r="H408" s="2">
        <v>5</v>
      </c>
      <c r="I408" s="2">
        <v>8050.53</v>
      </c>
      <c r="J408" s="2">
        <v>0</v>
      </c>
      <c r="K408" s="2">
        <v>40252.629999999997</v>
      </c>
      <c r="L408" s="2">
        <v>30922.35</v>
      </c>
      <c r="M408" s="2">
        <v>9330.2800000000007</v>
      </c>
      <c r="N408" s="6" t="s">
        <v>29</v>
      </c>
      <c r="O408" s="6" t="s">
        <v>45</v>
      </c>
    </row>
    <row r="409" spans="1:15" x14ac:dyDescent="0.3">
      <c r="A409" s="2" t="s">
        <v>677</v>
      </c>
      <c r="B409" s="5">
        <v>45660</v>
      </c>
      <c r="C409" s="6" t="s">
        <v>37</v>
      </c>
      <c r="D409" s="6" t="s">
        <v>25</v>
      </c>
      <c r="E409" s="6" t="s">
        <v>65</v>
      </c>
      <c r="F409" s="6" t="s">
        <v>19</v>
      </c>
      <c r="G409" s="6" t="s">
        <v>61</v>
      </c>
      <c r="H409" s="2">
        <v>4</v>
      </c>
      <c r="I409" s="2">
        <v>9269.5499999999993</v>
      </c>
      <c r="J409" s="2">
        <v>0.1</v>
      </c>
      <c r="K409" s="2">
        <v>33370.39</v>
      </c>
      <c r="L409" s="2">
        <v>24032.49</v>
      </c>
      <c r="M409" s="2">
        <v>9337.9</v>
      </c>
      <c r="N409" s="6" t="s">
        <v>21</v>
      </c>
      <c r="O409" s="6" t="s">
        <v>59</v>
      </c>
    </row>
    <row r="410" spans="1:15" x14ac:dyDescent="0.3">
      <c r="A410" s="2" t="s">
        <v>1230</v>
      </c>
      <c r="B410" s="5">
        <v>45695</v>
      </c>
      <c r="C410" s="6" t="s">
        <v>37</v>
      </c>
      <c r="D410" s="6" t="s">
        <v>42</v>
      </c>
      <c r="E410" s="6" t="s">
        <v>18</v>
      </c>
      <c r="F410" s="6" t="s">
        <v>27</v>
      </c>
      <c r="G410" s="6" t="s">
        <v>28</v>
      </c>
      <c r="H410" s="2">
        <v>1</v>
      </c>
      <c r="I410" s="2">
        <v>28796.85</v>
      </c>
      <c r="J410" s="2">
        <v>0.05</v>
      </c>
      <c r="K410" s="2">
        <v>27357.01</v>
      </c>
      <c r="L410" s="2">
        <v>18018.72</v>
      </c>
      <c r="M410" s="2">
        <v>9338.2900000000009</v>
      </c>
      <c r="N410" s="6" t="s">
        <v>21</v>
      </c>
      <c r="O410" s="6" t="s">
        <v>40</v>
      </c>
    </row>
    <row r="411" spans="1:15" x14ac:dyDescent="0.3">
      <c r="A411" s="2" t="s">
        <v>880</v>
      </c>
      <c r="B411" s="5">
        <v>45993</v>
      </c>
      <c r="C411" s="6" t="s">
        <v>37</v>
      </c>
      <c r="D411" s="6" t="s">
        <v>25</v>
      </c>
      <c r="E411" s="6" t="s">
        <v>69</v>
      </c>
      <c r="F411" s="6" t="s">
        <v>19</v>
      </c>
      <c r="G411" s="6" t="s">
        <v>61</v>
      </c>
      <c r="H411" s="2">
        <v>4</v>
      </c>
      <c r="I411" s="2">
        <v>8859.4500000000007</v>
      </c>
      <c r="J411" s="2">
        <v>0.03</v>
      </c>
      <c r="K411" s="2">
        <v>34374.65</v>
      </c>
      <c r="L411" s="2">
        <v>24957.5</v>
      </c>
      <c r="M411" s="2">
        <v>9417.15</v>
      </c>
      <c r="N411" s="6" t="s">
        <v>21</v>
      </c>
      <c r="O411" s="6" t="s">
        <v>40</v>
      </c>
    </row>
    <row r="412" spans="1:15" x14ac:dyDescent="0.3">
      <c r="A412" s="2" t="s">
        <v>94</v>
      </c>
      <c r="B412" s="5">
        <v>45818</v>
      </c>
      <c r="C412" s="6" t="s">
        <v>63</v>
      </c>
      <c r="D412" s="6" t="s">
        <v>95</v>
      </c>
      <c r="E412" s="6" t="s">
        <v>26</v>
      </c>
      <c r="F412" s="6" t="s">
        <v>34</v>
      </c>
      <c r="G412" s="6" t="s">
        <v>80</v>
      </c>
      <c r="H412" s="2">
        <v>7</v>
      </c>
      <c r="I412" s="2">
        <v>4833.8100000000004</v>
      </c>
      <c r="J412" s="2">
        <v>0.1</v>
      </c>
      <c r="K412" s="2">
        <v>30452.98</v>
      </c>
      <c r="L412" s="2">
        <v>21032.89</v>
      </c>
      <c r="M412" s="2">
        <v>9420.09</v>
      </c>
      <c r="N412" s="6" t="s">
        <v>21</v>
      </c>
      <c r="O412" s="6" t="s">
        <v>59</v>
      </c>
    </row>
    <row r="413" spans="1:15" x14ac:dyDescent="0.3">
      <c r="A413" s="2" t="s">
        <v>94</v>
      </c>
      <c r="B413" s="5">
        <v>45818</v>
      </c>
      <c r="C413" s="6" t="s">
        <v>63</v>
      </c>
      <c r="D413" s="6" t="s">
        <v>95</v>
      </c>
      <c r="E413" s="6" t="s">
        <v>26</v>
      </c>
      <c r="F413" s="6" t="s">
        <v>34</v>
      </c>
      <c r="G413" s="6" t="s">
        <v>80</v>
      </c>
      <c r="H413" s="2">
        <v>7</v>
      </c>
      <c r="I413" s="2">
        <v>4833.8100000000004</v>
      </c>
      <c r="J413" s="2">
        <v>0.1</v>
      </c>
      <c r="K413" s="2">
        <v>30452.98</v>
      </c>
      <c r="L413" s="2">
        <v>21032.89</v>
      </c>
      <c r="M413" s="2">
        <v>9420.09</v>
      </c>
      <c r="N413" s="6" t="s">
        <v>21</v>
      </c>
      <c r="O413" s="6" t="s">
        <v>59</v>
      </c>
    </row>
    <row r="414" spans="1:15" x14ac:dyDescent="0.3">
      <c r="A414" s="2" t="s">
        <v>1145</v>
      </c>
      <c r="B414" s="5">
        <v>45858</v>
      </c>
      <c r="C414" s="6" t="s">
        <v>16</v>
      </c>
      <c r="D414" s="6" t="s">
        <v>82</v>
      </c>
      <c r="E414" s="6" t="s">
        <v>74</v>
      </c>
      <c r="F414" s="6" t="s">
        <v>27</v>
      </c>
      <c r="G414" s="6" t="s">
        <v>50</v>
      </c>
      <c r="H414" s="2">
        <v>1</v>
      </c>
      <c r="I414" s="2">
        <v>29171.71</v>
      </c>
      <c r="J414" s="2">
        <v>0</v>
      </c>
      <c r="K414" s="2">
        <v>29171.71</v>
      </c>
      <c r="L414" s="2">
        <v>19745.23</v>
      </c>
      <c r="M414" s="2">
        <v>9426.48</v>
      </c>
      <c r="N414" s="6" t="s">
        <v>21</v>
      </c>
      <c r="O414" s="6" t="s">
        <v>40</v>
      </c>
    </row>
    <row r="415" spans="1:15" x14ac:dyDescent="0.3">
      <c r="A415" s="2" t="s">
        <v>625</v>
      </c>
      <c r="B415" s="5">
        <v>45706</v>
      </c>
      <c r="C415" s="6" t="s">
        <v>37</v>
      </c>
      <c r="D415" s="6" t="s">
        <v>68</v>
      </c>
      <c r="E415" s="6" t="s">
        <v>33</v>
      </c>
      <c r="F415" s="6" t="s">
        <v>43</v>
      </c>
      <c r="G415" s="6" t="s">
        <v>91</v>
      </c>
      <c r="H415" s="2">
        <v>1</v>
      </c>
      <c r="I415" s="2">
        <v>47468.99</v>
      </c>
      <c r="J415" s="2">
        <v>0.03</v>
      </c>
      <c r="K415" s="2">
        <v>46044.92</v>
      </c>
      <c r="L415" s="2">
        <v>36560.89</v>
      </c>
      <c r="M415" s="2">
        <v>9484.0300000000007</v>
      </c>
      <c r="N415" s="6" t="s">
        <v>58</v>
      </c>
      <c r="O415" s="6" t="s">
        <v>22</v>
      </c>
    </row>
    <row r="416" spans="1:15" x14ac:dyDescent="0.3">
      <c r="A416" s="2" t="s">
        <v>589</v>
      </c>
      <c r="B416" s="5">
        <v>45732</v>
      </c>
      <c r="C416" s="6" t="s">
        <v>16</v>
      </c>
      <c r="D416" s="6" t="s">
        <v>32</v>
      </c>
      <c r="E416" s="6" t="s">
        <v>56</v>
      </c>
      <c r="F416" s="6" t="s">
        <v>19</v>
      </c>
      <c r="G416" s="6" t="s">
        <v>106</v>
      </c>
      <c r="H416" s="2">
        <v>2</v>
      </c>
      <c r="I416" s="2">
        <v>13425.6</v>
      </c>
      <c r="J416" s="2">
        <v>0.03</v>
      </c>
      <c r="K416" s="2">
        <v>26045.66</v>
      </c>
      <c r="L416" s="2">
        <v>16546.400000000001</v>
      </c>
      <c r="M416" s="2">
        <v>9499.26</v>
      </c>
      <c r="N416" s="6" t="s">
        <v>58</v>
      </c>
      <c r="O416" s="6" t="s">
        <v>22</v>
      </c>
    </row>
    <row r="417" spans="1:15" x14ac:dyDescent="0.3">
      <c r="A417" s="2" t="s">
        <v>882</v>
      </c>
      <c r="B417" s="5">
        <v>45894</v>
      </c>
      <c r="C417" s="6" t="s">
        <v>37</v>
      </c>
      <c r="D417" s="6" t="s">
        <v>25</v>
      </c>
      <c r="E417" s="6" t="s">
        <v>65</v>
      </c>
      <c r="F417" s="6" t="s">
        <v>19</v>
      </c>
      <c r="G417" s="6" t="s">
        <v>106</v>
      </c>
      <c r="H417" s="2">
        <v>4</v>
      </c>
      <c r="I417" s="2">
        <v>14164.62</v>
      </c>
      <c r="J417" s="2">
        <v>0.03</v>
      </c>
      <c r="K417" s="2">
        <v>54958.73</v>
      </c>
      <c r="L417" s="2">
        <v>45439.33</v>
      </c>
      <c r="M417" s="2">
        <v>9519.4</v>
      </c>
      <c r="N417" s="6" t="s">
        <v>21</v>
      </c>
      <c r="O417" s="6" t="s">
        <v>45</v>
      </c>
    </row>
    <row r="418" spans="1:15" x14ac:dyDescent="0.3">
      <c r="A418" s="2" t="s">
        <v>334</v>
      </c>
      <c r="B418" s="5">
        <v>45968</v>
      </c>
      <c r="C418" s="6" t="s">
        <v>54</v>
      </c>
      <c r="D418" s="6" t="s">
        <v>48</v>
      </c>
      <c r="E418" s="6" t="s">
        <v>69</v>
      </c>
      <c r="F418" s="6" t="s">
        <v>43</v>
      </c>
      <c r="G418" s="6" t="s">
        <v>75</v>
      </c>
      <c r="H418" s="2">
        <v>1</v>
      </c>
      <c r="I418" s="2">
        <v>37122.519999999997</v>
      </c>
      <c r="J418" s="2">
        <v>0.05</v>
      </c>
      <c r="K418" s="2">
        <v>35266.400000000001</v>
      </c>
      <c r="L418" s="2">
        <v>25664.23</v>
      </c>
      <c r="M418" s="2">
        <v>9602.17</v>
      </c>
      <c r="N418" s="6" t="s">
        <v>29</v>
      </c>
      <c r="O418" s="6" t="s">
        <v>59</v>
      </c>
    </row>
    <row r="419" spans="1:15" x14ac:dyDescent="0.3">
      <c r="A419" s="2" t="s">
        <v>241</v>
      </c>
      <c r="B419" s="5">
        <v>45981</v>
      </c>
      <c r="C419" s="6" t="s">
        <v>54</v>
      </c>
      <c r="D419" s="6" t="s">
        <v>174</v>
      </c>
      <c r="E419" s="6" t="s">
        <v>18</v>
      </c>
      <c r="F419" s="6" t="s">
        <v>27</v>
      </c>
      <c r="G419" s="6" t="s">
        <v>125</v>
      </c>
      <c r="H419" s="2">
        <v>4</v>
      </c>
      <c r="I419" s="2">
        <v>9118.34</v>
      </c>
      <c r="J419" s="2">
        <v>0.08</v>
      </c>
      <c r="K419" s="2">
        <v>33555.480000000003</v>
      </c>
      <c r="L419" s="2">
        <v>23865.26</v>
      </c>
      <c r="M419" s="2">
        <v>9690.2199999999993</v>
      </c>
      <c r="N419" s="6" t="s">
        <v>58</v>
      </c>
      <c r="O419" s="6" t="s">
        <v>22</v>
      </c>
    </row>
    <row r="420" spans="1:15" x14ac:dyDescent="0.3">
      <c r="A420" s="2" t="s">
        <v>269</v>
      </c>
      <c r="B420" s="5">
        <v>45699</v>
      </c>
      <c r="C420" s="6" t="s">
        <v>16</v>
      </c>
      <c r="D420" s="6" t="s">
        <v>82</v>
      </c>
      <c r="E420" s="6" t="s">
        <v>33</v>
      </c>
      <c r="F420" s="6" t="s">
        <v>34</v>
      </c>
      <c r="G420" s="6" t="s">
        <v>35</v>
      </c>
      <c r="H420" s="2">
        <v>2</v>
      </c>
      <c r="I420" s="2">
        <v>17930.93</v>
      </c>
      <c r="J420" s="2">
        <v>0.05</v>
      </c>
      <c r="K420" s="2">
        <v>34068.769999999997</v>
      </c>
      <c r="L420" s="2">
        <v>24348.07</v>
      </c>
      <c r="M420" s="2">
        <v>9720.7000000000007</v>
      </c>
      <c r="N420" s="6" t="s">
        <v>58</v>
      </c>
      <c r="O420" s="6" t="s">
        <v>45</v>
      </c>
    </row>
    <row r="421" spans="1:15" x14ac:dyDescent="0.3">
      <c r="A421" s="2" t="s">
        <v>815</v>
      </c>
      <c r="B421" s="5">
        <v>45702</v>
      </c>
      <c r="C421" s="6" t="s">
        <v>37</v>
      </c>
      <c r="D421" s="6" t="s">
        <v>25</v>
      </c>
      <c r="E421" s="6" t="s">
        <v>33</v>
      </c>
      <c r="F421" s="6" t="s">
        <v>27</v>
      </c>
      <c r="G421" s="6" t="s">
        <v>89</v>
      </c>
      <c r="H421" s="2">
        <v>1</v>
      </c>
      <c r="I421" s="2">
        <v>30807.89</v>
      </c>
      <c r="J421" s="2">
        <v>0.03</v>
      </c>
      <c r="K421" s="2">
        <v>29883.65</v>
      </c>
      <c r="L421" s="2">
        <v>20158.23</v>
      </c>
      <c r="M421" s="2">
        <v>9725.42</v>
      </c>
      <c r="N421" s="6" t="s">
        <v>21</v>
      </c>
      <c r="O421" s="6" t="s">
        <v>30</v>
      </c>
    </row>
    <row r="422" spans="1:15" x14ac:dyDescent="0.3">
      <c r="A422" s="2" t="s">
        <v>1150</v>
      </c>
      <c r="B422" s="5">
        <v>46014</v>
      </c>
      <c r="C422" s="6" t="s">
        <v>54</v>
      </c>
      <c r="D422" s="6" t="s">
        <v>124</v>
      </c>
      <c r="E422" s="6" t="s">
        <v>49</v>
      </c>
      <c r="F422" s="6" t="s">
        <v>43</v>
      </c>
      <c r="G422" s="6" t="s">
        <v>121</v>
      </c>
      <c r="H422" s="2">
        <v>6</v>
      </c>
      <c r="I422" s="2">
        <v>4986.6499999999996</v>
      </c>
      <c r="J422" s="2">
        <v>0.05</v>
      </c>
      <c r="K422" s="2">
        <v>28423.9</v>
      </c>
      <c r="L422" s="2">
        <v>18676.73</v>
      </c>
      <c r="M422" s="2">
        <v>9747.17</v>
      </c>
      <c r="N422" s="6" t="s">
        <v>21</v>
      </c>
      <c r="O422" s="6" t="s">
        <v>30</v>
      </c>
    </row>
    <row r="423" spans="1:15" x14ac:dyDescent="0.3">
      <c r="A423" s="2" t="s">
        <v>927</v>
      </c>
      <c r="B423" s="5">
        <v>45960</v>
      </c>
      <c r="C423" s="6" t="s">
        <v>16</v>
      </c>
      <c r="D423" s="6" t="s">
        <v>82</v>
      </c>
      <c r="E423" s="6" t="s">
        <v>65</v>
      </c>
      <c r="F423" s="6" t="s">
        <v>19</v>
      </c>
      <c r="G423" s="6" t="s">
        <v>108</v>
      </c>
      <c r="H423" s="2">
        <v>2</v>
      </c>
      <c r="I423" s="2">
        <v>14478.1</v>
      </c>
      <c r="J423" s="2">
        <v>0.05</v>
      </c>
      <c r="K423" s="2">
        <v>27508.39</v>
      </c>
      <c r="L423" s="2">
        <v>17734.849999999999</v>
      </c>
      <c r="M423" s="2">
        <v>9773.5400000000009</v>
      </c>
      <c r="N423" s="6" t="s">
        <v>21</v>
      </c>
      <c r="O423" s="6" t="s">
        <v>45</v>
      </c>
    </row>
    <row r="424" spans="1:15" x14ac:dyDescent="0.3">
      <c r="A424" s="2" t="s">
        <v>107</v>
      </c>
      <c r="B424" s="5">
        <v>45775</v>
      </c>
      <c r="C424" s="6" t="s">
        <v>37</v>
      </c>
      <c r="D424" s="6" t="s">
        <v>38</v>
      </c>
      <c r="E424" s="6" t="s">
        <v>56</v>
      </c>
      <c r="F424" s="6" t="s">
        <v>19</v>
      </c>
      <c r="G424" s="6" t="s">
        <v>108</v>
      </c>
      <c r="H424" s="2">
        <v>2</v>
      </c>
      <c r="I424" s="2">
        <v>15996.51</v>
      </c>
      <c r="J424" s="2">
        <v>0.05</v>
      </c>
      <c r="K424" s="2">
        <v>30393.37</v>
      </c>
      <c r="L424" s="2">
        <v>20593</v>
      </c>
      <c r="M424" s="2">
        <v>9800.3700000000008</v>
      </c>
      <c r="N424" s="6" t="s">
        <v>58</v>
      </c>
      <c r="O424" s="6" t="s">
        <v>45</v>
      </c>
    </row>
    <row r="425" spans="1:15" x14ac:dyDescent="0.3">
      <c r="A425" s="2" t="s">
        <v>541</v>
      </c>
      <c r="B425" s="5">
        <v>45974</v>
      </c>
      <c r="C425" s="6" t="s">
        <v>16</v>
      </c>
      <c r="D425" s="6" t="s">
        <v>52</v>
      </c>
      <c r="E425" s="6" t="s">
        <v>49</v>
      </c>
      <c r="F425" s="6" t="s">
        <v>27</v>
      </c>
      <c r="G425" s="6" t="s">
        <v>66</v>
      </c>
      <c r="H425" s="2">
        <v>4</v>
      </c>
      <c r="I425" s="2">
        <v>11405.19</v>
      </c>
      <c r="J425" s="2">
        <v>0.05</v>
      </c>
      <c r="K425" s="2">
        <v>43339.72</v>
      </c>
      <c r="L425" s="2">
        <v>33537.65</v>
      </c>
      <c r="M425" s="2">
        <v>9802.07</v>
      </c>
      <c r="N425" s="6" t="s">
        <v>58</v>
      </c>
      <c r="O425" s="6" t="s">
        <v>40</v>
      </c>
    </row>
    <row r="426" spans="1:15" x14ac:dyDescent="0.3">
      <c r="A426" s="2" t="s">
        <v>1254</v>
      </c>
      <c r="B426" s="5">
        <v>45880</v>
      </c>
      <c r="C426" s="6" t="s">
        <v>63</v>
      </c>
      <c r="D426" s="6" t="s">
        <v>95</v>
      </c>
      <c r="E426" s="6" t="s">
        <v>69</v>
      </c>
      <c r="F426" s="6" t="s">
        <v>19</v>
      </c>
      <c r="G426" s="6" t="s">
        <v>106</v>
      </c>
      <c r="H426" s="2">
        <v>3</v>
      </c>
      <c r="I426" s="2">
        <v>14746.39</v>
      </c>
      <c r="J426" s="2">
        <v>0.08</v>
      </c>
      <c r="K426" s="2">
        <v>40700.03</v>
      </c>
      <c r="L426" s="2">
        <v>30873.5</v>
      </c>
      <c r="M426" s="2">
        <v>9826.5300000000007</v>
      </c>
      <c r="N426" s="6" t="s">
        <v>58</v>
      </c>
      <c r="O426" s="6" t="s">
        <v>40</v>
      </c>
    </row>
    <row r="427" spans="1:15" x14ac:dyDescent="0.3">
      <c r="A427" s="2" t="s">
        <v>1008</v>
      </c>
      <c r="B427" s="5">
        <v>45708</v>
      </c>
      <c r="C427" s="6" t="s">
        <v>63</v>
      </c>
      <c r="D427" s="6" t="s">
        <v>64</v>
      </c>
      <c r="E427" s="6" t="s">
        <v>69</v>
      </c>
      <c r="F427" s="6" t="s">
        <v>19</v>
      </c>
      <c r="G427" s="6" t="s">
        <v>108</v>
      </c>
      <c r="H427" s="2">
        <v>5</v>
      </c>
      <c r="I427" s="2">
        <v>14664.39</v>
      </c>
      <c r="J427" s="2">
        <v>0.15</v>
      </c>
      <c r="K427" s="2">
        <v>62323.65</v>
      </c>
      <c r="L427" s="2">
        <v>52445.55</v>
      </c>
      <c r="M427" s="2">
        <v>9878.1</v>
      </c>
      <c r="N427" s="6" t="s">
        <v>29</v>
      </c>
      <c r="O427" s="6" t="s">
        <v>59</v>
      </c>
    </row>
    <row r="428" spans="1:15" x14ac:dyDescent="0.3">
      <c r="A428" s="2" t="s">
        <v>492</v>
      </c>
      <c r="B428" s="5">
        <v>45718</v>
      </c>
      <c r="C428" s="6" t="s">
        <v>63</v>
      </c>
      <c r="D428" s="6" t="s">
        <v>64</v>
      </c>
      <c r="E428" s="6" t="s">
        <v>26</v>
      </c>
      <c r="F428" s="6" t="s">
        <v>27</v>
      </c>
      <c r="G428" s="6" t="s">
        <v>28</v>
      </c>
      <c r="H428" s="2">
        <v>2</v>
      </c>
      <c r="I428" s="2">
        <v>27224.04</v>
      </c>
      <c r="J428" s="2">
        <v>0</v>
      </c>
      <c r="K428" s="2">
        <v>54448.08</v>
      </c>
      <c r="L428" s="2">
        <v>44558.8</v>
      </c>
      <c r="M428" s="2">
        <v>9889.2800000000007</v>
      </c>
      <c r="N428" s="6" t="s">
        <v>58</v>
      </c>
      <c r="O428" s="6" t="s">
        <v>59</v>
      </c>
    </row>
    <row r="429" spans="1:15" x14ac:dyDescent="0.3">
      <c r="A429" s="2" t="s">
        <v>216</v>
      </c>
      <c r="B429" s="5">
        <v>46010</v>
      </c>
      <c r="C429" s="6" t="s">
        <v>37</v>
      </c>
      <c r="D429" s="6" t="s">
        <v>68</v>
      </c>
      <c r="E429" s="6" t="s">
        <v>74</v>
      </c>
      <c r="F429" s="6" t="s">
        <v>34</v>
      </c>
      <c r="G429" s="6" t="s">
        <v>35</v>
      </c>
      <c r="H429" s="2">
        <v>4</v>
      </c>
      <c r="I429" s="2">
        <v>17556.53</v>
      </c>
      <c r="J429" s="2">
        <v>0.08</v>
      </c>
      <c r="K429" s="2">
        <v>64608.02</v>
      </c>
      <c r="L429" s="2">
        <v>54651.73</v>
      </c>
      <c r="M429" s="2">
        <v>9956.2900000000009</v>
      </c>
      <c r="N429" s="6" t="s">
        <v>29</v>
      </c>
      <c r="O429" s="6" t="s">
        <v>30</v>
      </c>
    </row>
    <row r="430" spans="1:15" x14ac:dyDescent="0.3">
      <c r="A430" s="2" t="s">
        <v>585</v>
      </c>
      <c r="B430" s="5">
        <v>45981</v>
      </c>
      <c r="C430" s="6" t="s">
        <v>63</v>
      </c>
      <c r="D430" s="6" t="s">
        <v>64</v>
      </c>
      <c r="E430" s="6" t="s">
        <v>74</v>
      </c>
      <c r="F430" s="6" t="s">
        <v>43</v>
      </c>
      <c r="G430" s="6" t="s">
        <v>44</v>
      </c>
      <c r="H430" s="2">
        <v>6</v>
      </c>
      <c r="I430" s="2">
        <v>11421.37</v>
      </c>
      <c r="J430" s="2">
        <v>0.1</v>
      </c>
      <c r="K430" s="2">
        <v>61675.41</v>
      </c>
      <c r="L430" s="2">
        <v>51697.599999999999</v>
      </c>
      <c r="M430" s="2">
        <v>9977.81</v>
      </c>
      <c r="N430" s="6" t="s">
        <v>58</v>
      </c>
      <c r="O430" s="6" t="s">
        <v>40</v>
      </c>
    </row>
    <row r="431" spans="1:15" x14ac:dyDescent="0.3">
      <c r="A431" s="2" t="s">
        <v>564</v>
      </c>
      <c r="B431" s="5">
        <v>45972</v>
      </c>
      <c r="C431" s="6" t="s">
        <v>37</v>
      </c>
      <c r="D431" s="6" t="s">
        <v>25</v>
      </c>
      <c r="E431" s="6" t="s">
        <v>18</v>
      </c>
      <c r="F431" s="6" t="s">
        <v>19</v>
      </c>
      <c r="G431" s="6" t="s">
        <v>108</v>
      </c>
      <c r="H431" s="2">
        <v>2</v>
      </c>
      <c r="I431" s="2">
        <v>16027.32</v>
      </c>
      <c r="J431" s="2">
        <v>0</v>
      </c>
      <c r="K431" s="2">
        <v>32054.65</v>
      </c>
      <c r="L431" s="2">
        <v>22073.35</v>
      </c>
      <c r="M431" s="2">
        <v>9981.2999999999993</v>
      </c>
      <c r="N431" s="6" t="s">
        <v>21</v>
      </c>
      <c r="O431" s="6" t="s">
        <v>30</v>
      </c>
    </row>
    <row r="432" spans="1:15" x14ac:dyDescent="0.3">
      <c r="A432" s="2" t="s">
        <v>688</v>
      </c>
      <c r="B432" s="5">
        <v>45937</v>
      </c>
      <c r="C432" s="6" t="s">
        <v>54</v>
      </c>
      <c r="D432" s="6" t="s">
        <v>48</v>
      </c>
      <c r="E432" s="6" t="s">
        <v>65</v>
      </c>
      <c r="F432" s="6" t="s">
        <v>43</v>
      </c>
      <c r="G432" s="6" t="s">
        <v>44</v>
      </c>
      <c r="H432" s="2">
        <v>5</v>
      </c>
      <c r="I432" s="2">
        <v>12287.15</v>
      </c>
      <c r="J432" s="2">
        <v>0.1</v>
      </c>
      <c r="K432" s="2">
        <v>55292.160000000003</v>
      </c>
      <c r="L432" s="2">
        <v>45271.26</v>
      </c>
      <c r="M432" s="2">
        <v>10020.9</v>
      </c>
      <c r="N432" s="6" t="s">
        <v>29</v>
      </c>
      <c r="O432" s="6" t="s">
        <v>59</v>
      </c>
    </row>
    <row r="433" spans="1:15" x14ac:dyDescent="0.3">
      <c r="A433" s="2" t="s">
        <v>283</v>
      </c>
      <c r="B433" s="5">
        <v>45667</v>
      </c>
      <c r="C433" s="6" t="s">
        <v>37</v>
      </c>
      <c r="D433" s="6" t="s">
        <v>68</v>
      </c>
      <c r="E433" s="6" t="s">
        <v>49</v>
      </c>
      <c r="F433" s="6" t="s">
        <v>19</v>
      </c>
      <c r="G433" s="6" t="s">
        <v>108</v>
      </c>
      <c r="H433" s="2">
        <v>4</v>
      </c>
      <c r="I433" s="2">
        <v>14038.03</v>
      </c>
      <c r="J433" s="2">
        <v>0.05</v>
      </c>
      <c r="K433" s="2">
        <v>53344.5</v>
      </c>
      <c r="L433" s="2">
        <v>43316.639999999999</v>
      </c>
      <c r="M433" s="2">
        <v>10027.86</v>
      </c>
      <c r="N433" s="6" t="s">
        <v>58</v>
      </c>
      <c r="O433" s="6" t="s">
        <v>22</v>
      </c>
    </row>
    <row r="434" spans="1:15" x14ac:dyDescent="0.3">
      <c r="A434" s="2" t="s">
        <v>347</v>
      </c>
      <c r="B434" s="5">
        <v>45677</v>
      </c>
      <c r="C434" s="6" t="s">
        <v>63</v>
      </c>
      <c r="D434" s="6" t="s">
        <v>95</v>
      </c>
      <c r="E434" s="6" t="s">
        <v>18</v>
      </c>
      <c r="F434" s="6" t="s">
        <v>27</v>
      </c>
      <c r="G434" s="6" t="s">
        <v>125</v>
      </c>
      <c r="H434" s="2">
        <v>6</v>
      </c>
      <c r="I434" s="2">
        <v>8895.09</v>
      </c>
      <c r="J434" s="2">
        <v>0</v>
      </c>
      <c r="K434" s="2">
        <v>53370.559999999998</v>
      </c>
      <c r="L434" s="2">
        <v>43262.74</v>
      </c>
      <c r="M434" s="2">
        <v>10107.82</v>
      </c>
      <c r="N434" s="6" t="s">
        <v>29</v>
      </c>
      <c r="O434" s="6" t="s">
        <v>59</v>
      </c>
    </row>
    <row r="435" spans="1:15" x14ac:dyDescent="0.3">
      <c r="A435" s="2" t="s">
        <v>103</v>
      </c>
      <c r="B435" s="5">
        <v>45711</v>
      </c>
      <c r="C435" s="6" t="s">
        <v>16</v>
      </c>
      <c r="D435" s="6" t="s">
        <v>32</v>
      </c>
      <c r="E435" s="6" t="s">
        <v>74</v>
      </c>
      <c r="F435" s="6" t="s">
        <v>34</v>
      </c>
      <c r="G435" s="6" t="s">
        <v>39</v>
      </c>
      <c r="H435" s="2">
        <v>2</v>
      </c>
      <c r="I435" s="2">
        <v>27746.400000000001</v>
      </c>
      <c r="J435" s="2">
        <v>0</v>
      </c>
      <c r="K435" s="2">
        <v>55492.800000000003</v>
      </c>
      <c r="L435" s="2">
        <v>45361.15</v>
      </c>
      <c r="M435" s="2">
        <v>10131.65</v>
      </c>
      <c r="N435" s="6" t="s">
        <v>29</v>
      </c>
      <c r="O435" s="6" t="s">
        <v>45</v>
      </c>
    </row>
    <row r="436" spans="1:15" x14ac:dyDescent="0.3">
      <c r="A436" s="2" t="s">
        <v>795</v>
      </c>
      <c r="B436" s="5">
        <v>46010</v>
      </c>
      <c r="C436" s="6" t="s">
        <v>63</v>
      </c>
      <c r="D436" s="6" t="s">
        <v>88</v>
      </c>
      <c r="E436" s="6" t="s">
        <v>49</v>
      </c>
      <c r="F436" s="6" t="s">
        <v>43</v>
      </c>
      <c r="G436" s="6" t="s">
        <v>121</v>
      </c>
      <c r="H436" s="2">
        <v>7</v>
      </c>
      <c r="I436" s="2">
        <v>4879.1000000000004</v>
      </c>
      <c r="J436" s="2">
        <v>0.1</v>
      </c>
      <c r="K436" s="2">
        <v>30738.31</v>
      </c>
      <c r="L436" s="2">
        <v>20582.2</v>
      </c>
      <c r="M436" s="2">
        <v>10156.11</v>
      </c>
      <c r="N436" s="6" t="s">
        <v>58</v>
      </c>
      <c r="O436" s="6" t="s">
        <v>22</v>
      </c>
    </row>
    <row r="437" spans="1:15" x14ac:dyDescent="0.3">
      <c r="A437" s="2" t="s">
        <v>383</v>
      </c>
      <c r="B437" s="5">
        <v>45782</v>
      </c>
      <c r="C437" s="6" t="s">
        <v>54</v>
      </c>
      <c r="D437" s="6" t="s">
        <v>174</v>
      </c>
      <c r="E437" s="6" t="s">
        <v>18</v>
      </c>
      <c r="F437" s="6" t="s">
        <v>34</v>
      </c>
      <c r="G437" s="6" t="s">
        <v>39</v>
      </c>
      <c r="H437" s="2">
        <v>2</v>
      </c>
      <c r="I437" s="2">
        <v>27668.11</v>
      </c>
      <c r="J437" s="2">
        <v>0.1</v>
      </c>
      <c r="K437" s="2">
        <v>49802.6</v>
      </c>
      <c r="L437" s="2">
        <v>39628.400000000001</v>
      </c>
      <c r="M437" s="2">
        <v>10174.200000000001</v>
      </c>
      <c r="N437" s="6" t="s">
        <v>58</v>
      </c>
      <c r="O437" s="6" t="s">
        <v>22</v>
      </c>
    </row>
    <row r="438" spans="1:15" x14ac:dyDescent="0.3">
      <c r="A438" s="2" t="s">
        <v>497</v>
      </c>
      <c r="B438" s="5">
        <v>45800</v>
      </c>
      <c r="C438" s="6" t="s">
        <v>37</v>
      </c>
      <c r="D438" s="6" t="s">
        <v>25</v>
      </c>
      <c r="E438" s="6" t="s">
        <v>56</v>
      </c>
      <c r="F438" s="6" t="s">
        <v>43</v>
      </c>
      <c r="G438" s="6" t="s">
        <v>121</v>
      </c>
      <c r="H438" s="2">
        <v>6</v>
      </c>
      <c r="I438" s="2">
        <v>5052.55</v>
      </c>
      <c r="J438" s="2">
        <v>0.03</v>
      </c>
      <c r="K438" s="2">
        <v>29405.84</v>
      </c>
      <c r="L438" s="2">
        <v>19216.830000000002</v>
      </c>
      <c r="M438" s="2">
        <v>10189.01</v>
      </c>
      <c r="N438" s="6" t="s">
        <v>58</v>
      </c>
      <c r="O438" s="6" t="s">
        <v>22</v>
      </c>
    </row>
    <row r="439" spans="1:15" x14ac:dyDescent="0.3">
      <c r="A439" s="2" t="s">
        <v>532</v>
      </c>
      <c r="B439" s="5">
        <v>45766</v>
      </c>
      <c r="C439" s="6" t="s">
        <v>16</v>
      </c>
      <c r="D439" s="6" t="s">
        <v>17</v>
      </c>
      <c r="E439" s="6" t="s">
        <v>18</v>
      </c>
      <c r="F439" s="6" t="s">
        <v>43</v>
      </c>
      <c r="G439" s="6" t="s">
        <v>91</v>
      </c>
      <c r="H439" s="2">
        <v>1</v>
      </c>
      <c r="I439" s="2">
        <v>50546.06</v>
      </c>
      <c r="J439" s="2">
        <v>0.1</v>
      </c>
      <c r="K439" s="2">
        <v>45491.45</v>
      </c>
      <c r="L439" s="2">
        <v>35299.050000000003</v>
      </c>
      <c r="M439" s="2">
        <v>10192.4</v>
      </c>
      <c r="N439" s="6" t="s">
        <v>58</v>
      </c>
      <c r="O439" s="6" t="s">
        <v>22</v>
      </c>
    </row>
    <row r="440" spans="1:15" x14ac:dyDescent="0.3">
      <c r="A440" s="2" t="s">
        <v>302</v>
      </c>
      <c r="B440" s="5">
        <v>45689</v>
      </c>
      <c r="C440" s="6" t="s">
        <v>63</v>
      </c>
      <c r="D440" s="6" t="s">
        <v>117</v>
      </c>
      <c r="E440" s="6" t="s">
        <v>49</v>
      </c>
      <c r="F440" s="6" t="s">
        <v>34</v>
      </c>
      <c r="G440" s="6" t="s">
        <v>35</v>
      </c>
      <c r="H440" s="2">
        <v>3</v>
      </c>
      <c r="I440" s="2">
        <v>17882.61</v>
      </c>
      <c r="J440" s="2">
        <v>0</v>
      </c>
      <c r="K440" s="2">
        <v>53647.83</v>
      </c>
      <c r="L440" s="2">
        <v>43385.36</v>
      </c>
      <c r="M440" s="2">
        <v>10262.469999999999</v>
      </c>
      <c r="N440" s="6" t="s">
        <v>21</v>
      </c>
      <c r="O440" s="6" t="s">
        <v>40</v>
      </c>
    </row>
    <row r="441" spans="1:15" x14ac:dyDescent="0.3">
      <c r="A441" s="2" t="s">
        <v>477</v>
      </c>
      <c r="B441" s="5">
        <v>45929</v>
      </c>
      <c r="C441" s="6" t="s">
        <v>54</v>
      </c>
      <c r="D441" s="6" t="s">
        <v>55</v>
      </c>
      <c r="E441" s="6" t="s">
        <v>26</v>
      </c>
      <c r="F441" s="6" t="s">
        <v>27</v>
      </c>
      <c r="G441" s="6" t="s">
        <v>66</v>
      </c>
      <c r="H441" s="2">
        <v>5</v>
      </c>
      <c r="I441" s="2">
        <v>10943.8</v>
      </c>
      <c r="J441" s="2">
        <v>0.05</v>
      </c>
      <c r="K441" s="2">
        <v>51983.06</v>
      </c>
      <c r="L441" s="2">
        <v>41718.39</v>
      </c>
      <c r="M441" s="2">
        <v>10264.67</v>
      </c>
      <c r="N441" s="6" t="s">
        <v>29</v>
      </c>
      <c r="O441" s="6" t="s">
        <v>59</v>
      </c>
    </row>
    <row r="442" spans="1:15" x14ac:dyDescent="0.3">
      <c r="A442" s="2" t="s">
        <v>429</v>
      </c>
      <c r="B442" s="5">
        <v>45807</v>
      </c>
      <c r="C442" s="6" t="s">
        <v>16</v>
      </c>
      <c r="D442" s="6" t="s">
        <v>32</v>
      </c>
      <c r="E442" s="6" t="s">
        <v>26</v>
      </c>
      <c r="F442" s="6" t="s">
        <v>27</v>
      </c>
      <c r="G442" s="6" t="s">
        <v>125</v>
      </c>
      <c r="H442" s="2">
        <v>5</v>
      </c>
      <c r="I442" s="2">
        <v>8354.11</v>
      </c>
      <c r="J442" s="2">
        <v>0.05</v>
      </c>
      <c r="K442" s="2">
        <v>39682.04</v>
      </c>
      <c r="L442" s="2">
        <v>29394.54</v>
      </c>
      <c r="M442" s="2">
        <v>10287.5</v>
      </c>
      <c r="N442" s="6" t="s">
        <v>29</v>
      </c>
      <c r="O442" s="6" t="s">
        <v>45</v>
      </c>
    </row>
    <row r="443" spans="1:15" x14ac:dyDescent="0.3">
      <c r="A443" s="2" t="s">
        <v>116</v>
      </c>
      <c r="B443" s="5">
        <v>45849</v>
      </c>
      <c r="C443" s="6" t="s">
        <v>63</v>
      </c>
      <c r="D443" s="6" t="s">
        <v>117</v>
      </c>
      <c r="E443" s="6" t="s">
        <v>65</v>
      </c>
      <c r="F443" s="6" t="s">
        <v>27</v>
      </c>
      <c r="G443" s="6" t="s">
        <v>50</v>
      </c>
      <c r="H443" s="2">
        <v>1</v>
      </c>
      <c r="I443" s="2">
        <v>31456.71</v>
      </c>
      <c r="J443" s="2">
        <v>0.03</v>
      </c>
      <c r="K443" s="2">
        <v>30513.01</v>
      </c>
      <c r="L443" s="2">
        <v>20217.48</v>
      </c>
      <c r="M443" s="2">
        <v>10295.530000000001</v>
      </c>
      <c r="N443" s="6" t="s">
        <v>29</v>
      </c>
      <c r="O443" s="6" t="s">
        <v>22</v>
      </c>
    </row>
    <row r="444" spans="1:15" x14ac:dyDescent="0.3">
      <c r="A444" s="2" t="s">
        <v>286</v>
      </c>
      <c r="B444" s="5">
        <v>45695</v>
      </c>
      <c r="C444" s="6" t="s">
        <v>63</v>
      </c>
      <c r="D444" s="6" t="s">
        <v>88</v>
      </c>
      <c r="E444" s="6" t="s">
        <v>74</v>
      </c>
      <c r="F444" s="6" t="s">
        <v>43</v>
      </c>
      <c r="G444" s="6" t="s">
        <v>121</v>
      </c>
      <c r="H444" s="2">
        <v>6</v>
      </c>
      <c r="I444" s="2">
        <v>4930.1000000000004</v>
      </c>
      <c r="J444" s="2">
        <v>0.08</v>
      </c>
      <c r="K444" s="2">
        <v>27214.14</v>
      </c>
      <c r="L444" s="2">
        <v>16893.79</v>
      </c>
      <c r="M444" s="2">
        <v>10320.35</v>
      </c>
      <c r="N444" s="6" t="s">
        <v>21</v>
      </c>
      <c r="O444" s="6" t="s">
        <v>40</v>
      </c>
    </row>
    <row r="445" spans="1:15" x14ac:dyDescent="0.3">
      <c r="A445" s="2" t="s">
        <v>405</v>
      </c>
      <c r="B445" s="5">
        <v>45808</v>
      </c>
      <c r="C445" s="6" t="s">
        <v>54</v>
      </c>
      <c r="D445" s="6" t="s">
        <v>48</v>
      </c>
      <c r="E445" s="6" t="s">
        <v>69</v>
      </c>
      <c r="F445" s="6" t="s">
        <v>27</v>
      </c>
      <c r="G445" s="6" t="s">
        <v>66</v>
      </c>
      <c r="H445" s="2">
        <v>3</v>
      </c>
      <c r="I445" s="2">
        <v>11642.92</v>
      </c>
      <c r="J445" s="2">
        <v>0.03</v>
      </c>
      <c r="K445" s="2">
        <v>33880.9</v>
      </c>
      <c r="L445" s="2">
        <v>23525.17</v>
      </c>
      <c r="M445" s="2">
        <v>10355.73</v>
      </c>
      <c r="N445" s="6" t="s">
        <v>21</v>
      </c>
      <c r="O445" s="6" t="s">
        <v>22</v>
      </c>
    </row>
    <row r="446" spans="1:15" x14ac:dyDescent="0.3">
      <c r="A446" s="2" t="s">
        <v>664</v>
      </c>
      <c r="B446" s="5">
        <v>45876</v>
      </c>
      <c r="C446" s="6" t="s">
        <v>63</v>
      </c>
      <c r="D446" s="6" t="s">
        <v>64</v>
      </c>
      <c r="E446" s="6" t="s">
        <v>56</v>
      </c>
      <c r="F446" s="6" t="s">
        <v>27</v>
      </c>
      <c r="G446" s="6" t="s">
        <v>50</v>
      </c>
      <c r="H446" s="2">
        <v>2</v>
      </c>
      <c r="I446" s="2">
        <v>30046.35</v>
      </c>
      <c r="J446" s="2">
        <v>0.1</v>
      </c>
      <c r="K446" s="2">
        <v>54083.43</v>
      </c>
      <c r="L446" s="2">
        <v>43723.51</v>
      </c>
      <c r="M446" s="2">
        <v>10359.92</v>
      </c>
      <c r="N446" s="6" t="s">
        <v>29</v>
      </c>
      <c r="O446" s="6" t="s">
        <v>40</v>
      </c>
    </row>
    <row r="447" spans="1:15" x14ac:dyDescent="0.3">
      <c r="A447" s="2" t="s">
        <v>223</v>
      </c>
      <c r="B447" s="5">
        <v>45864</v>
      </c>
      <c r="C447" s="6" t="s">
        <v>63</v>
      </c>
      <c r="D447" s="6" t="s">
        <v>95</v>
      </c>
      <c r="E447" s="6" t="s">
        <v>26</v>
      </c>
      <c r="F447" s="6" t="s">
        <v>43</v>
      </c>
      <c r="G447" s="6" t="s">
        <v>44</v>
      </c>
      <c r="H447" s="2">
        <v>3</v>
      </c>
      <c r="I447" s="2">
        <v>11196.53</v>
      </c>
      <c r="J447" s="2">
        <v>0.05</v>
      </c>
      <c r="K447" s="2">
        <v>31910.11</v>
      </c>
      <c r="L447" s="2">
        <v>21473.42</v>
      </c>
      <c r="M447" s="2">
        <v>10436.69</v>
      </c>
      <c r="N447" s="6" t="s">
        <v>21</v>
      </c>
      <c r="O447" s="6" t="s">
        <v>40</v>
      </c>
    </row>
    <row r="448" spans="1:15" x14ac:dyDescent="0.3">
      <c r="A448" s="2" t="s">
        <v>1077</v>
      </c>
      <c r="B448" s="5">
        <v>45660</v>
      </c>
      <c r="C448" s="6" t="s">
        <v>37</v>
      </c>
      <c r="D448" s="6" t="s">
        <v>68</v>
      </c>
      <c r="E448" s="6" t="s">
        <v>65</v>
      </c>
      <c r="F448" s="6" t="s">
        <v>34</v>
      </c>
      <c r="G448" s="6" t="s">
        <v>80</v>
      </c>
      <c r="H448" s="2">
        <v>8</v>
      </c>
      <c r="I448" s="2">
        <v>4162.96</v>
      </c>
      <c r="J448" s="2">
        <v>0</v>
      </c>
      <c r="K448" s="2">
        <v>33303.660000000003</v>
      </c>
      <c r="L448" s="2">
        <v>22837.64</v>
      </c>
      <c r="M448" s="2">
        <v>10466.02</v>
      </c>
      <c r="N448" s="6" t="s">
        <v>29</v>
      </c>
      <c r="O448" s="6" t="s">
        <v>22</v>
      </c>
    </row>
    <row r="449" spans="1:15" x14ac:dyDescent="0.3">
      <c r="A449" s="2" t="s">
        <v>138</v>
      </c>
      <c r="B449" s="5">
        <v>45960</v>
      </c>
      <c r="C449" s="6" t="s">
        <v>16</v>
      </c>
      <c r="D449" s="6" t="s">
        <v>82</v>
      </c>
      <c r="E449" s="6" t="s">
        <v>56</v>
      </c>
      <c r="F449" s="6" t="s">
        <v>43</v>
      </c>
      <c r="G449" s="6" t="s">
        <v>121</v>
      </c>
      <c r="H449" s="2">
        <v>6</v>
      </c>
      <c r="I449" s="2">
        <v>5301.32</v>
      </c>
      <c r="J449" s="2">
        <v>0.05</v>
      </c>
      <c r="K449" s="2">
        <v>30217.54</v>
      </c>
      <c r="L449" s="2">
        <v>19706.78</v>
      </c>
      <c r="M449" s="2">
        <v>10510.76</v>
      </c>
      <c r="N449" s="6" t="s">
        <v>29</v>
      </c>
      <c r="O449" s="6" t="s">
        <v>45</v>
      </c>
    </row>
    <row r="450" spans="1:15" x14ac:dyDescent="0.3">
      <c r="A450" s="2" t="s">
        <v>226</v>
      </c>
      <c r="B450" s="5">
        <v>45955</v>
      </c>
      <c r="C450" s="6" t="s">
        <v>37</v>
      </c>
      <c r="D450" s="6" t="s">
        <v>68</v>
      </c>
      <c r="E450" s="6" t="s">
        <v>33</v>
      </c>
      <c r="F450" s="6" t="s">
        <v>19</v>
      </c>
      <c r="G450" s="6" t="s">
        <v>108</v>
      </c>
      <c r="H450" s="2">
        <v>3</v>
      </c>
      <c r="I450" s="2">
        <v>15662.4</v>
      </c>
      <c r="J450" s="2">
        <v>0.05</v>
      </c>
      <c r="K450" s="2">
        <v>44637.84</v>
      </c>
      <c r="L450" s="2">
        <v>34123.19</v>
      </c>
      <c r="M450" s="2">
        <v>10514.65</v>
      </c>
      <c r="N450" s="6" t="s">
        <v>21</v>
      </c>
      <c r="O450" s="6" t="s">
        <v>59</v>
      </c>
    </row>
    <row r="451" spans="1:15" x14ac:dyDescent="0.3">
      <c r="A451" s="2" t="s">
        <v>119</v>
      </c>
      <c r="B451" s="5">
        <v>45733</v>
      </c>
      <c r="C451" s="6" t="s">
        <v>16</v>
      </c>
      <c r="D451" s="6" t="s">
        <v>82</v>
      </c>
      <c r="E451" s="6" t="s">
        <v>56</v>
      </c>
      <c r="F451" s="6" t="s">
        <v>34</v>
      </c>
      <c r="G451" s="6" t="s">
        <v>57</v>
      </c>
      <c r="H451" s="2">
        <v>3</v>
      </c>
      <c r="I451" s="2">
        <v>21609.99</v>
      </c>
      <c r="J451" s="2">
        <v>0</v>
      </c>
      <c r="K451" s="2">
        <v>64829.97</v>
      </c>
      <c r="L451" s="2">
        <v>54281.59</v>
      </c>
      <c r="M451" s="2">
        <v>10548.38</v>
      </c>
      <c r="N451" s="6" t="s">
        <v>21</v>
      </c>
      <c r="O451" s="6" t="s">
        <v>40</v>
      </c>
    </row>
    <row r="452" spans="1:15" x14ac:dyDescent="0.3">
      <c r="A452" s="2" t="s">
        <v>119</v>
      </c>
      <c r="B452" s="5">
        <v>45733</v>
      </c>
      <c r="C452" s="6" t="s">
        <v>16</v>
      </c>
      <c r="D452" s="6" t="s">
        <v>82</v>
      </c>
      <c r="E452" s="6" t="s">
        <v>56</v>
      </c>
      <c r="F452" s="6" t="s">
        <v>34</v>
      </c>
      <c r="G452" s="6" t="s">
        <v>57</v>
      </c>
      <c r="H452" s="2">
        <v>3</v>
      </c>
      <c r="I452" s="2">
        <v>21609.99</v>
      </c>
      <c r="J452" s="2">
        <v>0</v>
      </c>
      <c r="K452" s="2">
        <v>64829.97</v>
      </c>
      <c r="L452" s="2">
        <v>54281.59</v>
      </c>
      <c r="M452" s="2">
        <v>10548.38</v>
      </c>
      <c r="N452" s="6" t="s">
        <v>21</v>
      </c>
      <c r="O452" s="6" t="s">
        <v>40</v>
      </c>
    </row>
    <row r="453" spans="1:15" x14ac:dyDescent="0.3">
      <c r="A453" s="2" t="s">
        <v>1191</v>
      </c>
      <c r="B453" s="5">
        <v>45907</v>
      </c>
      <c r="C453" s="6" t="s">
        <v>16</v>
      </c>
      <c r="D453" s="6" t="s">
        <v>82</v>
      </c>
      <c r="E453" s="6" t="s">
        <v>56</v>
      </c>
      <c r="F453" s="6" t="s">
        <v>19</v>
      </c>
      <c r="G453" s="6" t="s">
        <v>106</v>
      </c>
      <c r="H453" s="2">
        <v>6</v>
      </c>
      <c r="I453" s="2">
        <v>13078.1</v>
      </c>
      <c r="J453" s="2">
        <v>0.15</v>
      </c>
      <c r="K453" s="2">
        <v>66698.31</v>
      </c>
      <c r="L453" s="2">
        <v>56101.120000000003</v>
      </c>
      <c r="M453" s="2">
        <v>10597.19</v>
      </c>
      <c r="N453" s="6" t="s">
        <v>21</v>
      </c>
      <c r="O453" s="6" t="s">
        <v>40</v>
      </c>
    </row>
    <row r="454" spans="1:15" x14ac:dyDescent="0.3">
      <c r="A454" s="2" t="s">
        <v>275</v>
      </c>
      <c r="B454" s="5">
        <v>45981</v>
      </c>
      <c r="C454" s="6" t="s">
        <v>37</v>
      </c>
      <c r="D454" s="6" t="s">
        <v>1356</v>
      </c>
      <c r="E454" s="6" t="s">
        <v>26</v>
      </c>
      <c r="F454" s="6" t="s">
        <v>27</v>
      </c>
      <c r="G454" s="6" t="s">
        <v>89</v>
      </c>
      <c r="H454" s="2">
        <v>1</v>
      </c>
      <c r="I454" s="2">
        <v>31395.53</v>
      </c>
      <c r="J454" s="2">
        <v>0.03</v>
      </c>
      <c r="K454" s="2">
        <v>30453.67</v>
      </c>
      <c r="L454" s="2">
        <v>19768.47</v>
      </c>
      <c r="M454" s="2">
        <v>10685.2</v>
      </c>
      <c r="N454" s="6" t="s">
        <v>58</v>
      </c>
      <c r="O454" s="6" t="s">
        <v>30</v>
      </c>
    </row>
    <row r="455" spans="1:15" x14ac:dyDescent="0.3">
      <c r="A455" s="2" t="s">
        <v>230</v>
      </c>
      <c r="B455" s="5">
        <v>45777</v>
      </c>
      <c r="C455" s="6" t="s">
        <v>1356</v>
      </c>
      <c r="D455" s="6" t="s">
        <v>25</v>
      </c>
      <c r="E455" s="6" t="s">
        <v>49</v>
      </c>
      <c r="F455" s="6" t="s">
        <v>43</v>
      </c>
      <c r="G455" s="6" t="s">
        <v>44</v>
      </c>
      <c r="H455" s="2">
        <v>5</v>
      </c>
      <c r="I455" s="2">
        <v>11724.93</v>
      </c>
      <c r="J455" s="2">
        <v>0.05</v>
      </c>
      <c r="K455" s="2">
        <v>55693.4</v>
      </c>
      <c r="L455" s="2">
        <v>44979.64</v>
      </c>
      <c r="M455" s="2">
        <v>10713.76</v>
      </c>
      <c r="N455" s="6" t="s">
        <v>58</v>
      </c>
      <c r="O455" s="6" t="s">
        <v>40</v>
      </c>
    </row>
    <row r="456" spans="1:15" x14ac:dyDescent="0.3">
      <c r="A456" s="2" t="s">
        <v>761</v>
      </c>
      <c r="B456" s="5">
        <v>45970</v>
      </c>
      <c r="C456" s="6" t="s">
        <v>37</v>
      </c>
      <c r="D456" s="6" t="s">
        <v>25</v>
      </c>
      <c r="E456" s="6" t="s">
        <v>33</v>
      </c>
      <c r="F456" s="6" t="s">
        <v>27</v>
      </c>
      <c r="G456" s="6" t="s">
        <v>66</v>
      </c>
      <c r="H456" s="2">
        <v>6</v>
      </c>
      <c r="I456" s="2">
        <v>10394.299999999999</v>
      </c>
      <c r="J456" s="2">
        <v>0.03</v>
      </c>
      <c r="K456" s="2">
        <v>60494.82</v>
      </c>
      <c r="L456" s="2">
        <v>49734.39</v>
      </c>
      <c r="M456" s="2">
        <v>10760.43</v>
      </c>
      <c r="N456" s="6" t="s">
        <v>58</v>
      </c>
      <c r="O456" s="6" t="s">
        <v>40</v>
      </c>
    </row>
    <row r="457" spans="1:15" x14ac:dyDescent="0.3">
      <c r="A457" s="2" t="s">
        <v>798</v>
      </c>
      <c r="B457" s="5">
        <v>45983</v>
      </c>
      <c r="C457" s="6" t="s">
        <v>37</v>
      </c>
      <c r="D457" s="6" t="s">
        <v>68</v>
      </c>
      <c r="E457" s="6" t="s">
        <v>18</v>
      </c>
      <c r="F457" s="6" t="s">
        <v>27</v>
      </c>
      <c r="G457" s="6" t="s">
        <v>66</v>
      </c>
      <c r="H457" s="2">
        <v>5</v>
      </c>
      <c r="I457" s="2">
        <v>10227.969999999999</v>
      </c>
      <c r="J457" s="2">
        <v>0.08</v>
      </c>
      <c r="K457" s="2">
        <v>47048.639999999999</v>
      </c>
      <c r="L457" s="2">
        <v>36209.519999999997</v>
      </c>
      <c r="M457" s="2">
        <v>10839.12</v>
      </c>
      <c r="N457" s="6" t="s">
        <v>58</v>
      </c>
      <c r="O457" s="6" t="s">
        <v>45</v>
      </c>
    </row>
    <row r="458" spans="1:15" x14ac:dyDescent="0.3">
      <c r="A458" s="2" t="s">
        <v>132</v>
      </c>
      <c r="B458" s="5">
        <v>46014</v>
      </c>
      <c r="C458" s="6" t="s">
        <v>37</v>
      </c>
      <c r="D458" s="6" t="s">
        <v>68</v>
      </c>
      <c r="E458" s="6" t="s">
        <v>26</v>
      </c>
      <c r="F458" s="6" t="s">
        <v>34</v>
      </c>
      <c r="G458" s="6" t="s">
        <v>35</v>
      </c>
      <c r="H458" s="2">
        <v>2</v>
      </c>
      <c r="I458" s="2">
        <v>17678.21</v>
      </c>
      <c r="J458" s="2">
        <v>0.03</v>
      </c>
      <c r="K458" s="2">
        <v>34295.730000000003</v>
      </c>
      <c r="L458" s="2">
        <v>23452.28</v>
      </c>
      <c r="M458" s="2">
        <v>10843.45</v>
      </c>
      <c r="N458" s="6" t="s">
        <v>58</v>
      </c>
      <c r="O458" s="6" t="s">
        <v>22</v>
      </c>
    </row>
    <row r="459" spans="1:15" x14ac:dyDescent="0.3">
      <c r="A459" s="2" t="s">
        <v>1160</v>
      </c>
      <c r="B459" s="5">
        <v>45859</v>
      </c>
      <c r="C459" s="6" t="s">
        <v>16</v>
      </c>
      <c r="D459" s="6" t="s">
        <v>32</v>
      </c>
      <c r="E459" s="6" t="s">
        <v>74</v>
      </c>
      <c r="F459" s="6" t="s">
        <v>19</v>
      </c>
      <c r="G459" s="6" t="s">
        <v>61</v>
      </c>
      <c r="H459" s="2">
        <v>4</v>
      </c>
      <c r="I459" s="2">
        <v>9427.9</v>
      </c>
      <c r="J459" s="2">
        <v>0.05</v>
      </c>
      <c r="K459" s="2">
        <v>35826.03</v>
      </c>
      <c r="L459" s="2">
        <v>24950.42</v>
      </c>
      <c r="M459" s="2">
        <v>10875.61</v>
      </c>
      <c r="N459" s="6" t="s">
        <v>58</v>
      </c>
      <c r="O459" s="6" t="s">
        <v>45</v>
      </c>
    </row>
    <row r="460" spans="1:15" x14ac:dyDescent="0.3">
      <c r="A460" s="2" t="s">
        <v>1023</v>
      </c>
      <c r="B460" s="5">
        <v>45928</v>
      </c>
      <c r="C460" s="6" t="s">
        <v>16</v>
      </c>
      <c r="D460" s="6" t="s">
        <v>52</v>
      </c>
      <c r="E460" s="6" t="s">
        <v>69</v>
      </c>
      <c r="F460" s="6" t="s">
        <v>34</v>
      </c>
      <c r="G460" s="6" t="s">
        <v>35</v>
      </c>
      <c r="H460" s="2">
        <v>3</v>
      </c>
      <c r="I460" s="2">
        <v>18156.009999999998</v>
      </c>
      <c r="J460" s="2">
        <v>0.05</v>
      </c>
      <c r="K460" s="2">
        <v>51744.63</v>
      </c>
      <c r="L460" s="2">
        <v>40862.089999999997</v>
      </c>
      <c r="M460" s="2">
        <v>10882.54</v>
      </c>
      <c r="N460" s="6" t="s">
        <v>29</v>
      </c>
      <c r="O460" s="6" t="s">
        <v>59</v>
      </c>
    </row>
    <row r="461" spans="1:15" x14ac:dyDescent="0.3">
      <c r="A461" s="2" t="s">
        <v>1252</v>
      </c>
      <c r="B461" s="5">
        <v>45975</v>
      </c>
      <c r="C461" s="6" t="s">
        <v>54</v>
      </c>
      <c r="D461" s="6" t="s">
        <v>124</v>
      </c>
      <c r="E461" s="6" t="s">
        <v>18</v>
      </c>
      <c r="F461" s="6" t="s">
        <v>43</v>
      </c>
      <c r="G461" s="6" t="s">
        <v>121</v>
      </c>
      <c r="H461" s="2">
        <v>8</v>
      </c>
      <c r="I461" s="2">
        <v>4704.5600000000004</v>
      </c>
      <c r="J461" s="2">
        <v>0.03</v>
      </c>
      <c r="K461" s="2">
        <v>36507.370000000003</v>
      </c>
      <c r="L461" s="2">
        <v>25621.25</v>
      </c>
      <c r="M461" s="2">
        <v>10886.12</v>
      </c>
      <c r="N461" s="6" t="s">
        <v>21</v>
      </c>
      <c r="O461" s="6" t="s">
        <v>40</v>
      </c>
    </row>
    <row r="462" spans="1:15" x14ac:dyDescent="0.3">
      <c r="A462" s="2" t="s">
        <v>312</v>
      </c>
      <c r="B462" s="5">
        <v>45943</v>
      </c>
      <c r="C462" s="6" t="s">
        <v>54</v>
      </c>
      <c r="D462" s="6" t="s">
        <v>48</v>
      </c>
      <c r="E462" s="6" t="s">
        <v>18</v>
      </c>
      <c r="F462" s="6" t="s">
        <v>19</v>
      </c>
      <c r="G462" s="6" t="s">
        <v>108</v>
      </c>
      <c r="H462" s="2">
        <v>5</v>
      </c>
      <c r="I462" s="2">
        <v>14410.37</v>
      </c>
      <c r="J462" s="2">
        <v>0.1</v>
      </c>
      <c r="K462" s="2">
        <v>64846.68</v>
      </c>
      <c r="L462" s="2">
        <v>53897.79</v>
      </c>
      <c r="M462" s="2">
        <v>10948.89</v>
      </c>
      <c r="N462" s="6" t="s">
        <v>21</v>
      </c>
      <c r="O462" s="6" t="s">
        <v>45</v>
      </c>
    </row>
    <row r="463" spans="1:15" x14ac:dyDescent="0.3">
      <c r="A463" s="2" t="s">
        <v>659</v>
      </c>
      <c r="B463" s="5">
        <v>45903</v>
      </c>
      <c r="C463" s="6" t="s">
        <v>54</v>
      </c>
      <c r="D463" s="6" t="s">
        <v>174</v>
      </c>
      <c r="E463" s="6" t="s">
        <v>49</v>
      </c>
      <c r="F463" s="6" t="s">
        <v>34</v>
      </c>
      <c r="G463" s="6" t="s">
        <v>80</v>
      </c>
      <c r="H463" s="2">
        <v>8</v>
      </c>
      <c r="I463" s="2">
        <v>4663.3500000000004</v>
      </c>
      <c r="J463" s="2">
        <v>0.1</v>
      </c>
      <c r="K463" s="2">
        <v>33576.129999999997</v>
      </c>
      <c r="L463" s="2">
        <v>22595.759999999998</v>
      </c>
      <c r="M463" s="2">
        <v>10980.37</v>
      </c>
      <c r="N463" s="6" t="s">
        <v>29</v>
      </c>
      <c r="O463" s="6" t="s">
        <v>40</v>
      </c>
    </row>
    <row r="464" spans="1:15" x14ac:dyDescent="0.3">
      <c r="A464" s="2" t="s">
        <v>890</v>
      </c>
      <c r="B464" s="5">
        <v>45914</v>
      </c>
      <c r="C464" s="6" t="s">
        <v>63</v>
      </c>
      <c r="D464" s="6" t="s">
        <v>64</v>
      </c>
      <c r="E464" s="6" t="s">
        <v>49</v>
      </c>
      <c r="F464" s="6" t="s">
        <v>43</v>
      </c>
      <c r="G464" s="6" t="s">
        <v>84</v>
      </c>
      <c r="H464" s="2">
        <v>1</v>
      </c>
      <c r="I464" s="2">
        <v>39241.58</v>
      </c>
      <c r="J464" s="2">
        <v>0.05</v>
      </c>
      <c r="K464" s="2">
        <v>37279.5</v>
      </c>
      <c r="L464" s="2">
        <v>26296.6</v>
      </c>
      <c r="M464" s="2">
        <v>10982.9</v>
      </c>
      <c r="N464" s="6" t="s">
        <v>58</v>
      </c>
      <c r="O464" s="6" t="s">
        <v>45</v>
      </c>
    </row>
    <row r="465" spans="1:15" x14ac:dyDescent="0.3">
      <c r="A465" s="2" t="s">
        <v>490</v>
      </c>
      <c r="B465" s="5">
        <v>45907</v>
      </c>
      <c r="C465" s="6" t="s">
        <v>63</v>
      </c>
      <c r="D465" s="6" t="s">
        <v>88</v>
      </c>
      <c r="E465" s="6" t="s">
        <v>56</v>
      </c>
      <c r="F465" s="6" t="s">
        <v>27</v>
      </c>
      <c r="G465" s="6" t="s">
        <v>125</v>
      </c>
      <c r="H465" s="2">
        <v>6</v>
      </c>
      <c r="I465" s="2">
        <v>8480.7099999999991</v>
      </c>
      <c r="J465" s="2">
        <v>0</v>
      </c>
      <c r="K465" s="2">
        <v>50884.27</v>
      </c>
      <c r="L465" s="2">
        <v>39878.86</v>
      </c>
      <c r="M465" s="2">
        <v>11005.41</v>
      </c>
      <c r="N465" s="6" t="s">
        <v>21</v>
      </c>
      <c r="O465" s="6" t="s">
        <v>30</v>
      </c>
    </row>
    <row r="466" spans="1:15" x14ac:dyDescent="0.3">
      <c r="A466" s="2" t="s">
        <v>1301</v>
      </c>
      <c r="B466" s="5">
        <v>45992</v>
      </c>
      <c r="C466" s="6" t="s">
        <v>37</v>
      </c>
      <c r="D466" s="6" t="s">
        <v>42</v>
      </c>
      <c r="E466" s="6" t="s">
        <v>69</v>
      </c>
      <c r="F466" s="6" t="s">
        <v>27</v>
      </c>
      <c r="G466" s="6" t="s">
        <v>125</v>
      </c>
      <c r="H466" s="2">
        <v>6</v>
      </c>
      <c r="I466" s="2">
        <v>8191.39</v>
      </c>
      <c r="J466" s="2">
        <v>0.03</v>
      </c>
      <c r="K466" s="2">
        <v>47673.89</v>
      </c>
      <c r="L466" s="2">
        <v>36563.74</v>
      </c>
      <c r="M466" s="2">
        <v>11110.15</v>
      </c>
      <c r="N466" s="6" t="s">
        <v>29</v>
      </c>
      <c r="O466" s="6" t="s">
        <v>40</v>
      </c>
    </row>
    <row r="467" spans="1:15" x14ac:dyDescent="0.3">
      <c r="A467" s="2" t="s">
        <v>1022</v>
      </c>
      <c r="B467" s="5">
        <v>45801</v>
      </c>
      <c r="C467" s="6" t="s">
        <v>63</v>
      </c>
      <c r="D467" s="6" t="s">
        <v>117</v>
      </c>
      <c r="E467" s="6" t="s">
        <v>49</v>
      </c>
      <c r="F467" s="6" t="s">
        <v>43</v>
      </c>
      <c r="G467" s="6" t="s">
        <v>75</v>
      </c>
      <c r="H467" s="2">
        <v>2</v>
      </c>
      <c r="I467" s="2">
        <v>35658.81</v>
      </c>
      <c r="J467" s="2">
        <v>0.05</v>
      </c>
      <c r="K467" s="2">
        <v>67751.740000000005</v>
      </c>
      <c r="L467" s="2">
        <v>56591.58</v>
      </c>
      <c r="M467" s="2">
        <v>11160.16</v>
      </c>
      <c r="N467" s="6" t="s">
        <v>58</v>
      </c>
      <c r="O467" s="6" t="s">
        <v>59</v>
      </c>
    </row>
    <row r="468" spans="1:15" x14ac:dyDescent="0.3">
      <c r="A468" s="2" t="s">
        <v>164</v>
      </c>
      <c r="B468" s="5">
        <v>45944</v>
      </c>
      <c r="C468" s="6" t="s">
        <v>63</v>
      </c>
      <c r="D468" s="6" t="s">
        <v>88</v>
      </c>
      <c r="E468" s="6" t="s">
        <v>49</v>
      </c>
      <c r="F468" s="6" t="s">
        <v>27</v>
      </c>
      <c r="G468" s="6" t="s">
        <v>125</v>
      </c>
      <c r="H468" s="2">
        <v>8</v>
      </c>
      <c r="I468" s="2">
        <v>7851.31</v>
      </c>
      <c r="J468" s="2">
        <v>0.08</v>
      </c>
      <c r="K468" s="2">
        <v>57785.65</v>
      </c>
      <c r="L468" s="2">
        <v>46523.18</v>
      </c>
      <c r="M468" s="2">
        <v>11262.47</v>
      </c>
      <c r="N468" s="6" t="s">
        <v>29</v>
      </c>
      <c r="O468" s="6" t="s">
        <v>22</v>
      </c>
    </row>
    <row r="469" spans="1:15" x14ac:dyDescent="0.3">
      <c r="A469" s="2" t="s">
        <v>952</v>
      </c>
      <c r="B469" s="5">
        <v>46000</v>
      </c>
      <c r="C469" s="6" t="s">
        <v>63</v>
      </c>
      <c r="D469" s="6" t="s">
        <v>95</v>
      </c>
      <c r="E469" s="6" t="s">
        <v>49</v>
      </c>
      <c r="F469" s="6" t="s">
        <v>43</v>
      </c>
      <c r="G469" s="6" t="s">
        <v>75</v>
      </c>
      <c r="H469" s="2">
        <v>1</v>
      </c>
      <c r="I469" s="2">
        <v>38656.04</v>
      </c>
      <c r="J469" s="2">
        <v>0.08</v>
      </c>
      <c r="K469" s="2">
        <v>35563.56</v>
      </c>
      <c r="L469" s="2">
        <v>24264.74</v>
      </c>
      <c r="M469" s="2">
        <v>11298.82</v>
      </c>
      <c r="N469" s="6" t="s">
        <v>58</v>
      </c>
      <c r="O469" s="6" t="s">
        <v>40</v>
      </c>
    </row>
    <row r="470" spans="1:15" x14ac:dyDescent="0.3">
      <c r="A470" s="2" t="s">
        <v>963</v>
      </c>
      <c r="B470" s="5">
        <v>46001</v>
      </c>
      <c r="C470" s="6" t="s">
        <v>16</v>
      </c>
      <c r="D470" s="6" t="s">
        <v>52</v>
      </c>
      <c r="E470" s="6" t="s">
        <v>33</v>
      </c>
      <c r="F470" s="6" t="s">
        <v>34</v>
      </c>
      <c r="G470" s="6" t="s">
        <v>80</v>
      </c>
      <c r="H470" s="2">
        <v>8</v>
      </c>
      <c r="I470" s="2">
        <v>4305.8500000000004</v>
      </c>
      <c r="J470" s="2">
        <v>0.05</v>
      </c>
      <c r="K470" s="2">
        <v>32724.44</v>
      </c>
      <c r="L470" s="2">
        <v>21345.42</v>
      </c>
      <c r="M470" s="2">
        <v>11379.02</v>
      </c>
      <c r="N470" s="6" t="s">
        <v>58</v>
      </c>
      <c r="O470" s="6" t="s">
        <v>40</v>
      </c>
    </row>
    <row r="471" spans="1:15" x14ac:dyDescent="0.3">
      <c r="A471" s="2" t="s">
        <v>201</v>
      </c>
      <c r="B471" s="5">
        <v>45825</v>
      </c>
      <c r="C471" s="6" t="s">
        <v>54</v>
      </c>
      <c r="D471" s="6" t="s">
        <v>174</v>
      </c>
      <c r="E471" s="6" t="s">
        <v>26</v>
      </c>
      <c r="F471" s="6" t="s">
        <v>19</v>
      </c>
      <c r="G471" s="6" t="s">
        <v>106</v>
      </c>
      <c r="H471" s="2">
        <v>5</v>
      </c>
      <c r="I471" s="2">
        <v>13478.14</v>
      </c>
      <c r="J471" s="2">
        <v>0.1</v>
      </c>
      <c r="K471" s="2">
        <v>60651.64</v>
      </c>
      <c r="L471" s="2">
        <v>49211.66</v>
      </c>
      <c r="M471" s="2">
        <v>11439.98</v>
      </c>
      <c r="N471" s="6" t="s">
        <v>21</v>
      </c>
      <c r="O471" s="6" t="s">
        <v>22</v>
      </c>
    </row>
    <row r="472" spans="1:15" x14ac:dyDescent="0.3">
      <c r="A472" s="2" t="s">
        <v>1015</v>
      </c>
      <c r="B472" s="5">
        <v>45982</v>
      </c>
      <c r="C472" s="6" t="s">
        <v>63</v>
      </c>
      <c r="D472" s="6" t="s">
        <v>95</v>
      </c>
      <c r="E472" s="6" t="s">
        <v>49</v>
      </c>
      <c r="F472" s="6" t="s">
        <v>34</v>
      </c>
      <c r="G472" s="6" t="s">
        <v>70</v>
      </c>
      <c r="H472" s="2">
        <v>1</v>
      </c>
      <c r="I472" s="2">
        <v>64691.37</v>
      </c>
      <c r="J472" s="2">
        <v>0.1</v>
      </c>
      <c r="K472" s="2">
        <v>58222.23</v>
      </c>
      <c r="L472" s="2">
        <v>46756.63</v>
      </c>
      <c r="M472" s="2">
        <v>11465.6</v>
      </c>
      <c r="N472" s="6" t="s">
        <v>29</v>
      </c>
      <c r="O472" s="6" t="s">
        <v>22</v>
      </c>
    </row>
    <row r="473" spans="1:15" x14ac:dyDescent="0.3">
      <c r="A473" s="2" t="s">
        <v>1178</v>
      </c>
      <c r="B473" s="5">
        <v>46006</v>
      </c>
      <c r="C473" s="6" t="s">
        <v>37</v>
      </c>
      <c r="D473" s="6" t="s">
        <v>25</v>
      </c>
      <c r="E473" s="6" t="s">
        <v>26</v>
      </c>
      <c r="F473" s="6" t="s">
        <v>19</v>
      </c>
      <c r="G473" s="6" t="s">
        <v>61</v>
      </c>
      <c r="H473" s="2">
        <v>5</v>
      </c>
      <c r="I473" s="2">
        <v>8955.7999999999993</v>
      </c>
      <c r="J473" s="2">
        <v>0.1</v>
      </c>
      <c r="K473" s="2">
        <v>40301.08</v>
      </c>
      <c r="L473" s="2">
        <v>28832.28</v>
      </c>
      <c r="M473" s="2">
        <v>11468.8</v>
      </c>
      <c r="N473" s="6" t="s">
        <v>21</v>
      </c>
      <c r="O473" s="6" t="s">
        <v>40</v>
      </c>
    </row>
    <row r="474" spans="1:15" x14ac:dyDescent="0.3">
      <c r="A474" s="2" t="s">
        <v>781</v>
      </c>
      <c r="B474" s="5">
        <v>45709</v>
      </c>
      <c r="C474" s="6" t="s">
        <v>54</v>
      </c>
      <c r="D474" s="6" t="s">
        <v>174</v>
      </c>
      <c r="E474" s="6" t="s">
        <v>74</v>
      </c>
      <c r="F474" s="6" t="s">
        <v>43</v>
      </c>
      <c r="G474" s="6" t="s">
        <v>121</v>
      </c>
      <c r="H474" s="2">
        <v>7</v>
      </c>
      <c r="I474" s="2">
        <v>4823.8100000000004</v>
      </c>
      <c r="J474" s="2">
        <v>0.05</v>
      </c>
      <c r="K474" s="2">
        <v>32078.36</v>
      </c>
      <c r="L474" s="2">
        <v>20567.169999999998</v>
      </c>
      <c r="M474" s="2">
        <v>11511.19</v>
      </c>
      <c r="N474" s="6" t="s">
        <v>58</v>
      </c>
      <c r="O474" s="6" t="s">
        <v>30</v>
      </c>
    </row>
    <row r="475" spans="1:15" x14ac:dyDescent="0.3">
      <c r="A475" s="2" t="s">
        <v>865</v>
      </c>
      <c r="B475" s="5">
        <v>45746</v>
      </c>
      <c r="C475" s="6" t="s">
        <v>54</v>
      </c>
      <c r="D475" s="6" t="s">
        <v>124</v>
      </c>
      <c r="E475" s="6" t="s">
        <v>65</v>
      </c>
      <c r="F475" s="6" t="s">
        <v>34</v>
      </c>
      <c r="G475" s="6" t="s">
        <v>35</v>
      </c>
      <c r="H475" s="2">
        <v>2</v>
      </c>
      <c r="I475" s="2">
        <v>17936.64</v>
      </c>
      <c r="J475" s="2">
        <v>0.05</v>
      </c>
      <c r="K475" s="2">
        <v>34079.61</v>
      </c>
      <c r="L475" s="2">
        <v>22567.11</v>
      </c>
      <c r="M475" s="2">
        <v>11512.5</v>
      </c>
      <c r="N475" s="6" t="s">
        <v>29</v>
      </c>
      <c r="O475" s="6" t="s">
        <v>59</v>
      </c>
    </row>
    <row r="476" spans="1:15" x14ac:dyDescent="0.3">
      <c r="A476" s="2" t="s">
        <v>457</v>
      </c>
      <c r="B476" s="5">
        <v>45671</v>
      </c>
      <c r="C476" s="6" t="s">
        <v>16</v>
      </c>
      <c r="D476" s="6" t="s">
        <v>32</v>
      </c>
      <c r="E476" s="6" t="s">
        <v>65</v>
      </c>
      <c r="F476" s="6" t="s">
        <v>27</v>
      </c>
      <c r="G476" s="6" t="s">
        <v>50</v>
      </c>
      <c r="H476" s="2">
        <v>2</v>
      </c>
      <c r="I476" s="2">
        <v>30717.64</v>
      </c>
      <c r="J476" s="2">
        <v>0.1</v>
      </c>
      <c r="K476" s="2">
        <v>55291.76</v>
      </c>
      <c r="L476" s="2">
        <v>43770.29</v>
      </c>
      <c r="M476" s="2">
        <v>11521.47</v>
      </c>
      <c r="N476" s="6" t="s">
        <v>21</v>
      </c>
      <c r="O476" s="6" t="s">
        <v>22</v>
      </c>
    </row>
    <row r="477" spans="1:15" x14ac:dyDescent="0.3">
      <c r="A477" s="2" t="s">
        <v>643</v>
      </c>
      <c r="B477" s="5">
        <v>45903</v>
      </c>
      <c r="C477" s="6" t="s">
        <v>63</v>
      </c>
      <c r="D477" s="6" t="s">
        <v>64</v>
      </c>
      <c r="E477" s="6" t="s">
        <v>26</v>
      </c>
      <c r="F477" s="6" t="s">
        <v>27</v>
      </c>
      <c r="G477" s="6" t="s">
        <v>28</v>
      </c>
      <c r="H477" s="2">
        <v>2</v>
      </c>
      <c r="I477" s="2">
        <v>26210.52</v>
      </c>
      <c r="J477" s="2">
        <v>0.05</v>
      </c>
      <c r="K477" s="2">
        <v>49799.99</v>
      </c>
      <c r="L477" s="2">
        <v>38246.94</v>
      </c>
      <c r="M477" s="2">
        <v>11553.05</v>
      </c>
      <c r="N477" s="6" t="s">
        <v>29</v>
      </c>
      <c r="O477" s="6" t="s">
        <v>45</v>
      </c>
    </row>
    <row r="478" spans="1:15" x14ac:dyDescent="0.3">
      <c r="A478" s="2" t="s">
        <v>652</v>
      </c>
      <c r="B478" s="5">
        <v>45838</v>
      </c>
      <c r="C478" s="6" t="s">
        <v>54</v>
      </c>
      <c r="D478" s="6" t="s">
        <v>48</v>
      </c>
      <c r="E478" s="6" t="s">
        <v>65</v>
      </c>
      <c r="F478" s="6" t="s">
        <v>43</v>
      </c>
      <c r="G478" s="6" t="s">
        <v>121</v>
      </c>
      <c r="H478" s="2">
        <v>8</v>
      </c>
      <c r="I478" s="2">
        <v>5250.45</v>
      </c>
      <c r="J478" s="2">
        <v>0</v>
      </c>
      <c r="K478" s="2">
        <v>42003.6</v>
      </c>
      <c r="L478" s="2">
        <v>30363.34</v>
      </c>
      <c r="M478" s="2">
        <v>11640.26</v>
      </c>
      <c r="N478" s="6" t="s">
        <v>21</v>
      </c>
      <c r="O478" s="6" t="s">
        <v>30</v>
      </c>
    </row>
    <row r="479" spans="1:15" x14ac:dyDescent="0.3">
      <c r="A479" s="2" t="s">
        <v>345</v>
      </c>
      <c r="B479" s="5">
        <v>45756</v>
      </c>
      <c r="C479" s="6" t="s">
        <v>37</v>
      </c>
      <c r="D479" s="6" t="s">
        <v>38</v>
      </c>
      <c r="E479" s="6" t="s">
        <v>26</v>
      </c>
      <c r="F479" s="6" t="s">
        <v>27</v>
      </c>
      <c r="G479" s="6" t="s">
        <v>125</v>
      </c>
      <c r="H479" s="2">
        <v>7</v>
      </c>
      <c r="I479" s="2">
        <v>8930.7900000000009</v>
      </c>
      <c r="J479" s="2">
        <v>0.03</v>
      </c>
      <c r="K479" s="2">
        <v>60640.06</v>
      </c>
      <c r="L479" s="2">
        <v>48983.42</v>
      </c>
      <c r="M479" s="2">
        <v>11656.64</v>
      </c>
      <c r="N479" s="6" t="s">
        <v>58</v>
      </c>
      <c r="O479" s="6" t="s">
        <v>30</v>
      </c>
    </row>
    <row r="480" spans="1:15" x14ac:dyDescent="0.3">
      <c r="A480" s="2" t="s">
        <v>1202</v>
      </c>
      <c r="B480" s="5">
        <v>45944</v>
      </c>
      <c r="C480" s="6" t="s">
        <v>63</v>
      </c>
      <c r="D480" s="6" t="s">
        <v>117</v>
      </c>
      <c r="E480" s="6" t="s">
        <v>56</v>
      </c>
      <c r="F480" s="6" t="s">
        <v>19</v>
      </c>
      <c r="G480" s="6" t="s">
        <v>108</v>
      </c>
      <c r="H480" s="2">
        <v>2</v>
      </c>
      <c r="I480" s="2">
        <v>15896.34</v>
      </c>
      <c r="J480" s="2">
        <v>0.03</v>
      </c>
      <c r="K480" s="2">
        <v>30838.89</v>
      </c>
      <c r="L480" s="2">
        <v>19179.560000000001</v>
      </c>
      <c r="M480" s="2">
        <v>11659.33</v>
      </c>
      <c r="N480" s="6" t="s">
        <v>29</v>
      </c>
      <c r="O480" s="6" t="s">
        <v>40</v>
      </c>
    </row>
    <row r="481" spans="1:15" x14ac:dyDescent="0.3">
      <c r="A481" s="2" t="s">
        <v>1272</v>
      </c>
      <c r="B481" s="5">
        <v>45983</v>
      </c>
      <c r="C481" s="6" t="s">
        <v>37</v>
      </c>
      <c r="D481" s="6" t="s">
        <v>42</v>
      </c>
      <c r="E481" s="6" t="s">
        <v>49</v>
      </c>
      <c r="F481" s="6" t="s">
        <v>19</v>
      </c>
      <c r="G481" s="6" t="s">
        <v>61</v>
      </c>
      <c r="H481" s="2">
        <v>6</v>
      </c>
      <c r="I481" s="2">
        <v>9552.7099999999991</v>
      </c>
      <c r="J481" s="2">
        <v>0.03</v>
      </c>
      <c r="K481" s="2">
        <v>55596.800000000003</v>
      </c>
      <c r="L481" s="2">
        <v>43867.44</v>
      </c>
      <c r="M481" s="2">
        <v>11729.36</v>
      </c>
      <c r="N481" s="6" t="s">
        <v>58</v>
      </c>
      <c r="O481" s="6" t="s">
        <v>45</v>
      </c>
    </row>
    <row r="482" spans="1:15" x14ac:dyDescent="0.3">
      <c r="A482" s="2" t="s">
        <v>714</v>
      </c>
      <c r="B482" s="5">
        <v>45800</v>
      </c>
      <c r="C482" s="6" t="s">
        <v>37</v>
      </c>
      <c r="D482" s="6" t="s">
        <v>68</v>
      </c>
      <c r="E482" s="6" t="s">
        <v>56</v>
      </c>
      <c r="F482" s="6" t="s">
        <v>43</v>
      </c>
      <c r="G482" s="6" t="s">
        <v>75</v>
      </c>
      <c r="H482" s="2">
        <v>1</v>
      </c>
      <c r="I482" s="2">
        <v>34683.440000000002</v>
      </c>
      <c r="J482" s="2">
        <v>0</v>
      </c>
      <c r="K482" s="2">
        <v>34683.440000000002</v>
      </c>
      <c r="L482" s="2">
        <v>22856.9</v>
      </c>
      <c r="M482" s="2">
        <v>11826.54</v>
      </c>
      <c r="N482" s="6" t="s">
        <v>21</v>
      </c>
      <c r="O482" s="6" t="s">
        <v>59</v>
      </c>
    </row>
    <row r="483" spans="1:15" x14ac:dyDescent="0.3">
      <c r="A483" s="2" t="s">
        <v>1167</v>
      </c>
      <c r="B483" s="5">
        <v>45876</v>
      </c>
      <c r="C483" s="6" t="s">
        <v>37</v>
      </c>
      <c r="D483" s="6" t="s">
        <v>42</v>
      </c>
      <c r="E483" s="6" t="s">
        <v>18</v>
      </c>
      <c r="F483" s="6" t="s">
        <v>27</v>
      </c>
      <c r="G483" s="6" t="s">
        <v>28</v>
      </c>
      <c r="H483" s="2">
        <v>3</v>
      </c>
      <c r="I483" s="2">
        <v>26441.62</v>
      </c>
      <c r="J483" s="2">
        <v>0.1</v>
      </c>
      <c r="K483" s="2">
        <v>71392.38</v>
      </c>
      <c r="L483" s="2">
        <v>59560.59</v>
      </c>
      <c r="M483" s="2">
        <v>11831.79</v>
      </c>
      <c r="N483" s="6" t="s">
        <v>21</v>
      </c>
      <c r="O483" s="6" t="s">
        <v>30</v>
      </c>
    </row>
    <row r="484" spans="1:15" x14ac:dyDescent="0.3">
      <c r="A484" s="2" t="s">
        <v>296</v>
      </c>
      <c r="B484" s="5">
        <v>45727</v>
      </c>
      <c r="C484" s="6" t="s">
        <v>37</v>
      </c>
      <c r="D484" s="6" t="s">
        <v>38</v>
      </c>
      <c r="E484" s="6" t="s">
        <v>49</v>
      </c>
      <c r="F484" s="6" t="s">
        <v>19</v>
      </c>
      <c r="G484" s="6" t="s">
        <v>61</v>
      </c>
      <c r="H484" s="2">
        <v>8</v>
      </c>
      <c r="I484" s="2">
        <v>8814.5400000000009</v>
      </c>
      <c r="J484" s="2">
        <v>0.05</v>
      </c>
      <c r="K484" s="2">
        <v>66990.490000000005</v>
      </c>
      <c r="L484" s="2">
        <v>55116.39</v>
      </c>
      <c r="M484" s="2">
        <v>11874.1</v>
      </c>
      <c r="N484" s="6" t="s">
        <v>21</v>
      </c>
      <c r="O484" s="6" t="s">
        <v>45</v>
      </c>
    </row>
    <row r="485" spans="1:15" x14ac:dyDescent="0.3">
      <c r="A485" s="2" t="s">
        <v>1086</v>
      </c>
      <c r="B485" s="5">
        <v>45672</v>
      </c>
      <c r="C485" s="6" t="s">
        <v>37</v>
      </c>
      <c r="D485" s="6" t="s">
        <v>25</v>
      </c>
      <c r="E485" s="6" t="s">
        <v>69</v>
      </c>
      <c r="F485" s="6" t="s">
        <v>19</v>
      </c>
      <c r="G485" s="6" t="s">
        <v>106</v>
      </c>
      <c r="H485" s="2">
        <v>3</v>
      </c>
      <c r="I485" s="2">
        <v>14615.68</v>
      </c>
      <c r="J485" s="2">
        <v>0</v>
      </c>
      <c r="K485" s="2">
        <v>43847.05</v>
      </c>
      <c r="L485" s="2">
        <v>31960.15</v>
      </c>
      <c r="M485" s="2">
        <v>11886.9</v>
      </c>
      <c r="N485" s="6" t="s">
        <v>29</v>
      </c>
      <c r="O485" s="6" t="s">
        <v>59</v>
      </c>
    </row>
    <row r="486" spans="1:15" x14ac:dyDescent="0.3">
      <c r="A486" s="2" t="s">
        <v>1348</v>
      </c>
      <c r="B486" s="5">
        <v>45755</v>
      </c>
      <c r="C486" s="6" t="s">
        <v>54</v>
      </c>
      <c r="D486" s="6" t="s">
        <v>48</v>
      </c>
      <c r="E486" s="6" t="s">
        <v>18</v>
      </c>
      <c r="F486" s="6" t="s">
        <v>19</v>
      </c>
      <c r="G486" s="6" t="s">
        <v>61</v>
      </c>
      <c r="H486" s="2">
        <v>5</v>
      </c>
      <c r="I486" s="2">
        <v>9647.27</v>
      </c>
      <c r="J486" s="2">
        <v>0.15</v>
      </c>
      <c r="K486" s="2">
        <v>41000.910000000003</v>
      </c>
      <c r="L486" s="2">
        <v>29113.02</v>
      </c>
      <c r="M486" s="2">
        <v>11887.89</v>
      </c>
      <c r="N486" s="6" t="s">
        <v>21</v>
      </c>
      <c r="O486" s="6" t="s">
        <v>22</v>
      </c>
    </row>
    <row r="487" spans="1:15" x14ac:dyDescent="0.3">
      <c r="A487" s="2" t="s">
        <v>461</v>
      </c>
      <c r="B487" s="5">
        <v>45788</v>
      </c>
      <c r="C487" s="6" t="s">
        <v>37</v>
      </c>
      <c r="D487" s="6" t="s">
        <v>42</v>
      </c>
      <c r="E487" s="6" t="s">
        <v>56</v>
      </c>
      <c r="F487" s="6" t="s">
        <v>43</v>
      </c>
      <c r="G487" s="6" t="s">
        <v>44</v>
      </c>
      <c r="H487" s="2">
        <v>7</v>
      </c>
      <c r="I487" s="2">
        <v>12649.26</v>
      </c>
      <c r="J487" s="2">
        <v>0.1</v>
      </c>
      <c r="K487" s="2">
        <v>79690.320000000007</v>
      </c>
      <c r="L487" s="2">
        <v>67786.25</v>
      </c>
      <c r="M487" s="2">
        <v>11904.07</v>
      </c>
      <c r="N487" s="6" t="s">
        <v>29</v>
      </c>
      <c r="O487" s="6" t="s">
        <v>59</v>
      </c>
    </row>
    <row r="488" spans="1:15" x14ac:dyDescent="0.3">
      <c r="A488" s="2" t="s">
        <v>182</v>
      </c>
      <c r="B488" s="5">
        <v>45726</v>
      </c>
      <c r="C488" s="6" t="s">
        <v>16</v>
      </c>
      <c r="D488" s="6" t="s">
        <v>82</v>
      </c>
      <c r="E488" s="6" t="s">
        <v>49</v>
      </c>
      <c r="F488" s="6" t="s">
        <v>19</v>
      </c>
      <c r="G488" s="6" t="s">
        <v>106</v>
      </c>
      <c r="H488" s="2">
        <v>6</v>
      </c>
      <c r="I488" s="2">
        <v>13946.35</v>
      </c>
      <c r="J488" s="2">
        <v>0.08</v>
      </c>
      <c r="K488" s="2">
        <v>76983.87</v>
      </c>
      <c r="L488" s="2">
        <v>65038.99</v>
      </c>
      <c r="M488" s="2">
        <v>11944.88</v>
      </c>
      <c r="N488" s="6" t="s">
        <v>29</v>
      </c>
      <c r="O488" s="6" t="s">
        <v>59</v>
      </c>
    </row>
    <row r="489" spans="1:15" x14ac:dyDescent="0.3">
      <c r="A489" s="2" t="s">
        <v>1296</v>
      </c>
      <c r="B489" s="5">
        <v>45808</v>
      </c>
      <c r="C489" s="6" t="s">
        <v>37</v>
      </c>
      <c r="D489" s="6" t="s">
        <v>68</v>
      </c>
      <c r="E489" s="6" t="s">
        <v>18</v>
      </c>
      <c r="F489" s="6" t="s">
        <v>27</v>
      </c>
      <c r="G489" s="6" t="s">
        <v>125</v>
      </c>
      <c r="H489" s="2">
        <v>4</v>
      </c>
      <c r="I489" s="2">
        <v>8786.1299999999992</v>
      </c>
      <c r="J489" s="2">
        <v>0.08</v>
      </c>
      <c r="K489" s="2">
        <v>32332.95</v>
      </c>
      <c r="L489" s="2">
        <v>20387.64</v>
      </c>
      <c r="M489" s="2">
        <v>11945.31</v>
      </c>
      <c r="N489" s="6" t="s">
        <v>21</v>
      </c>
      <c r="O489" s="6" t="s">
        <v>30</v>
      </c>
    </row>
    <row r="490" spans="1:15" x14ac:dyDescent="0.3">
      <c r="A490" s="2" t="s">
        <v>153</v>
      </c>
      <c r="B490" s="5">
        <v>45658</v>
      </c>
      <c r="C490" s="6" t="s">
        <v>37</v>
      </c>
      <c r="D490" s="6" t="s">
        <v>42</v>
      </c>
      <c r="E490" s="6" t="s">
        <v>65</v>
      </c>
      <c r="F490" s="6" t="s">
        <v>34</v>
      </c>
      <c r="G490" s="6" t="s">
        <v>35</v>
      </c>
      <c r="H490" s="2">
        <v>3</v>
      </c>
      <c r="I490" s="2">
        <v>17134.580000000002</v>
      </c>
      <c r="J490" s="2">
        <v>0.08</v>
      </c>
      <c r="K490" s="2">
        <v>47291.44</v>
      </c>
      <c r="L490" s="2">
        <v>35334.35</v>
      </c>
      <c r="M490" s="2">
        <v>11957.09</v>
      </c>
      <c r="N490" s="6" t="s">
        <v>29</v>
      </c>
      <c r="O490" s="6" t="s">
        <v>45</v>
      </c>
    </row>
    <row r="491" spans="1:15" x14ac:dyDescent="0.3">
      <c r="A491" s="2" t="s">
        <v>1203</v>
      </c>
      <c r="B491" s="5">
        <v>45953</v>
      </c>
      <c r="C491" s="6" t="s">
        <v>37</v>
      </c>
      <c r="D491" s="6" t="s">
        <v>42</v>
      </c>
      <c r="E491" s="6" t="s">
        <v>69</v>
      </c>
      <c r="F491" s="6" t="s">
        <v>19</v>
      </c>
      <c r="G491" s="6" t="s">
        <v>108</v>
      </c>
      <c r="H491" s="2">
        <v>4</v>
      </c>
      <c r="I491" s="2">
        <v>14561.65</v>
      </c>
      <c r="J491" s="2">
        <v>0.08</v>
      </c>
      <c r="K491" s="2">
        <v>53586.87</v>
      </c>
      <c r="L491" s="2">
        <v>41618.9</v>
      </c>
      <c r="M491" s="2">
        <v>11967.97</v>
      </c>
      <c r="N491" s="6" t="s">
        <v>21</v>
      </c>
      <c r="O491" s="6" t="s">
        <v>40</v>
      </c>
    </row>
    <row r="492" spans="1:15" x14ac:dyDescent="0.3">
      <c r="A492" s="2" t="s">
        <v>123</v>
      </c>
      <c r="B492" s="5">
        <v>45662</v>
      </c>
      <c r="C492" s="6" t="s">
        <v>54</v>
      </c>
      <c r="D492" s="6" t="s">
        <v>124</v>
      </c>
      <c r="E492" s="6" t="s">
        <v>65</v>
      </c>
      <c r="F492" s="6" t="s">
        <v>27</v>
      </c>
      <c r="G492" s="6" t="s">
        <v>125</v>
      </c>
      <c r="H492" s="2">
        <v>8</v>
      </c>
      <c r="I492" s="2">
        <v>7918.96</v>
      </c>
      <c r="J492" s="2">
        <v>0.1</v>
      </c>
      <c r="K492" s="2">
        <v>57016.5</v>
      </c>
      <c r="L492" s="2">
        <v>45014.42</v>
      </c>
      <c r="M492" s="2">
        <v>12002.08</v>
      </c>
      <c r="N492" s="6" t="s">
        <v>29</v>
      </c>
      <c r="O492" s="6" t="s">
        <v>22</v>
      </c>
    </row>
    <row r="493" spans="1:15" x14ac:dyDescent="0.3">
      <c r="A493" s="2" t="s">
        <v>144</v>
      </c>
      <c r="B493" s="5">
        <v>45718</v>
      </c>
      <c r="C493" s="6" t="s">
        <v>63</v>
      </c>
      <c r="D493" s="6" t="s">
        <v>95</v>
      </c>
      <c r="E493" s="6" t="s">
        <v>33</v>
      </c>
      <c r="F493" s="6" t="s">
        <v>19</v>
      </c>
      <c r="G493" s="6" t="s">
        <v>108</v>
      </c>
      <c r="H493" s="2">
        <v>6</v>
      </c>
      <c r="I493" s="2">
        <v>13996.22</v>
      </c>
      <c r="J493" s="2">
        <v>0.1</v>
      </c>
      <c r="K493" s="2">
        <v>75579.600000000006</v>
      </c>
      <c r="L493" s="2">
        <v>63563.15</v>
      </c>
      <c r="M493" s="2">
        <v>12016.45</v>
      </c>
      <c r="N493" s="6" t="s">
        <v>21</v>
      </c>
      <c r="O493" s="6" t="s">
        <v>40</v>
      </c>
    </row>
    <row r="494" spans="1:15" x14ac:dyDescent="0.3">
      <c r="A494" s="2" t="s">
        <v>555</v>
      </c>
      <c r="B494" s="5">
        <v>45928</v>
      </c>
      <c r="C494" s="6" t="s">
        <v>54</v>
      </c>
      <c r="D494" s="6" t="s">
        <v>174</v>
      </c>
      <c r="E494" s="6" t="s">
        <v>18</v>
      </c>
      <c r="F494" s="6" t="s">
        <v>27</v>
      </c>
      <c r="G494" s="6" t="s">
        <v>125</v>
      </c>
      <c r="H494" s="2">
        <v>4</v>
      </c>
      <c r="I494" s="2">
        <v>8927.57</v>
      </c>
      <c r="J494" s="2">
        <v>0.03</v>
      </c>
      <c r="K494" s="2">
        <v>34638.959999999999</v>
      </c>
      <c r="L494" s="2">
        <v>22575.01</v>
      </c>
      <c r="M494" s="2">
        <v>12063.95</v>
      </c>
      <c r="N494" s="6" t="s">
        <v>29</v>
      </c>
      <c r="O494" s="6" t="s">
        <v>45</v>
      </c>
    </row>
    <row r="495" spans="1:15" x14ac:dyDescent="0.3">
      <c r="A495" s="2" t="s">
        <v>997</v>
      </c>
      <c r="B495" s="5">
        <v>45702</v>
      </c>
      <c r="C495" s="6" t="s">
        <v>37</v>
      </c>
      <c r="D495" s="6" t="s">
        <v>42</v>
      </c>
      <c r="E495" s="6" t="s">
        <v>74</v>
      </c>
      <c r="F495" s="6" t="s">
        <v>43</v>
      </c>
      <c r="G495" s="6" t="s">
        <v>121</v>
      </c>
      <c r="H495" s="2">
        <v>8</v>
      </c>
      <c r="I495" s="2">
        <v>5245.77</v>
      </c>
      <c r="J495" s="2">
        <v>0.05</v>
      </c>
      <c r="K495" s="2">
        <v>39867.839999999997</v>
      </c>
      <c r="L495" s="2">
        <v>27751.22</v>
      </c>
      <c r="M495" s="2">
        <v>12116.62</v>
      </c>
      <c r="N495" s="6" t="s">
        <v>58</v>
      </c>
      <c r="O495" s="6" t="s">
        <v>45</v>
      </c>
    </row>
    <row r="496" spans="1:15" x14ac:dyDescent="0.3">
      <c r="A496" s="2" t="s">
        <v>500</v>
      </c>
      <c r="B496" s="5">
        <v>45701</v>
      </c>
      <c r="C496" s="6" t="s">
        <v>16</v>
      </c>
      <c r="D496" s="6" t="s">
        <v>52</v>
      </c>
      <c r="E496" s="6" t="s">
        <v>69</v>
      </c>
      <c r="F496" s="6" t="s">
        <v>19</v>
      </c>
      <c r="G496" s="6" t="s">
        <v>61</v>
      </c>
      <c r="H496" s="2">
        <v>4</v>
      </c>
      <c r="I496" s="2">
        <v>9089.5499999999993</v>
      </c>
      <c r="J496" s="2">
        <v>0.08</v>
      </c>
      <c r="K496" s="2">
        <v>33449.550000000003</v>
      </c>
      <c r="L496" s="2">
        <v>21288.23</v>
      </c>
      <c r="M496" s="2">
        <v>12161.32</v>
      </c>
      <c r="N496" s="6" t="s">
        <v>21</v>
      </c>
      <c r="O496" s="6" t="s">
        <v>22</v>
      </c>
    </row>
    <row r="497" spans="1:15" x14ac:dyDescent="0.3">
      <c r="A497" s="2" t="s">
        <v>1053</v>
      </c>
      <c r="B497" s="5">
        <v>45882</v>
      </c>
      <c r="C497" s="6" t="s">
        <v>37</v>
      </c>
      <c r="D497" s="6" t="s">
        <v>68</v>
      </c>
      <c r="E497" s="6" t="s">
        <v>49</v>
      </c>
      <c r="F497" s="6" t="s">
        <v>19</v>
      </c>
      <c r="G497" s="6" t="s">
        <v>61</v>
      </c>
      <c r="H497" s="2">
        <v>6</v>
      </c>
      <c r="I497" s="2">
        <v>9427.6</v>
      </c>
      <c r="J497" s="2">
        <v>0</v>
      </c>
      <c r="K497" s="2">
        <v>56565.63</v>
      </c>
      <c r="L497" s="2">
        <v>44391.62</v>
      </c>
      <c r="M497" s="2">
        <v>12174.01</v>
      </c>
      <c r="N497" s="6" t="s">
        <v>21</v>
      </c>
      <c r="O497" s="6" t="s">
        <v>40</v>
      </c>
    </row>
    <row r="498" spans="1:15" x14ac:dyDescent="0.3">
      <c r="A498" s="2" t="s">
        <v>53</v>
      </c>
      <c r="B498" s="5">
        <v>45918</v>
      </c>
      <c r="C498" s="6" t="s">
        <v>54</v>
      </c>
      <c r="D498" s="6" t="s">
        <v>55</v>
      </c>
      <c r="E498" s="6" t="s">
        <v>56</v>
      </c>
      <c r="F498" s="6" t="s">
        <v>34</v>
      </c>
      <c r="G498" s="6" t="s">
        <v>57</v>
      </c>
      <c r="H498" s="2">
        <v>3</v>
      </c>
      <c r="I498" s="2">
        <v>22728.14</v>
      </c>
      <c r="J498" s="2">
        <v>0.08</v>
      </c>
      <c r="K498" s="2">
        <v>62729.66</v>
      </c>
      <c r="L498" s="2">
        <v>50503.96</v>
      </c>
      <c r="M498" s="2">
        <v>12225.7</v>
      </c>
      <c r="N498" s="6" t="s">
        <v>58</v>
      </c>
      <c r="O498" s="6" t="s">
        <v>59</v>
      </c>
    </row>
    <row r="499" spans="1:15" x14ac:dyDescent="0.3">
      <c r="A499" s="2" t="s">
        <v>1036</v>
      </c>
      <c r="B499" s="5">
        <v>45676</v>
      </c>
      <c r="C499" s="6" t="s">
        <v>37</v>
      </c>
      <c r="D499" s="6" t="s">
        <v>25</v>
      </c>
      <c r="E499" s="6" t="s">
        <v>26</v>
      </c>
      <c r="F499" s="6" t="s">
        <v>19</v>
      </c>
      <c r="G499" s="6" t="s">
        <v>61</v>
      </c>
      <c r="H499" s="2">
        <v>6</v>
      </c>
      <c r="I499" s="2">
        <v>9515.36</v>
      </c>
      <c r="J499" s="2">
        <v>0.03</v>
      </c>
      <c r="K499" s="2">
        <v>55379.4</v>
      </c>
      <c r="L499" s="2">
        <v>43092.11</v>
      </c>
      <c r="M499" s="2">
        <v>12287.29</v>
      </c>
      <c r="N499" s="6" t="s">
        <v>29</v>
      </c>
      <c r="O499" s="6" t="s">
        <v>45</v>
      </c>
    </row>
    <row r="500" spans="1:15" x14ac:dyDescent="0.3">
      <c r="A500" s="2" t="s">
        <v>151</v>
      </c>
      <c r="B500" s="5">
        <v>45992</v>
      </c>
      <c r="C500" s="6" t="s">
        <v>54</v>
      </c>
      <c r="D500" s="6" t="s">
        <v>55</v>
      </c>
      <c r="E500" s="6" t="s">
        <v>18</v>
      </c>
      <c r="F500" s="6" t="s">
        <v>19</v>
      </c>
      <c r="G500" s="6" t="s">
        <v>108</v>
      </c>
      <c r="H500" s="2">
        <v>6</v>
      </c>
      <c r="I500" s="2">
        <v>14210.13</v>
      </c>
      <c r="J500" s="2">
        <v>0.08</v>
      </c>
      <c r="K500" s="2">
        <v>78439.92</v>
      </c>
      <c r="L500" s="2">
        <v>66128.789999999994</v>
      </c>
      <c r="M500" s="2">
        <v>12311.13</v>
      </c>
      <c r="N500" s="6" t="s">
        <v>29</v>
      </c>
      <c r="O500" s="6" t="s">
        <v>59</v>
      </c>
    </row>
    <row r="501" spans="1:15" x14ac:dyDescent="0.3">
      <c r="A501" s="2" t="s">
        <v>941</v>
      </c>
      <c r="B501" s="5">
        <v>45678</v>
      </c>
      <c r="C501" s="6" t="s">
        <v>16</v>
      </c>
      <c r="D501" s="6" t="s">
        <v>32</v>
      </c>
      <c r="E501" s="6" t="s">
        <v>69</v>
      </c>
      <c r="F501" s="6" t="s">
        <v>43</v>
      </c>
      <c r="G501" s="6" t="s">
        <v>44</v>
      </c>
      <c r="H501" s="2">
        <v>4</v>
      </c>
      <c r="I501" s="2">
        <v>12761.29</v>
      </c>
      <c r="J501" s="2">
        <v>0.15</v>
      </c>
      <c r="K501" s="2">
        <v>43388.38</v>
      </c>
      <c r="L501" s="2">
        <v>31056.81</v>
      </c>
      <c r="M501" s="2">
        <v>12331.57</v>
      </c>
      <c r="N501" s="6" t="s">
        <v>58</v>
      </c>
      <c r="O501" s="6" t="s">
        <v>59</v>
      </c>
    </row>
    <row r="502" spans="1:15" x14ac:dyDescent="0.3">
      <c r="A502" s="2" t="s">
        <v>922</v>
      </c>
      <c r="B502" s="5">
        <v>45676</v>
      </c>
      <c r="C502" s="6" t="s">
        <v>37</v>
      </c>
      <c r="D502" s="6" t="s">
        <v>68</v>
      </c>
      <c r="E502" s="6" t="s">
        <v>18</v>
      </c>
      <c r="F502" s="6" t="s">
        <v>34</v>
      </c>
      <c r="G502" s="6" t="s">
        <v>39</v>
      </c>
      <c r="H502" s="2">
        <v>2</v>
      </c>
      <c r="I502" s="2">
        <v>29644.29</v>
      </c>
      <c r="J502" s="2">
        <v>0.15</v>
      </c>
      <c r="K502" s="2">
        <v>50395.29</v>
      </c>
      <c r="L502" s="2">
        <v>37946.339999999997</v>
      </c>
      <c r="M502" s="2">
        <v>12448.95</v>
      </c>
      <c r="N502" s="6" t="s">
        <v>21</v>
      </c>
      <c r="O502" s="6" t="s">
        <v>45</v>
      </c>
    </row>
    <row r="503" spans="1:15" x14ac:dyDescent="0.3">
      <c r="A503" s="2" t="s">
        <v>842</v>
      </c>
      <c r="B503" s="5">
        <v>45912</v>
      </c>
      <c r="C503" s="6" t="s">
        <v>63</v>
      </c>
      <c r="D503" s="6" t="s">
        <v>64</v>
      </c>
      <c r="E503" s="6" t="s">
        <v>74</v>
      </c>
      <c r="F503" s="6" t="s">
        <v>27</v>
      </c>
      <c r="G503" s="6" t="s">
        <v>66</v>
      </c>
      <c r="H503" s="2">
        <v>6</v>
      </c>
      <c r="I503" s="2">
        <v>10823.51</v>
      </c>
      <c r="J503" s="2">
        <v>0.15</v>
      </c>
      <c r="K503" s="2">
        <v>55199.88</v>
      </c>
      <c r="L503" s="2">
        <v>42730.58</v>
      </c>
      <c r="M503" s="2">
        <v>12469.3</v>
      </c>
      <c r="N503" s="6" t="s">
        <v>29</v>
      </c>
      <c r="O503" s="6" t="s">
        <v>30</v>
      </c>
    </row>
    <row r="504" spans="1:15" x14ac:dyDescent="0.3">
      <c r="A504" s="2" t="s">
        <v>780</v>
      </c>
      <c r="B504" s="5">
        <v>45956</v>
      </c>
      <c r="C504" s="6" t="s">
        <v>16</v>
      </c>
      <c r="D504" s="6" t="s">
        <v>32</v>
      </c>
      <c r="E504" s="6" t="s">
        <v>65</v>
      </c>
      <c r="F504" s="6" t="s">
        <v>43</v>
      </c>
      <c r="G504" s="6" t="s">
        <v>121</v>
      </c>
      <c r="H504" s="2">
        <v>8</v>
      </c>
      <c r="I504" s="2">
        <v>4642.96</v>
      </c>
      <c r="J504" s="2">
        <v>0</v>
      </c>
      <c r="K504" s="2">
        <v>37143.660000000003</v>
      </c>
      <c r="L504" s="2">
        <v>24577.26</v>
      </c>
      <c r="M504" s="2">
        <v>12566.4</v>
      </c>
      <c r="N504" s="6" t="s">
        <v>21</v>
      </c>
      <c r="O504" s="6" t="s">
        <v>22</v>
      </c>
    </row>
    <row r="505" spans="1:15" x14ac:dyDescent="0.3">
      <c r="A505" s="2" t="s">
        <v>873</v>
      </c>
      <c r="B505" s="5">
        <v>45731</v>
      </c>
      <c r="C505" s="6" t="s">
        <v>1356</v>
      </c>
      <c r="D505" s="6" t="s">
        <v>32</v>
      </c>
      <c r="E505" s="6" t="s">
        <v>33</v>
      </c>
      <c r="F505" s="6" t="s">
        <v>34</v>
      </c>
      <c r="G505" s="6" t="s">
        <v>35</v>
      </c>
      <c r="H505" s="2">
        <v>5</v>
      </c>
      <c r="I505" s="2">
        <v>17827.84</v>
      </c>
      <c r="J505" s="2">
        <v>0.1</v>
      </c>
      <c r="K505" s="2">
        <v>80225.27</v>
      </c>
      <c r="L505" s="2">
        <v>67634.539999999994</v>
      </c>
      <c r="M505" s="2">
        <v>12590.73</v>
      </c>
      <c r="N505" s="6" t="s">
        <v>21</v>
      </c>
      <c r="O505" s="6" t="s">
        <v>30</v>
      </c>
    </row>
    <row r="506" spans="1:15" x14ac:dyDescent="0.3">
      <c r="A506" s="2" t="s">
        <v>301</v>
      </c>
      <c r="B506" s="5">
        <v>45723</v>
      </c>
      <c r="C506" s="6" t="s">
        <v>16</v>
      </c>
      <c r="D506" s="6" t="s">
        <v>52</v>
      </c>
      <c r="E506" s="6" t="s">
        <v>74</v>
      </c>
      <c r="F506" s="6" t="s">
        <v>43</v>
      </c>
      <c r="G506" s="6" t="s">
        <v>84</v>
      </c>
      <c r="H506" s="2">
        <v>2</v>
      </c>
      <c r="I506" s="2">
        <v>39754</v>
      </c>
      <c r="J506" s="2">
        <v>0.1</v>
      </c>
      <c r="K506" s="2">
        <v>71557.210000000006</v>
      </c>
      <c r="L506" s="2">
        <v>58962.720000000001</v>
      </c>
      <c r="M506" s="2">
        <v>12594.49</v>
      </c>
      <c r="N506" s="6" t="s">
        <v>21</v>
      </c>
      <c r="O506" s="6" t="s">
        <v>22</v>
      </c>
    </row>
    <row r="507" spans="1:15" x14ac:dyDescent="0.3">
      <c r="A507" s="2" t="s">
        <v>212</v>
      </c>
      <c r="B507" s="5">
        <v>46006</v>
      </c>
      <c r="C507" s="6" t="s">
        <v>54</v>
      </c>
      <c r="D507" s="6" t="s">
        <v>48</v>
      </c>
      <c r="E507" s="6" t="s">
        <v>56</v>
      </c>
      <c r="F507" s="6" t="s">
        <v>27</v>
      </c>
      <c r="G507" s="6" t="s">
        <v>125</v>
      </c>
      <c r="H507" s="2">
        <v>8</v>
      </c>
      <c r="I507" s="2">
        <v>8868.4500000000007</v>
      </c>
      <c r="J507" s="2">
        <v>0.1</v>
      </c>
      <c r="K507" s="2">
        <v>63852.87</v>
      </c>
      <c r="L507" s="2">
        <v>51251.24</v>
      </c>
      <c r="M507" s="2">
        <v>12601.63</v>
      </c>
      <c r="N507" s="6" t="s">
        <v>21</v>
      </c>
      <c r="O507" s="6" t="s">
        <v>45</v>
      </c>
    </row>
    <row r="508" spans="1:15" x14ac:dyDescent="0.3">
      <c r="A508" s="2" t="s">
        <v>671</v>
      </c>
      <c r="B508" s="5">
        <v>45766</v>
      </c>
      <c r="C508" s="6" t="s">
        <v>54</v>
      </c>
      <c r="D508" s="6" t="s">
        <v>55</v>
      </c>
      <c r="E508" s="6" t="s">
        <v>49</v>
      </c>
      <c r="F508" s="6" t="s">
        <v>19</v>
      </c>
      <c r="G508" s="6" t="s">
        <v>106</v>
      </c>
      <c r="H508" s="2">
        <v>3</v>
      </c>
      <c r="I508" s="2">
        <v>13637.08</v>
      </c>
      <c r="J508" s="2">
        <v>0.08</v>
      </c>
      <c r="K508" s="2">
        <v>37638.339999999997</v>
      </c>
      <c r="L508" s="2">
        <v>25029.54</v>
      </c>
      <c r="M508" s="2">
        <v>12608.8</v>
      </c>
      <c r="N508" s="6" t="s">
        <v>29</v>
      </c>
      <c r="O508" s="6" t="s">
        <v>22</v>
      </c>
    </row>
    <row r="509" spans="1:15" x14ac:dyDescent="0.3">
      <c r="A509" s="2" t="s">
        <v>916</v>
      </c>
      <c r="B509" s="5">
        <v>45865</v>
      </c>
      <c r="C509" s="6" t="s">
        <v>63</v>
      </c>
      <c r="D509" s="6" t="s">
        <v>95</v>
      </c>
      <c r="E509" s="6" t="s">
        <v>69</v>
      </c>
      <c r="F509" s="6" t="s">
        <v>27</v>
      </c>
      <c r="G509" s="6" t="s">
        <v>125</v>
      </c>
      <c r="H509" s="2">
        <v>5</v>
      </c>
      <c r="I509" s="2">
        <v>8500.49</v>
      </c>
      <c r="J509" s="2">
        <v>0.05</v>
      </c>
      <c r="K509" s="2">
        <v>40377.32</v>
      </c>
      <c r="L509" s="2">
        <v>27722.36</v>
      </c>
      <c r="M509" s="2">
        <v>12654.96</v>
      </c>
      <c r="N509" s="6" t="s">
        <v>58</v>
      </c>
      <c r="O509" s="6" t="s">
        <v>59</v>
      </c>
    </row>
    <row r="510" spans="1:15" x14ac:dyDescent="0.3">
      <c r="A510" s="2" t="s">
        <v>458</v>
      </c>
      <c r="B510" s="5">
        <v>45973</v>
      </c>
      <c r="C510" s="6" t="s">
        <v>54</v>
      </c>
      <c r="D510" s="6" t="s">
        <v>174</v>
      </c>
      <c r="E510" s="6" t="s">
        <v>18</v>
      </c>
      <c r="F510" s="6" t="s">
        <v>27</v>
      </c>
      <c r="G510" s="6" t="s">
        <v>66</v>
      </c>
      <c r="H510" s="2">
        <v>5</v>
      </c>
      <c r="I510" s="2">
        <v>11231.69</v>
      </c>
      <c r="J510" s="2">
        <v>0</v>
      </c>
      <c r="K510" s="2">
        <v>56158.46</v>
      </c>
      <c r="L510" s="2">
        <v>43501.56</v>
      </c>
      <c r="M510" s="2">
        <v>12656.9</v>
      </c>
      <c r="N510" s="6" t="s">
        <v>29</v>
      </c>
      <c r="O510" s="6" t="s">
        <v>59</v>
      </c>
    </row>
    <row r="511" spans="1:15" x14ac:dyDescent="0.3">
      <c r="A511" s="2" t="s">
        <v>657</v>
      </c>
      <c r="B511" s="5">
        <v>45825</v>
      </c>
      <c r="C511" s="6" t="s">
        <v>63</v>
      </c>
      <c r="D511" s="6" t="s">
        <v>95</v>
      </c>
      <c r="E511" s="6" t="s">
        <v>49</v>
      </c>
      <c r="F511" s="6" t="s">
        <v>43</v>
      </c>
      <c r="G511" s="6" t="s">
        <v>75</v>
      </c>
      <c r="H511" s="2">
        <v>1</v>
      </c>
      <c r="I511" s="2">
        <v>37104.31</v>
      </c>
      <c r="J511" s="2">
        <v>0.08</v>
      </c>
      <c r="K511" s="2">
        <v>34135.96</v>
      </c>
      <c r="L511" s="2">
        <v>21478.9</v>
      </c>
      <c r="M511" s="2">
        <v>12657.06</v>
      </c>
      <c r="N511" s="6" t="s">
        <v>21</v>
      </c>
      <c r="O511" s="6" t="s">
        <v>22</v>
      </c>
    </row>
    <row r="512" spans="1:15" x14ac:dyDescent="0.3">
      <c r="A512" s="2" t="s">
        <v>338</v>
      </c>
      <c r="B512" s="5">
        <v>45783</v>
      </c>
      <c r="C512" s="6" t="s">
        <v>16</v>
      </c>
      <c r="D512" s="6" t="s">
        <v>82</v>
      </c>
      <c r="E512" s="6" t="s">
        <v>69</v>
      </c>
      <c r="F512" s="6" t="s">
        <v>34</v>
      </c>
      <c r="G512" s="6" t="s">
        <v>35</v>
      </c>
      <c r="H512" s="2">
        <v>2</v>
      </c>
      <c r="I512" s="2">
        <v>18394.28</v>
      </c>
      <c r="J512" s="2">
        <v>0.05</v>
      </c>
      <c r="K512" s="2">
        <v>34949.129999999997</v>
      </c>
      <c r="L512" s="2">
        <v>22269.96</v>
      </c>
      <c r="M512" s="2">
        <v>12679.17</v>
      </c>
      <c r="N512" s="6" t="s">
        <v>29</v>
      </c>
      <c r="O512" s="6" t="s">
        <v>30</v>
      </c>
    </row>
    <row r="513" spans="1:15" x14ac:dyDescent="0.3">
      <c r="A513" s="2" t="s">
        <v>587</v>
      </c>
      <c r="B513" s="5">
        <v>45663</v>
      </c>
      <c r="C513" s="6" t="s">
        <v>16</v>
      </c>
      <c r="D513" s="6" t="s">
        <v>82</v>
      </c>
      <c r="E513" s="6" t="s">
        <v>69</v>
      </c>
      <c r="F513" s="6" t="s">
        <v>27</v>
      </c>
      <c r="G513" s="6" t="s">
        <v>125</v>
      </c>
      <c r="H513" s="2">
        <v>5</v>
      </c>
      <c r="I513" s="2">
        <v>9004.99</v>
      </c>
      <c r="J513" s="2">
        <v>0.1</v>
      </c>
      <c r="K513" s="2">
        <v>40522.449999999997</v>
      </c>
      <c r="L513" s="2">
        <v>27785.74</v>
      </c>
      <c r="M513" s="2">
        <v>12736.71</v>
      </c>
      <c r="N513" s="6" t="s">
        <v>29</v>
      </c>
      <c r="O513" s="6" t="s">
        <v>45</v>
      </c>
    </row>
    <row r="514" spans="1:15" x14ac:dyDescent="0.3">
      <c r="A514" s="2" t="s">
        <v>1014</v>
      </c>
      <c r="B514" s="5">
        <v>45869</v>
      </c>
      <c r="C514" s="6" t="s">
        <v>16</v>
      </c>
      <c r="D514" s="6" t="s">
        <v>82</v>
      </c>
      <c r="E514" s="6" t="s">
        <v>18</v>
      </c>
      <c r="F514" s="6" t="s">
        <v>34</v>
      </c>
      <c r="G514" s="6" t="s">
        <v>57</v>
      </c>
      <c r="H514" s="2">
        <v>2</v>
      </c>
      <c r="I514" s="2">
        <v>20485.91</v>
      </c>
      <c r="J514" s="2">
        <v>0.08</v>
      </c>
      <c r="K514" s="2">
        <v>37694.080000000002</v>
      </c>
      <c r="L514" s="2">
        <v>24933.759999999998</v>
      </c>
      <c r="M514" s="2">
        <v>12760.32</v>
      </c>
      <c r="N514" s="6" t="s">
        <v>21</v>
      </c>
      <c r="O514" s="6" t="s">
        <v>59</v>
      </c>
    </row>
    <row r="515" spans="1:15" x14ac:dyDescent="0.3">
      <c r="A515" s="2" t="s">
        <v>539</v>
      </c>
      <c r="B515" s="5">
        <v>45794</v>
      </c>
      <c r="C515" s="6" t="s">
        <v>54</v>
      </c>
      <c r="D515" s="6" t="s">
        <v>174</v>
      </c>
      <c r="E515" s="6" t="s">
        <v>69</v>
      </c>
      <c r="F515" s="6" t="s">
        <v>34</v>
      </c>
      <c r="G515" s="6" t="s">
        <v>39</v>
      </c>
      <c r="H515" s="2">
        <v>2</v>
      </c>
      <c r="I515" s="2">
        <v>28118.61</v>
      </c>
      <c r="J515" s="2">
        <v>0.05</v>
      </c>
      <c r="K515" s="2">
        <v>53425.37</v>
      </c>
      <c r="L515" s="2">
        <v>40631.879999999997</v>
      </c>
      <c r="M515" s="2">
        <v>12793.49</v>
      </c>
      <c r="N515" s="6" t="s">
        <v>21</v>
      </c>
      <c r="O515" s="6" t="s">
        <v>22</v>
      </c>
    </row>
    <row r="516" spans="1:15" x14ac:dyDescent="0.3">
      <c r="A516" s="2" t="s">
        <v>322</v>
      </c>
      <c r="B516" s="5">
        <v>45721</v>
      </c>
      <c r="C516" s="6" t="s">
        <v>63</v>
      </c>
      <c r="D516" s="6" t="s">
        <v>117</v>
      </c>
      <c r="E516" s="6" t="s">
        <v>74</v>
      </c>
      <c r="F516" s="6" t="s">
        <v>27</v>
      </c>
      <c r="G516" s="6" t="s">
        <v>125</v>
      </c>
      <c r="H516" s="2">
        <v>6</v>
      </c>
      <c r="I516" s="2">
        <v>8900.6299999999992</v>
      </c>
      <c r="J516" s="2">
        <v>0</v>
      </c>
      <c r="K516" s="2">
        <v>53403.76</v>
      </c>
      <c r="L516" s="2">
        <v>40580.11</v>
      </c>
      <c r="M516" s="2">
        <v>12823.65</v>
      </c>
      <c r="N516" s="6" t="s">
        <v>58</v>
      </c>
      <c r="O516" s="6" t="s">
        <v>45</v>
      </c>
    </row>
    <row r="517" spans="1:15" x14ac:dyDescent="0.3">
      <c r="A517" s="2" t="s">
        <v>943</v>
      </c>
      <c r="B517" s="5">
        <v>45892</v>
      </c>
      <c r="C517" s="6" t="s">
        <v>63</v>
      </c>
      <c r="D517" s="6" t="s">
        <v>64</v>
      </c>
      <c r="E517" s="6" t="s">
        <v>69</v>
      </c>
      <c r="F517" s="6" t="s">
        <v>43</v>
      </c>
      <c r="G517" s="6" t="s">
        <v>84</v>
      </c>
      <c r="H517" s="2">
        <v>1</v>
      </c>
      <c r="I517" s="2">
        <v>40285.06</v>
      </c>
      <c r="J517" s="2">
        <v>0.08</v>
      </c>
      <c r="K517" s="2">
        <v>37062.25</v>
      </c>
      <c r="L517" s="2">
        <v>24057.24</v>
      </c>
      <c r="M517" s="2">
        <v>13005.01</v>
      </c>
      <c r="N517" s="6" t="s">
        <v>29</v>
      </c>
      <c r="O517" s="6" t="s">
        <v>30</v>
      </c>
    </row>
    <row r="518" spans="1:15" x14ac:dyDescent="0.3">
      <c r="A518" s="2" t="s">
        <v>754</v>
      </c>
      <c r="B518" s="5">
        <v>45988</v>
      </c>
      <c r="C518" s="6" t="s">
        <v>16</v>
      </c>
      <c r="D518" s="6" t="s">
        <v>52</v>
      </c>
      <c r="E518" s="6" t="s">
        <v>49</v>
      </c>
      <c r="F518" s="6" t="s">
        <v>34</v>
      </c>
      <c r="G518" s="6" t="s">
        <v>35</v>
      </c>
      <c r="H518" s="2">
        <v>4</v>
      </c>
      <c r="I518" s="2">
        <v>18574.23</v>
      </c>
      <c r="J518" s="2">
        <v>0</v>
      </c>
      <c r="K518" s="2">
        <v>74296.91</v>
      </c>
      <c r="L518" s="2">
        <v>61211.1</v>
      </c>
      <c r="M518" s="2">
        <v>13085.81</v>
      </c>
      <c r="N518" s="6" t="s">
        <v>29</v>
      </c>
      <c r="O518" s="6" t="s">
        <v>59</v>
      </c>
    </row>
    <row r="519" spans="1:15" x14ac:dyDescent="0.3">
      <c r="A519" s="2" t="s">
        <v>197</v>
      </c>
      <c r="B519" s="5">
        <v>45835</v>
      </c>
      <c r="C519" s="6" t="s">
        <v>37</v>
      </c>
      <c r="D519" s="6" t="s">
        <v>38</v>
      </c>
      <c r="E519" s="6" t="s">
        <v>18</v>
      </c>
      <c r="F519" s="6" t="s">
        <v>27</v>
      </c>
      <c r="G519" s="6" t="s">
        <v>66</v>
      </c>
      <c r="H519" s="2">
        <v>4</v>
      </c>
      <c r="I519" s="2">
        <v>11871.04</v>
      </c>
      <c r="J519" s="2">
        <v>0.03</v>
      </c>
      <c r="K519" s="2">
        <v>46059.63</v>
      </c>
      <c r="L519" s="2">
        <v>32937.15</v>
      </c>
      <c r="M519" s="2">
        <v>13122.48</v>
      </c>
      <c r="N519" s="6" t="s">
        <v>29</v>
      </c>
      <c r="O519" s="6" t="s">
        <v>30</v>
      </c>
    </row>
    <row r="520" spans="1:15" x14ac:dyDescent="0.3">
      <c r="A520" s="2" t="s">
        <v>352</v>
      </c>
      <c r="B520" s="5">
        <v>45955</v>
      </c>
      <c r="C520" s="6" t="s">
        <v>16</v>
      </c>
      <c r="D520" s="6" t="s">
        <v>17</v>
      </c>
      <c r="E520" s="6" t="s">
        <v>18</v>
      </c>
      <c r="F520" s="6" t="s">
        <v>19</v>
      </c>
      <c r="G520" s="6" t="s">
        <v>61</v>
      </c>
      <c r="H520" s="2">
        <v>8</v>
      </c>
      <c r="I520" s="2">
        <v>9618.1299999999992</v>
      </c>
      <c r="J520" s="2">
        <v>0</v>
      </c>
      <c r="K520" s="2">
        <v>76945.05</v>
      </c>
      <c r="L520" s="2">
        <v>63809.88</v>
      </c>
      <c r="M520" s="2">
        <v>13135.17</v>
      </c>
      <c r="N520" s="6" t="s">
        <v>29</v>
      </c>
      <c r="O520" s="6" t="s">
        <v>45</v>
      </c>
    </row>
    <row r="521" spans="1:15" x14ac:dyDescent="0.3">
      <c r="A521" s="2" t="s">
        <v>883</v>
      </c>
      <c r="B521" s="5">
        <v>45949</v>
      </c>
      <c r="C521" s="6" t="s">
        <v>16</v>
      </c>
      <c r="D521" s="6" t="s">
        <v>52</v>
      </c>
      <c r="E521" s="6" t="s">
        <v>26</v>
      </c>
      <c r="F521" s="6" t="s">
        <v>34</v>
      </c>
      <c r="G521" s="6" t="s">
        <v>57</v>
      </c>
      <c r="H521" s="2">
        <v>4</v>
      </c>
      <c r="I521" s="2">
        <v>22542.91</v>
      </c>
      <c r="J521" s="2">
        <v>0.05</v>
      </c>
      <c r="K521" s="2">
        <v>85663.06</v>
      </c>
      <c r="L521" s="2">
        <v>72519.77</v>
      </c>
      <c r="M521" s="2">
        <v>13143.29</v>
      </c>
      <c r="N521" s="6" t="s">
        <v>58</v>
      </c>
      <c r="O521" s="6" t="s">
        <v>30</v>
      </c>
    </row>
    <row r="522" spans="1:15" x14ac:dyDescent="0.3">
      <c r="A522" s="2" t="s">
        <v>332</v>
      </c>
      <c r="B522" s="5">
        <v>45915</v>
      </c>
      <c r="C522" s="6" t="s">
        <v>16</v>
      </c>
      <c r="D522" s="6" t="s">
        <v>32</v>
      </c>
      <c r="E522" s="6" t="s">
        <v>18</v>
      </c>
      <c r="F522" s="6" t="s">
        <v>43</v>
      </c>
      <c r="G522" s="6" t="s">
        <v>91</v>
      </c>
      <c r="H522" s="2">
        <v>1</v>
      </c>
      <c r="I522" s="2">
        <v>44705.34</v>
      </c>
      <c r="J522" s="2">
        <v>0</v>
      </c>
      <c r="K522" s="2">
        <v>44705.34</v>
      </c>
      <c r="L522" s="2">
        <v>31523.75</v>
      </c>
      <c r="M522" s="2">
        <v>13181.59</v>
      </c>
      <c r="N522" s="6" t="s">
        <v>29</v>
      </c>
      <c r="O522" s="6" t="s">
        <v>30</v>
      </c>
    </row>
    <row r="523" spans="1:15" x14ac:dyDescent="0.3">
      <c r="A523" s="2" t="s">
        <v>947</v>
      </c>
      <c r="B523" s="5">
        <v>45814</v>
      </c>
      <c r="C523" s="6" t="s">
        <v>63</v>
      </c>
      <c r="D523" s="6" t="s">
        <v>95</v>
      </c>
      <c r="E523" s="6" t="s">
        <v>56</v>
      </c>
      <c r="F523" s="6" t="s">
        <v>34</v>
      </c>
      <c r="G523" s="6" t="s">
        <v>35</v>
      </c>
      <c r="H523" s="2">
        <v>5</v>
      </c>
      <c r="I523" s="2">
        <v>18359.84</v>
      </c>
      <c r="J523" s="2">
        <v>0.08</v>
      </c>
      <c r="K523" s="2">
        <v>84455.26</v>
      </c>
      <c r="L523" s="2">
        <v>71251.44</v>
      </c>
      <c r="M523" s="2">
        <v>13203.82</v>
      </c>
      <c r="N523" s="6" t="s">
        <v>21</v>
      </c>
      <c r="O523" s="6" t="s">
        <v>22</v>
      </c>
    </row>
    <row r="524" spans="1:15" x14ac:dyDescent="0.3">
      <c r="A524" s="2" t="s">
        <v>545</v>
      </c>
      <c r="B524" s="5">
        <v>45865</v>
      </c>
      <c r="C524" s="6" t="s">
        <v>16</v>
      </c>
      <c r="D524" s="6" t="s">
        <v>52</v>
      </c>
      <c r="E524" s="6" t="s">
        <v>65</v>
      </c>
      <c r="F524" s="6" t="s">
        <v>34</v>
      </c>
      <c r="G524" s="6" t="s">
        <v>35</v>
      </c>
      <c r="H524" s="2">
        <v>6</v>
      </c>
      <c r="I524" s="2">
        <v>17026.34</v>
      </c>
      <c r="J524" s="2">
        <v>0.08</v>
      </c>
      <c r="K524" s="2">
        <v>93985.39</v>
      </c>
      <c r="L524" s="2">
        <v>80776.67</v>
      </c>
      <c r="M524" s="2">
        <v>13208.72</v>
      </c>
      <c r="N524" s="6" t="s">
        <v>21</v>
      </c>
      <c r="O524" s="6" t="s">
        <v>40</v>
      </c>
    </row>
    <row r="525" spans="1:15" x14ac:dyDescent="0.3">
      <c r="A525" s="2" t="s">
        <v>537</v>
      </c>
      <c r="B525" s="5">
        <v>45743</v>
      </c>
      <c r="C525" s="6" t="s">
        <v>37</v>
      </c>
      <c r="D525" s="6" t="s">
        <v>38</v>
      </c>
      <c r="E525" s="6" t="s">
        <v>49</v>
      </c>
      <c r="F525" s="6" t="s">
        <v>43</v>
      </c>
      <c r="G525" s="6" t="s">
        <v>44</v>
      </c>
      <c r="H525" s="2">
        <v>6</v>
      </c>
      <c r="I525" s="2">
        <v>11217.6</v>
      </c>
      <c r="J525" s="2">
        <v>0.1</v>
      </c>
      <c r="K525" s="2">
        <v>60575.040000000001</v>
      </c>
      <c r="L525" s="2">
        <v>47350.81</v>
      </c>
      <c r="M525" s="2">
        <v>13224.23</v>
      </c>
      <c r="N525" s="6" t="s">
        <v>21</v>
      </c>
      <c r="O525" s="6" t="s">
        <v>45</v>
      </c>
    </row>
    <row r="526" spans="1:15" x14ac:dyDescent="0.3">
      <c r="A526" s="2" t="s">
        <v>112</v>
      </c>
      <c r="B526" s="5">
        <v>45835</v>
      </c>
      <c r="C526" s="6" t="s">
        <v>37</v>
      </c>
      <c r="D526" s="6" t="s">
        <v>42</v>
      </c>
      <c r="E526" s="6" t="s">
        <v>26</v>
      </c>
      <c r="F526" s="6" t="s">
        <v>19</v>
      </c>
      <c r="G526" s="6" t="s">
        <v>108</v>
      </c>
      <c r="H526" s="2">
        <v>4</v>
      </c>
      <c r="I526" s="2">
        <v>15205.86</v>
      </c>
      <c r="J526" s="2">
        <v>0.1</v>
      </c>
      <c r="K526" s="2">
        <v>54741.1</v>
      </c>
      <c r="L526" s="2">
        <v>41499.980000000003</v>
      </c>
      <c r="M526" s="2">
        <v>13241.12</v>
      </c>
      <c r="N526" s="6" t="s">
        <v>29</v>
      </c>
      <c r="O526" s="6" t="s">
        <v>30</v>
      </c>
    </row>
    <row r="527" spans="1:15" x14ac:dyDescent="0.3">
      <c r="A527" s="2" t="s">
        <v>716</v>
      </c>
      <c r="B527" s="5">
        <v>45749</v>
      </c>
      <c r="C527" s="6" t="s">
        <v>1356</v>
      </c>
      <c r="D527" s="6" t="s">
        <v>117</v>
      </c>
      <c r="E527" s="6" t="s">
        <v>18</v>
      </c>
      <c r="F527" s="6" t="s">
        <v>34</v>
      </c>
      <c r="G527" s="6" t="s">
        <v>70</v>
      </c>
      <c r="H527" s="2">
        <v>1</v>
      </c>
      <c r="I527" s="2">
        <v>61998.89</v>
      </c>
      <c r="J527" s="2">
        <v>0.03</v>
      </c>
      <c r="K527" s="2">
        <v>60138.92</v>
      </c>
      <c r="L527" s="2">
        <v>46853.41</v>
      </c>
      <c r="M527" s="2">
        <v>13285.51</v>
      </c>
      <c r="N527" s="6" t="s">
        <v>21</v>
      </c>
      <c r="O527" s="6" t="s">
        <v>40</v>
      </c>
    </row>
    <row r="528" spans="1:15" x14ac:dyDescent="0.3">
      <c r="A528" s="2" t="s">
        <v>624</v>
      </c>
      <c r="B528" s="5">
        <v>45749</v>
      </c>
      <c r="C528" s="6" t="s">
        <v>16</v>
      </c>
      <c r="D528" s="6" t="s">
        <v>32</v>
      </c>
      <c r="E528" s="6" t="s">
        <v>18</v>
      </c>
      <c r="F528" s="6" t="s">
        <v>34</v>
      </c>
      <c r="G528" s="6" t="s">
        <v>57</v>
      </c>
      <c r="H528" s="2">
        <v>2</v>
      </c>
      <c r="I528" s="2">
        <v>23475.61</v>
      </c>
      <c r="J528" s="2">
        <v>0.05</v>
      </c>
      <c r="K528" s="2">
        <v>44603.66</v>
      </c>
      <c r="L528" s="2">
        <v>31316.76</v>
      </c>
      <c r="M528" s="2">
        <v>13286.9</v>
      </c>
      <c r="N528" s="6" t="s">
        <v>29</v>
      </c>
      <c r="O528" s="6" t="s">
        <v>45</v>
      </c>
    </row>
    <row r="529" spans="1:15" x14ac:dyDescent="0.3">
      <c r="A529" s="2" t="s">
        <v>135</v>
      </c>
      <c r="B529" s="5">
        <v>45968</v>
      </c>
      <c r="C529" s="6" t="s">
        <v>16</v>
      </c>
      <c r="D529" s="6" t="s">
        <v>52</v>
      </c>
      <c r="E529" s="6" t="s">
        <v>18</v>
      </c>
      <c r="F529" s="6" t="s">
        <v>43</v>
      </c>
      <c r="G529" s="6" t="s">
        <v>44</v>
      </c>
      <c r="H529" s="2">
        <v>3</v>
      </c>
      <c r="I529" s="2">
        <v>12132.64</v>
      </c>
      <c r="J529" s="2">
        <v>0</v>
      </c>
      <c r="K529" s="2">
        <v>36397.910000000003</v>
      </c>
      <c r="L529" s="2">
        <v>22888.36</v>
      </c>
      <c r="M529" s="2">
        <v>13509.55</v>
      </c>
      <c r="N529" s="6" t="s">
        <v>58</v>
      </c>
      <c r="O529" s="6" t="s">
        <v>30</v>
      </c>
    </row>
    <row r="530" spans="1:15" x14ac:dyDescent="0.3">
      <c r="A530" s="2" t="s">
        <v>155</v>
      </c>
      <c r="B530" s="5">
        <v>45751</v>
      </c>
      <c r="C530" s="6" t="s">
        <v>63</v>
      </c>
      <c r="D530" s="6" t="s">
        <v>88</v>
      </c>
      <c r="E530" s="6" t="s">
        <v>56</v>
      </c>
      <c r="F530" s="6" t="s">
        <v>34</v>
      </c>
      <c r="G530" s="6" t="s">
        <v>70</v>
      </c>
      <c r="H530" s="2">
        <v>1</v>
      </c>
      <c r="I530" s="2">
        <v>61013.64</v>
      </c>
      <c r="J530" s="2">
        <v>0.05</v>
      </c>
      <c r="K530" s="2">
        <v>57962.96</v>
      </c>
      <c r="L530" s="2">
        <v>44368.59</v>
      </c>
      <c r="M530" s="2">
        <v>13594.37</v>
      </c>
      <c r="N530" s="6" t="s">
        <v>21</v>
      </c>
      <c r="O530" s="6" t="s">
        <v>45</v>
      </c>
    </row>
    <row r="531" spans="1:15" x14ac:dyDescent="0.3">
      <c r="A531" s="2" t="s">
        <v>41</v>
      </c>
      <c r="B531" s="5">
        <v>45711</v>
      </c>
      <c r="C531" s="6" t="s">
        <v>37</v>
      </c>
      <c r="D531" s="6" t="s">
        <v>42</v>
      </c>
      <c r="E531" s="6" t="s">
        <v>18</v>
      </c>
      <c r="F531" s="6" t="s">
        <v>43</v>
      </c>
      <c r="G531" s="6" t="s">
        <v>44</v>
      </c>
      <c r="H531" s="2">
        <v>6</v>
      </c>
      <c r="I531" s="2">
        <v>11790.84</v>
      </c>
      <c r="J531" s="2">
        <v>0.03</v>
      </c>
      <c r="K531" s="2">
        <v>68622.67</v>
      </c>
      <c r="L531" s="2">
        <v>54986.44</v>
      </c>
      <c r="M531" s="2">
        <v>13636.23</v>
      </c>
      <c r="N531" s="6" t="s">
        <v>29</v>
      </c>
      <c r="O531" s="6" t="s">
        <v>45</v>
      </c>
    </row>
    <row r="532" spans="1:15" x14ac:dyDescent="0.3">
      <c r="A532" s="2" t="s">
        <v>961</v>
      </c>
      <c r="B532" s="5">
        <v>45698</v>
      </c>
      <c r="C532" s="6" t="s">
        <v>54</v>
      </c>
      <c r="D532" s="6" t="s">
        <v>55</v>
      </c>
      <c r="E532" s="6" t="s">
        <v>33</v>
      </c>
      <c r="F532" s="6" t="s">
        <v>34</v>
      </c>
      <c r="G532" s="6" t="s">
        <v>57</v>
      </c>
      <c r="H532" s="2">
        <v>2</v>
      </c>
      <c r="I532" s="2">
        <v>22758.34</v>
      </c>
      <c r="J532" s="2">
        <v>0</v>
      </c>
      <c r="K532" s="2">
        <v>45516.67</v>
      </c>
      <c r="L532" s="2">
        <v>31838.46</v>
      </c>
      <c r="M532" s="2">
        <v>13678.21</v>
      </c>
      <c r="N532" s="6" t="s">
        <v>21</v>
      </c>
      <c r="O532" s="6" t="s">
        <v>59</v>
      </c>
    </row>
    <row r="533" spans="1:15" x14ac:dyDescent="0.3">
      <c r="A533" s="2" t="s">
        <v>1097</v>
      </c>
      <c r="B533" s="5">
        <v>45801</v>
      </c>
      <c r="C533" s="6" t="s">
        <v>54</v>
      </c>
      <c r="D533" s="6" t="s">
        <v>55</v>
      </c>
      <c r="E533" s="6" t="s">
        <v>69</v>
      </c>
      <c r="F533" s="6" t="s">
        <v>34</v>
      </c>
      <c r="G533" s="6" t="s">
        <v>57</v>
      </c>
      <c r="H533" s="2">
        <v>3</v>
      </c>
      <c r="I533" s="2">
        <v>22888.46</v>
      </c>
      <c r="J533" s="2">
        <v>0.1</v>
      </c>
      <c r="K533" s="2">
        <v>61798.83</v>
      </c>
      <c r="L533" s="2">
        <v>47973.66</v>
      </c>
      <c r="M533" s="2">
        <v>13825.17</v>
      </c>
      <c r="N533" s="6" t="s">
        <v>21</v>
      </c>
      <c r="O533" s="6" t="s">
        <v>22</v>
      </c>
    </row>
    <row r="534" spans="1:15" x14ac:dyDescent="0.3">
      <c r="A534" s="2" t="s">
        <v>158</v>
      </c>
      <c r="B534" s="5">
        <v>45810</v>
      </c>
      <c r="C534" s="6" t="s">
        <v>63</v>
      </c>
      <c r="D534" s="6" t="s">
        <v>117</v>
      </c>
      <c r="E534" s="6" t="s">
        <v>26</v>
      </c>
      <c r="F534" s="6" t="s">
        <v>43</v>
      </c>
      <c r="G534" s="6" t="s">
        <v>44</v>
      </c>
      <c r="H534" s="2">
        <v>5</v>
      </c>
      <c r="I534" s="2">
        <v>11618.65</v>
      </c>
      <c r="J534" s="2">
        <v>0.08</v>
      </c>
      <c r="K534" s="2">
        <v>53445.77</v>
      </c>
      <c r="L534" s="2">
        <v>39584.76</v>
      </c>
      <c r="M534" s="2">
        <v>13861.01</v>
      </c>
      <c r="N534" s="6" t="s">
        <v>21</v>
      </c>
      <c r="O534" s="6" t="s">
        <v>59</v>
      </c>
    </row>
    <row r="535" spans="1:15" x14ac:dyDescent="0.3">
      <c r="A535" s="2" t="s">
        <v>679</v>
      </c>
      <c r="B535" s="5">
        <v>45916</v>
      </c>
      <c r="C535" s="6" t="s">
        <v>16</v>
      </c>
      <c r="D535" s="6" t="s">
        <v>52</v>
      </c>
      <c r="E535" s="6" t="s">
        <v>56</v>
      </c>
      <c r="F535" s="6" t="s">
        <v>34</v>
      </c>
      <c r="G535" s="6" t="s">
        <v>57</v>
      </c>
      <c r="H535" s="2">
        <v>5</v>
      </c>
      <c r="I535" s="2">
        <v>21616.03</v>
      </c>
      <c r="J535" s="2">
        <v>0.15</v>
      </c>
      <c r="K535" s="2">
        <v>91868.12</v>
      </c>
      <c r="L535" s="2">
        <v>78007.05</v>
      </c>
      <c r="M535" s="2">
        <v>13861.07</v>
      </c>
      <c r="N535" s="6" t="s">
        <v>29</v>
      </c>
      <c r="O535" s="6" t="s">
        <v>45</v>
      </c>
    </row>
    <row r="536" spans="1:15" x14ac:dyDescent="0.3">
      <c r="A536" s="2" t="s">
        <v>1246</v>
      </c>
      <c r="B536" s="5">
        <v>45674</v>
      </c>
      <c r="C536" s="6" t="s">
        <v>63</v>
      </c>
      <c r="D536" s="6" t="s">
        <v>64</v>
      </c>
      <c r="E536" s="6" t="s">
        <v>69</v>
      </c>
      <c r="F536" s="6" t="s">
        <v>19</v>
      </c>
      <c r="G536" s="6" t="s">
        <v>108</v>
      </c>
      <c r="H536" s="2">
        <v>3</v>
      </c>
      <c r="I536" s="2">
        <v>14957.02</v>
      </c>
      <c r="J536" s="2">
        <v>0.1</v>
      </c>
      <c r="K536" s="2">
        <v>40383.97</v>
      </c>
      <c r="L536" s="2">
        <v>26444.5</v>
      </c>
      <c r="M536" s="2">
        <v>13939.47</v>
      </c>
      <c r="N536" s="6" t="s">
        <v>21</v>
      </c>
      <c r="O536" s="6" t="s">
        <v>22</v>
      </c>
    </row>
    <row r="537" spans="1:15" x14ac:dyDescent="0.3">
      <c r="A537" s="2" t="s">
        <v>876</v>
      </c>
      <c r="B537" s="5">
        <v>46014</v>
      </c>
      <c r="C537" s="6" t="s">
        <v>16</v>
      </c>
      <c r="D537" s="6" t="s">
        <v>82</v>
      </c>
      <c r="E537" s="6" t="s">
        <v>65</v>
      </c>
      <c r="F537" s="6" t="s">
        <v>19</v>
      </c>
      <c r="G537" s="6" t="s">
        <v>108</v>
      </c>
      <c r="H537" s="2">
        <v>6</v>
      </c>
      <c r="I537" s="2">
        <v>13921.09</v>
      </c>
      <c r="J537" s="2">
        <v>0</v>
      </c>
      <c r="K537" s="2">
        <v>83526.559999999998</v>
      </c>
      <c r="L537" s="2">
        <v>69447.399999999994</v>
      </c>
      <c r="M537" s="2">
        <v>14079.16</v>
      </c>
      <c r="N537" s="6" t="s">
        <v>21</v>
      </c>
      <c r="O537" s="6" t="s">
        <v>30</v>
      </c>
    </row>
    <row r="538" spans="1:15" x14ac:dyDescent="0.3">
      <c r="A538" s="2" t="s">
        <v>548</v>
      </c>
      <c r="B538" s="5">
        <v>45887</v>
      </c>
      <c r="C538" s="6" t="s">
        <v>54</v>
      </c>
      <c r="D538" s="6" t="s">
        <v>1356</v>
      </c>
      <c r="E538" s="6" t="s">
        <v>56</v>
      </c>
      <c r="F538" s="6" t="s">
        <v>27</v>
      </c>
      <c r="G538" s="6" t="s">
        <v>89</v>
      </c>
      <c r="H538" s="2">
        <v>2</v>
      </c>
      <c r="I538" s="2">
        <v>31884.37</v>
      </c>
      <c r="J538" s="2">
        <v>0.08</v>
      </c>
      <c r="K538" s="2">
        <v>58667.24</v>
      </c>
      <c r="L538" s="2">
        <v>44564.62</v>
      </c>
      <c r="M538" s="2">
        <v>14102.62</v>
      </c>
      <c r="N538" s="6" t="s">
        <v>58</v>
      </c>
      <c r="O538" s="6" t="s">
        <v>30</v>
      </c>
    </row>
    <row r="539" spans="1:15" x14ac:dyDescent="0.3">
      <c r="A539" s="2" t="s">
        <v>1193</v>
      </c>
      <c r="B539" s="5">
        <v>45658</v>
      </c>
      <c r="C539" s="6" t="s">
        <v>63</v>
      </c>
      <c r="D539" s="6" t="s">
        <v>64</v>
      </c>
      <c r="E539" s="6" t="s">
        <v>65</v>
      </c>
      <c r="F539" s="6" t="s">
        <v>19</v>
      </c>
      <c r="G539" s="6" t="s">
        <v>108</v>
      </c>
      <c r="H539" s="2">
        <v>3</v>
      </c>
      <c r="I539" s="2">
        <v>13898.92</v>
      </c>
      <c r="J539" s="2">
        <v>0.08</v>
      </c>
      <c r="K539" s="2">
        <v>38361.03</v>
      </c>
      <c r="L539" s="2">
        <v>24230.97</v>
      </c>
      <c r="M539" s="2">
        <v>14130.06</v>
      </c>
      <c r="N539" s="6" t="s">
        <v>58</v>
      </c>
      <c r="O539" s="6" t="s">
        <v>59</v>
      </c>
    </row>
    <row r="540" spans="1:15" x14ac:dyDescent="0.3">
      <c r="A540" s="2" t="s">
        <v>1306</v>
      </c>
      <c r="B540" s="5">
        <v>45763</v>
      </c>
      <c r="C540" s="6" t="s">
        <v>16</v>
      </c>
      <c r="D540" s="6" t="s">
        <v>17</v>
      </c>
      <c r="E540" s="6" t="s">
        <v>26</v>
      </c>
      <c r="F540" s="6" t="s">
        <v>27</v>
      </c>
      <c r="G540" s="6" t="s">
        <v>125</v>
      </c>
      <c r="H540" s="2">
        <v>7</v>
      </c>
      <c r="I540" s="2">
        <v>7967.1</v>
      </c>
      <c r="J540" s="2">
        <v>0.05</v>
      </c>
      <c r="K540" s="2">
        <v>52981.2</v>
      </c>
      <c r="L540" s="2">
        <v>38759.4</v>
      </c>
      <c r="M540" s="2">
        <v>14221.8</v>
      </c>
      <c r="N540" s="6" t="s">
        <v>21</v>
      </c>
      <c r="O540" s="6" t="s">
        <v>30</v>
      </c>
    </row>
    <row r="541" spans="1:15" x14ac:dyDescent="0.3">
      <c r="A541" s="2" t="s">
        <v>482</v>
      </c>
      <c r="B541" s="5">
        <v>45772</v>
      </c>
      <c r="C541" s="6" t="s">
        <v>16</v>
      </c>
      <c r="D541" s="6" t="s">
        <v>17</v>
      </c>
      <c r="E541" s="6" t="s">
        <v>26</v>
      </c>
      <c r="F541" s="6" t="s">
        <v>43</v>
      </c>
      <c r="G541" s="6" t="s">
        <v>84</v>
      </c>
      <c r="H541" s="2">
        <v>1</v>
      </c>
      <c r="I541" s="2">
        <v>40215.339999999997</v>
      </c>
      <c r="J541" s="2">
        <v>0.05</v>
      </c>
      <c r="K541" s="2">
        <v>38204.57</v>
      </c>
      <c r="L541" s="2">
        <v>23962.86</v>
      </c>
      <c r="M541" s="2">
        <v>14241.71</v>
      </c>
      <c r="N541" s="6" t="s">
        <v>21</v>
      </c>
      <c r="O541" s="6" t="s">
        <v>22</v>
      </c>
    </row>
    <row r="542" spans="1:15" x14ac:dyDescent="0.3">
      <c r="A542" s="2" t="s">
        <v>995</v>
      </c>
      <c r="B542" s="5">
        <v>45834</v>
      </c>
      <c r="C542" s="6" t="s">
        <v>37</v>
      </c>
      <c r="D542" s="6" t="s">
        <v>42</v>
      </c>
      <c r="E542" s="6" t="s">
        <v>69</v>
      </c>
      <c r="F542" s="6" t="s">
        <v>34</v>
      </c>
      <c r="G542" s="6" t="s">
        <v>57</v>
      </c>
      <c r="H542" s="2">
        <v>2</v>
      </c>
      <c r="I542" s="2">
        <v>21380.41</v>
      </c>
      <c r="J542" s="2">
        <v>0.08</v>
      </c>
      <c r="K542" s="2">
        <v>39339.949999999997</v>
      </c>
      <c r="L542" s="2">
        <v>25020.36</v>
      </c>
      <c r="M542" s="2">
        <v>14319.59</v>
      </c>
      <c r="N542" s="6" t="s">
        <v>21</v>
      </c>
      <c r="O542" s="6" t="s">
        <v>40</v>
      </c>
    </row>
    <row r="543" spans="1:15" x14ac:dyDescent="0.3">
      <c r="A543" s="2" t="s">
        <v>784</v>
      </c>
      <c r="B543" s="5">
        <v>45820</v>
      </c>
      <c r="C543" s="6" t="s">
        <v>16</v>
      </c>
      <c r="D543" s="6" t="s">
        <v>82</v>
      </c>
      <c r="E543" s="6" t="s">
        <v>49</v>
      </c>
      <c r="F543" s="6" t="s">
        <v>19</v>
      </c>
      <c r="G543" s="6" t="s">
        <v>61</v>
      </c>
      <c r="H543" s="2">
        <v>7</v>
      </c>
      <c r="I543" s="2">
        <v>9007.3700000000008</v>
      </c>
      <c r="J543" s="2">
        <v>0.15</v>
      </c>
      <c r="K543" s="2">
        <v>53593.83</v>
      </c>
      <c r="L543" s="2">
        <v>39212.82</v>
      </c>
      <c r="M543" s="2">
        <v>14381.01</v>
      </c>
      <c r="N543" s="6" t="s">
        <v>21</v>
      </c>
      <c r="O543" s="6" t="s">
        <v>30</v>
      </c>
    </row>
    <row r="544" spans="1:15" x14ac:dyDescent="0.3">
      <c r="A544" s="2" t="s">
        <v>998</v>
      </c>
      <c r="B544" s="5">
        <v>45692</v>
      </c>
      <c r="C544" s="6" t="s">
        <v>37</v>
      </c>
      <c r="D544" s="6" t="s">
        <v>38</v>
      </c>
      <c r="E544" s="6" t="s">
        <v>65</v>
      </c>
      <c r="F544" s="6" t="s">
        <v>34</v>
      </c>
      <c r="G544" s="6" t="s">
        <v>35</v>
      </c>
      <c r="H544" s="2">
        <v>6</v>
      </c>
      <c r="I544" s="2">
        <v>18067.080000000002</v>
      </c>
      <c r="J544" s="2">
        <v>0.05</v>
      </c>
      <c r="K544" s="2">
        <v>102982.37</v>
      </c>
      <c r="L544" s="2">
        <v>88493.95</v>
      </c>
      <c r="M544" s="2">
        <v>14488.42</v>
      </c>
      <c r="N544" s="6" t="s">
        <v>29</v>
      </c>
      <c r="O544" s="6" t="s">
        <v>40</v>
      </c>
    </row>
    <row r="545" spans="1:15" x14ac:dyDescent="0.3">
      <c r="A545" s="2" t="s">
        <v>133</v>
      </c>
      <c r="B545" s="5">
        <v>45910</v>
      </c>
      <c r="C545" s="6" t="s">
        <v>63</v>
      </c>
      <c r="D545" s="6" t="s">
        <v>95</v>
      </c>
      <c r="E545" s="6" t="s">
        <v>56</v>
      </c>
      <c r="F545" s="6" t="s">
        <v>34</v>
      </c>
      <c r="G545" s="6" t="s">
        <v>35</v>
      </c>
      <c r="H545" s="2">
        <v>5</v>
      </c>
      <c r="I545" s="2">
        <v>18532.03</v>
      </c>
      <c r="J545" s="2">
        <v>0.03</v>
      </c>
      <c r="K545" s="2">
        <v>89880.33</v>
      </c>
      <c r="L545" s="2">
        <v>75375.67</v>
      </c>
      <c r="M545" s="2">
        <v>14504.66</v>
      </c>
      <c r="N545" s="6" t="s">
        <v>58</v>
      </c>
      <c r="O545" s="6" t="s">
        <v>22</v>
      </c>
    </row>
    <row r="546" spans="1:15" x14ac:dyDescent="0.3">
      <c r="A546" s="2" t="s">
        <v>596</v>
      </c>
      <c r="B546" s="5">
        <v>45991</v>
      </c>
      <c r="C546" s="6" t="s">
        <v>37</v>
      </c>
      <c r="D546" s="6" t="s">
        <v>42</v>
      </c>
      <c r="E546" s="6" t="s">
        <v>26</v>
      </c>
      <c r="F546" s="6" t="s">
        <v>43</v>
      </c>
      <c r="G546" s="6" t="s">
        <v>91</v>
      </c>
      <c r="H546" s="2">
        <v>1</v>
      </c>
      <c r="I546" s="2">
        <v>45861.25</v>
      </c>
      <c r="J546" s="2">
        <v>0</v>
      </c>
      <c r="K546" s="2">
        <v>45861.25</v>
      </c>
      <c r="L546" s="2">
        <v>31247.72</v>
      </c>
      <c r="M546" s="2">
        <v>14613.53</v>
      </c>
      <c r="N546" s="6" t="s">
        <v>21</v>
      </c>
      <c r="O546" s="6" t="s">
        <v>59</v>
      </c>
    </row>
    <row r="547" spans="1:15" x14ac:dyDescent="0.3">
      <c r="A547" s="2" t="s">
        <v>1312</v>
      </c>
      <c r="B547" s="5">
        <v>45707</v>
      </c>
      <c r="C547" s="6" t="s">
        <v>16</v>
      </c>
      <c r="D547" s="6" t="s">
        <v>32</v>
      </c>
      <c r="E547" s="6" t="s">
        <v>69</v>
      </c>
      <c r="F547" s="6" t="s">
        <v>19</v>
      </c>
      <c r="G547" s="6" t="s">
        <v>108</v>
      </c>
      <c r="H547" s="2">
        <v>6</v>
      </c>
      <c r="I547" s="2">
        <v>16155.31</v>
      </c>
      <c r="J547" s="2">
        <v>0.05</v>
      </c>
      <c r="K547" s="2">
        <v>92085.24</v>
      </c>
      <c r="L547" s="2">
        <v>77463.45</v>
      </c>
      <c r="M547" s="2">
        <v>14621.79</v>
      </c>
      <c r="N547" s="6" t="s">
        <v>29</v>
      </c>
      <c r="O547" s="6" t="s">
        <v>59</v>
      </c>
    </row>
    <row r="548" spans="1:15" x14ac:dyDescent="0.3">
      <c r="A548" s="2" t="s">
        <v>934</v>
      </c>
      <c r="B548" s="5">
        <v>45741</v>
      </c>
      <c r="C548" s="6" t="s">
        <v>63</v>
      </c>
      <c r="D548" s="6" t="s">
        <v>64</v>
      </c>
      <c r="E548" s="6" t="s">
        <v>74</v>
      </c>
      <c r="F548" s="6" t="s">
        <v>27</v>
      </c>
      <c r="G548" s="6" t="s">
        <v>66</v>
      </c>
      <c r="H548" s="2">
        <v>5</v>
      </c>
      <c r="I548" s="2">
        <v>10888.87</v>
      </c>
      <c r="J548" s="2">
        <v>0.05</v>
      </c>
      <c r="K548" s="2">
        <v>51722.15</v>
      </c>
      <c r="L548" s="2">
        <v>37097.800000000003</v>
      </c>
      <c r="M548" s="2">
        <v>14624.35</v>
      </c>
      <c r="N548" s="6" t="s">
        <v>21</v>
      </c>
      <c r="O548" s="6" t="s">
        <v>40</v>
      </c>
    </row>
    <row r="549" spans="1:15" x14ac:dyDescent="0.3">
      <c r="A549" s="2" t="s">
        <v>81</v>
      </c>
      <c r="B549" s="5">
        <v>45805</v>
      </c>
      <c r="C549" s="6" t="s">
        <v>16</v>
      </c>
      <c r="D549" s="6" t="s">
        <v>82</v>
      </c>
      <c r="E549" s="6" t="s">
        <v>65</v>
      </c>
      <c r="F549" s="6" t="s">
        <v>27</v>
      </c>
      <c r="G549" s="6" t="s">
        <v>50</v>
      </c>
      <c r="H549" s="2">
        <v>3</v>
      </c>
      <c r="I549" s="2">
        <v>28657.16</v>
      </c>
      <c r="J549" s="2">
        <v>0.08</v>
      </c>
      <c r="K549" s="2">
        <v>79093.75</v>
      </c>
      <c r="L549" s="2">
        <v>64404.480000000003</v>
      </c>
      <c r="M549" s="2">
        <v>14689.27</v>
      </c>
      <c r="N549" s="6" t="s">
        <v>29</v>
      </c>
      <c r="O549" s="6" t="s">
        <v>40</v>
      </c>
    </row>
    <row r="550" spans="1:15" x14ac:dyDescent="0.3">
      <c r="A550" s="2" t="s">
        <v>1212</v>
      </c>
      <c r="B550" s="5">
        <v>45811</v>
      </c>
      <c r="C550" s="6" t="s">
        <v>54</v>
      </c>
      <c r="D550" s="6" t="s">
        <v>55</v>
      </c>
      <c r="E550" s="6" t="s">
        <v>65</v>
      </c>
      <c r="F550" s="6" t="s">
        <v>34</v>
      </c>
      <c r="G550" s="6" t="s">
        <v>35</v>
      </c>
      <c r="H550" s="2">
        <v>4</v>
      </c>
      <c r="I550" s="2">
        <v>19261.41</v>
      </c>
      <c r="J550" s="2">
        <v>0.1</v>
      </c>
      <c r="K550" s="2">
        <v>69341.06</v>
      </c>
      <c r="L550" s="2">
        <v>54604.09</v>
      </c>
      <c r="M550" s="2">
        <v>14736.97</v>
      </c>
      <c r="N550" s="6" t="s">
        <v>21</v>
      </c>
      <c r="O550" s="6" t="s">
        <v>40</v>
      </c>
    </row>
    <row r="551" spans="1:15" x14ac:dyDescent="0.3">
      <c r="A551" s="2" t="s">
        <v>928</v>
      </c>
      <c r="B551" s="5">
        <v>45830</v>
      </c>
      <c r="C551" s="6" t="s">
        <v>54</v>
      </c>
      <c r="D551" s="6" t="s">
        <v>124</v>
      </c>
      <c r="E551" s="6" t="s">
        <v>26</v>
      </c>
      <c r="F551" s="6" t="s">
        <v>27</v>
      </c>
      <c r="G551" s="6" t="s">
        <v>66</v>
      </c>
      <c r="H551" s="2">
        <v>7</v>
      </c>
      <c r="I551" s="2">
        <v>11439.15</v>
      </c>
      <c r="J551" s="2">
        <v>0.08</v>
      </c>
      <c r="K551" s="2">
        <v>73668.12</v>
      </c>
      <c r="L551" s="2">
        <v>58927.41</v>
      </c>
      <c r="M551" s="2">
        <v>14740.71</v>
      </c>
      <c r="N551" s="6" t="s">
        <v>29</v>
      </c>
      <c r="O551" s="6" t="s">
        <v>59</v>
      </c>
    </row>
    <row r="552" spans="1:15" x14ac:dyDescent="0.3">
      <c r="A552" s="2" t="s">
        <v>647</v>
      </c>
      <c r="B552" s="5">
        <v>45861</v>
      </c>
      <c r="C552" s="6" t="s">
        <v>37</v>
      </c>
      <c r="D552" s="6" t="s">
        <v>42</v>
      </c>
      <c r="E552" s="6" t="s">
        <v>33</v>
      </c>
      <c r="F552" s="6" t="s">
        <v>43</v>
      </c>
      <c r="G552" s="6" t="s">
        <v>91</v>
      </c>
      <c r="H552" s="2">
        <v>2</v>
      </c>
      <c r="I552" s="2">
        <v>44241.03</v>
      </c>
      <c r="J552" s="2">
        <v>0.05</v>
      </c>
      <c r="K552" s="2">
        <v>84057.96</v>
      </c>
      <c r="L552" s="2">
        <v>69282.960000000006</v>
      </c>
      <c r="M552" s="2">
        <v>14775</v>
      </c>
      <c r="N552" s="6" t="s">
        <v>21</v>
      </c>
      <c r="O552" s="6" t="s">
        <v>40</v>
      </c>
    </row>
    <row r="553" spans="1:15" x14ac:dyDescent="0.3">
      <c r="A553" s="2" t="s">
        <v>1104</v>
      </c>
      <c r="B553" s="5">
        <v>45673</v>
      </c>
      <c r="C553" s="6" t="s">
        <v>37</v>
      </c>
      <c r="D553" s="6" t="s">
        <v>68</v>
      </c>
      <c r="E553" s="6" t="s">
        <v>49</v>
      </c>
      <c r="F553" s="6" t="s">
        <v>19</v>
      </c>
      <c r="G553" s="6" t="s">
        <v>61</v>
      </c>
      <c r="H553" s="2">
        <v>7</v>
      </c>
      <c r="I553" s="2">
        <v>8953.64</v>
      </c>
      <c r="J553" s="2">
        <v>0</v>
      </c>
      <c r="K553" s="2">
        <v>62675.45</v>
      </c>
      <c r="L553" s="2">
        <v>47856.7</v>
      </c>
      <c r="M553" s="2">
        <v>14818.75</v>
      </c>
      <c r="N553" s="6" t="s">
        <v>21</v>
      </c>
      <c r="O553" s="6" t="s">
        <v>45</v>
      </c>
    </row>
    <row r="554" spans="1:15" x14ac:dyDescent="0.3">
      <c r="A554" s="2" t="s">
        <v>435</v>
      </c>
      <c r="B554" s="5">
        <v>45902</v>
      </c>
      <c r="C554" s="6" t="s">
        <v>37</v>
      </c>
      <c r="D554" s="6" t="s">
        <v>25</v>
      </c>
      <c r="E554" s="6" t="s">
        <v>33</v>
      </c>
      <c r="F554" s="6" t="s">
        <v>43</v>
      </c>
      <c r="G554" s="6" t="s">
        <v>84</v>
      </c>
      <c r="H554" s="2">
        <v>2</v>
      </c>
      <c r="I554" s="2">
        <v>38788.79</v>
      </c>
      <c r="J554" s="2">
        <v>0.1</v>
      </c>
      <c r="K554" s="2">
        <v>69819.820000000007</v>
      </c>
      <c r="L554" s="2">
        <v>54961.5</v>
      </c>
      <c r="M554" s="2">
        <v>14858.32</v>
      </c>
      <c r="N554" s="6" t="s">
        <v>21</v>
      </c>
      <c r="O554" s="6" t="s">
        <v>45</v>
      </c>
    </row>
    <row r="555" spans="1:15" x14ac:dyDescent="0.3">
      <c r="A555" s="2" t="s">
        <v>1257</v>
      </c>
      <c r="B555" s="5">
        <v>45896</v>
      </c>
      <c r="C555" s="6" t="s">
        <v>37</v>
      </c>
      <c r="D555" s="6" t="s">
        <v>38</v>
      </c>
      <c r="E555" s="6" t="s">
        <v>74</v>
      </c>
      <c r="F555" s="6" t="s">
        <v>34</v>
      </c>
      <c r="G555" s="6" t="s">
        <v>57</v>
      </c>
      <c r="H555" s="2">
        <v>5</v>
      </c>
      <c r="I555" s="2">
        <v>21139.11</v>
      </c>
      <c r="J555" s="2">
        <v>0.05</v>
      </c>
      <c r="K555" s="2">
        <v>100410.76</v>
      </c>
      <c r="L555" s="2">
        <v>85543.77</v>
      </c>
      <c r="M555" s="2">
        <v>14866.99</v>
      </c>
      <c r="N555" s="6" t="s">
        <v>29</v>
      </c>
      <c r="O555" s="6" t="s">
        <v>45</v>
      </c>
    </row>
    <row r="556" spans="1:15" x14ac:dyDescent="0.3">
      <c r="A556" s="2" t="s">
        <v>222</v>
      </c>
      <c r="B556" s="5">
        <v>45957</v>
      </c>
      <c r="C556" s="6" t="s">
        <v>63</v>
      </c>
      <c r="D556" s="6" t="s">
        <v>64</v>
      </c>
      <c r="E556" s="6" t="s">
        <v>18</v>
      </c>
      <c r="F556" s="6" t="s">
        <v>43</v>
      </c>
      <c r="G556" s="6" t="s">
        <v>121</v>
      </c>
      <c r="H556" s="2">
        <v>8</v>
      </c>
      <c r="I556" s="2">
        <v>5297.47</v>
      </c>
      <c r="J556" s="2">
        <v>0.05</v>
      </c>
      <c r="K556" s="2">
        <v>40260.74</v>
      </c>
      <c r="L556" s="2">
        <v>25383.54</v>
      </c>
      <c r="M556" s="2">
        <v>14877.2</v>
      </c>
      <c r="N556" s="6" t="s">
        <v>29</v>
      </c>
      <c r="O556" s="6" t="s">
        <v>59</v>
      </c>
    </row>
    <row r="557" spans="1:15" x14ac:dyDescent="0.3">
      <c r="A557" s="2" t="s">
        <v>544</v>
      </c>
      <c r="B557" s="5">
        <v>45685</v>
      </c>
      <c r="C557" s="6" t="s">
        <v>54</v>
      </c>
      <c r="D557" s="6" t="s">
        <v>55</v>
      </c>
      <c r="E557" s="6" t="s">
        <v>69</v>
      </c>
      <c r="F557" s="6" t="s">
        <v>27</v>
      </c>
      <c r="G557" s="6" t="s">
        <v>28</v>
      </c>
      <c r="H557" s="2">
        <v>3</v>
      </c>
      <c r="I557" s="2">
        <v>27417.71</v>
      </c>
      <c r="J557" s="2">
        <v>0.05</v>
      </c>
      <c r="K557" s="2">
        <v>78140.47</v>
      </c>
      <c r="L557" s="2">
        <v>63262.8</v>
      </c>
      <c r="M557" s="2">
        <v>14877.67</v>
      </c>
      <c r="N557" s="6" t="s">
        <v>29</v>
      </c>
      <c r="O557" s="6" t="s">
        <v>30</v>
      </c>
    </row>
    <row r="558" spans="1:15" x14ac:dyDescent="0.3">
      <c r="A558" s="2" t="s">
        <v>1274</v>
      </c>
      <c r="B558" s="5">
        <v>45764</v>
      </c>
      <c r="C558" s="6" t="s">
        <v>16</v>
      </c>
      <c r="D558" s="6" t="s">
        <v>32</v>
      </c>
      <c r="E558" s="6" t="s">
        <v>18</v>
      </c>
      <c r="F558" s="6" t="s">
        <v>43</v>
      </c>
      <c r="G558" s="6" t="s">
        <v>75</v>
      </c>
      <c r="H558" s="2">
        <v>3</v>
      </c>
      <c r="I558" s="2">
        <v>38129.42</v>
      </c>
      <c r="J558" s="2">
        <v>0.08</v>
      </c>
      <c r="K558" s="2">
        <v>105237.19</v>
      </c>
      <c r="L558" s="2">
        <v>90343.23</v>
      </c>
      <c r="M558" s="2">
        <v>14893.96</v>
      </c>
      <c r="N558" s="6" t="s">
        <v>29</v>
      </c>
      <c r="O558" s="6" t="s">
        <v>45</v>
      </c>
    </row>
    <row r="559" spans="1:15" x14ac:dyDescent="0.3">
      <c r="A559" s="2" t="s">
        <v>130</v>
      </c>
      <c r="B559" s="5">
        <v>45669</v>
      </c>
      <c r="C559" s="6" t="s">
        <v>54</v>
      </c>
      <c r="D559" s="6" t="s">
        <v>48</v>
      </c>
      <c r="E559" s="6" t="s">
        <v>18</v>
      </c>
      <c r="F559" s="6" t="s">
        <v>19</v>
      </c>
      <c r="G559" s="6" t="s">
        <v>108</v>
      </c>
      <c r="H559" s="2">
        <v>5</v>
      </c>
      <c r="I559" s="2">
        <v>15472.62</v>
      </c>
      <c r="J559" s="2">
        <v>0.05</v>
      </c>
      <c r="K559" s="2">
        <v>73494.95</v>
      </c>
      <c r="L559" s="2">
        <v>58568.43</v>
      </c>
      <c r="M559" s="2">
        <v>14926.52</v>
      </c>
      <c r="N559" s="6" t="s">
        <v>58</v>
      </c>
      <c r="O559" s="6" t="s">
        <v>40</v>
      </c>
    </row>
    <row r="560" spans="1:15" x14ac:dyDescent="0.3">
      <c r="A560" s="2" t="s">
        <v>770</v>
      </c>
      <c r="B560" s="5">
        <v>45761</v>
      </c>
      <c r="C560" s="6" t="s">
        <v>16</v>
      </c>
      <c r="D560" s="6" t="s">
        <v>52</v>
      </c>
      <c r="E560" s="6" t="s">
        <v>33</v>
      </c>
      <c r="F560" s="6" t="s">
        <v>27</v>
      </c>
      <c r="G560" s="6" t="s">
        <v>125</v>
      </c>
      <c r="H560" s="2">
        <v>6</v>
      </c>
      <c r="I560" s="2">
        <v>8315.81</v>
      </c>
      <c r="J560" s="2">
        <v>0.1</v>
      </c>
      <c r="K560" s="2">
        <v>44905.38</v>
      </c>
      <c r="L560" s="2">
        <v>29942.29</v>
      </c>
      <c r="M560" s="2">
        <v>14963.09</v>
      </c>
      <c r="N560" s="6" t="s">
        <v>58</v>
      </c>
      <c r="O560" s="6" t="s">
        <v>22</v>
      </c>
    </row>
    <row r="561" spans="1:15" x14ac:dyDescent="0.3">
      <c r="A561" s="2" t="s">
        <v>964</v>
      </c>
      <c r="B561" s="5">
        <v>45892</v>
      </c>
      <c r="C561" s="6" t="s">
        <v>16</v>
      </c>
      <c r="D561" s="6" t="s">
        <v>82</v>
      </c>
      <c r="E561" s="6" t="s">
        <v>74</v>
      </c>
      <c r="F561" s="6" t="s">
        <v>34</v>
      </c>
      <c r="G561" s="6" t="s">
        <v>35</v>
      </c>
      <c r="H561" s="2">
        <v>3</v>
      </c>
      <c r="I561" s="2">
        <v>18885.16</v>
      </c>
      <c r="J561" s="2">
        <v>0.08</v>
      </c>
      <c r="K561" s="2">
        <v>52123.03</v>
      </c>
      <c r="L561" s="2">
        <v>37146.910000000003</v>
      </c>
      <c r="M561" s="2">
        <v>14976.12</v>
      </c>
      <c r="N561" s="6" t="s">
        <v>58</v>
      </c>
      <c r="O561" s="6" t="s">
        <v>59</v>
      </c>
    </row>
    <row r="562" spans="1:15" x14ac:dyDescent="0.3">
      <c r="A562" s="2" t="s">
        <v>1213</v>
      </c>
      <c r="B562" s="5">
        <v>45844</v>
      </c>
      <c r="C562" s="6" t="s">
        <v>63</v>
      </c>
      <c r="D562" s="6" t="s">
        <v>64</v>
      </c>
      <c r="E562" s="6" t="s">
        <v>18</v>
      </c>
      <c r="F562" s="6" t="s">
        <v>43</v>
      </c>
      <c r="G562" s="6" t="s">
        <v>91</v>
      </c>
      <c r="H562" s="2">
        <v>2</v>
      </c>
      <c r="I562" s="2">
        <v>46674.25</v>
      </c>
      <c r="J562" s="2">
        <v>0.1</v>
      </c>
      <c r="K562" s="2">
        <v>84013.66</v>
      </c>
      <c r="L562" s="2">
        <v>69034.69</v>
      </c>
      <c r="M562" s="2">
        <v>14978.97</v>
      </c>
      <c r="N562" s="6" t="s">
        <v>58</v>
      </c>
      <c r="O562" s="6" t="s">
        <v>59</v>
      </c>
    </row>
    <row r="563" spans="1:15" x14ac:dyDescent="0.3">
      <c r="A563" s="2" t="s">
        <v>1186</v>
      </c>
      <c r="B563" s="5">
        <v>46014</v>
      </c>
      <c r="C563" s="6" t="s">
        <v>54</v>
      </c>
      <c r="D563" s="6" t="s">
        <v>124</v>
      </c>
      <c r="E563" s="6" t="s">
        <v>74</v>
      </c>
      <c r="F563" s="6" t="s">
        <v>43</v>
      </c>
      <c r="G563" s="6" t="s">
        <v>91</v>
      </c>
      <c r="H563" s="2">
        <v>1</v>
      </c>
      <c r="I563" s="2">
        <v>49577.32</v>
      </c>
      <c r="J563" s="2">
        <v>0.03</v>
      </c>
      <c r="K563" s="2">
        <v>48090</v>
      </c>
      <c r="L563" s="2">
        <v>33081.47</v>
      </c>
      <c r="M563" s="2">
        <v>15008.53</v>
      </c>
      <c r="N563" s="6" t="s">
        <v>58</v>
      </c>
      <c r="O563" s="6" t="s">
        <v>45</v>
      </c>
    </row>
    <row r="564" spans="1:15" x14ac:dyDescent="0.3">
      <c r="A564" s="2" t="s">
        <v>448</v>
      </c>
      <c r="B564" s="5">
        <v>45803</v>
      </c>
      <c r="C564" s="6" t="s">
        <v>16</v>
      </c>
      <c r="D564" s="6" t="s">
        <v>82</v>
      </c>
      <c r="E564" s="6" t="s">
        <v>33</v>
      </c>
      <c r="F564" s="6" t="s">
        <v>43</v>
      </c>
      <c r="G564" s="6" t="s">
        <v>84</v>
      </c>
      <c r="H564" s="2">
        <v>2</v>
      </c>
      <c r="I564" s="2">
        <v>43318.17</v>
      </c>
      <c r="J564" s="2">
        <v>0.05</v>
      </c>
      <c r="K564" s="2">
        <v>82304.52</v>
      </c>
      <c r="L564" s="2">
        <v>67262.5</v>
      </c>
      <c r="M564" s="2">
        <v>15042.02</v>
      </c>
      <c r="N564" s="6" t="s">
        <v>58</v>
      </c>
      <c r="O564" s="6" t="s">
        <v>30</v>
      </c>
    </row>
    <row r="565" spans="1:15" x14ac:dyDescent="0.3">
      <c r="A565" s="2" t="s">
        <v>1011</v>
      </c>
      <c r="B565" s="5">
        <v>46010</v>
      </c>
      <c r="C565" s="6" t="s">
        <v>16</v>
      </c>
      <c r="D565" s="6" t="s">
        <v>17</v>
      </c>
      <c r="E565" s="6" t="s">
        <v>56</v>
      </c>
      <c r="F565" s="6" t="s">
        <v>34</v>
      </c>
      <c r="G565" s="6" t="s">
        <v>35</v>
      </c>
      <c r="H565" s="2">
        <v>5</v>
      </c>
      <c r="I565" s="2">
        <v>17381.84</v>
      </c>
      <c r="J565" s="2">
        <v>0.15</v>
      </c>
      <c r="K565" s="2">
        <v>73872.820000000007</v>
      </c>
      <c r="L565" s="2">
        <v>58816.51</v>
      </c>
      <c r="M565" s="2">
        <v>15056.31</v>
      </c>
      <c r="N565" s="6" t="s">
        <v>29</v>
      </c>
      <c r="O565" s="6" t="s">
        <v>45</v>
      </c>
    </row>
    <row r="566" spans="1:15" x14ac:dyDescent="0.3">
      <c r="A566" s="2" t="s">
        <v>695</v>
      </c>
      <c r="B566" s="5">
        <v>45975</v>
      </c>
      <c r="C566" s="6" t="s">
        <v>54</v>
      </c>
      <c r="D566" s="6" t="s">
        <v>174</v>
      </c>
      <c r="E566" s="6" t="s">
        <v>65</v>
      </c>
      <c r="F566" s="6" t="s">
        <v>43</v>
      </c>
      <c r="G566" s="6" t="s">
        <v>44</v>
      </c>
      <c r="H566" s="2">
        <v>5</v>
      </c>
      <c r="I566" s="2">
        <v>12709.16</v>
      </c>
      <c r="J566" s="2">
        <v>0.08</v>
      </c>
      <c r="K566" s="2">
        <v>58462.12</v>
      </c>
      <c r="L566" s="2">
        <v>43276.56</v>
      </c>
      <c r="M566" s="2">
        <v>15185.56</v>
      </c>
      <c r="N566" s="6" t="s">
        <v>29</v>
      </c>
      <c r="O566" s="6" t="s">
        <v>30</v>
      </c>
    </row>
    <row r="567" spans="1:15" x14ac:dyDescent="0.3">
      <c r="A567" s="2" t="s">
        <v>628</v>
      </c>
      <c r="B567" s="5">
        <v>45706</v>
      </c>
      <c r="C567" s="6" t="s">
        <v>37</v>
      </c>
      <c r="D567" s="6" t="s">
        <v>42</v>
      </c>
      <c r="E567" s="6" t="s">
        <v>18</v>
      </c>
      <c r="F567" s="6" t="s">
        <v>34</v>
      </c>
      <c r="G567" s="6" t="s">
        <v>35</v>
      </c>
      <c r="H567" s="2">
        <v>5</v>
      </c>
      <c r="I567" s="2">
        <v>17699.84</v>
      </c>
      <c r="J567" s="2">
        <v>0.08</v>
      </c>
      <c r="K567" s="2">
        <v>81419.259999999995</v>
      </c>
      <c r="L567" s="2">
        <v>66221.91</v>
      </c>
      <c r="M567" s="2">
        <v>15197.35</v>
      </c>
      <c r="N567" s="6" t="s">
        <v>58</v>
      </c>
      <c r="O567" s="6" t="s">
        <v>40</v>
      </c>
    </row>
    <row r="568" spans="1:15" x14ac:dyDescent="0.3">
      <c r="A568" s="2" t="s">
        <v>681</v>
      </c>
      <c r="B568" s="5">
        <v>45679</v>
      </c>
      <c r="C568" s="6" t="s">
        <v>16</v>
      </c>
      <c r="D568" s="6" t="s">
        <v>32</v>
      </c>
      <c r="E568" s="6" t="s">
        <v>56</v>
      </c>
      <c r="F568" s="6" t="s">
        <v>19</v>
      </c>
      <c r="G568" s="6" t="s">
        <v>108</v>
      </c>
      <c r="H568" s="2">
        <v>5</v>
      </c>
      <c r="I568" s="2">
        <v>14782.04</v>
      </c>
      <c r="J568" s="2">
        <v>0.03</v>
      </c>
      <c r="K568" s="2">
        <v>71692.89</v>
      </c>
      <c r="L568" s="2">
        <v>56380.05</v>
      </c>
      <c r="M568" s="2">
        <v>15312.84</v>
      </c>
      <c r="N568" s="6" t="s">
        <v>21</v>
      </c>
      <c r="O568" s="6" t="s">
        <v>22</v>
      </c>
    </row>
    <row r="569" spans="1:15" x14ac:dyDescent="0.3">
      <c r="A569" s="2" t="s">
        <v>905</v>
      </c>
      <c r="B569" s="5">
        <v>45767</v>
      </c>
      <c r="C569" s="6" t="s">
        <v>54</v>
      </c>
      <c r="D569" s="6" t="s">
        <v>1356</v>
      </c>
      <c r="E569" s="6" t="s">
        <v>18</v>
      </c>
      <c r="F569" s="6" t="s">
        <v>34</v>
      </c>
      <c r="G569" s="6" t="s">
        <v>70</v>
      </c>
      <c r="H569" s="2">
        <v>1</v>
      </c>
      <c r="I569" s="2">
        <v>65442.78</v>
      </c>
      <c r="J569" s="2">
        <v>0.03</v>
      </c>
      <c r="K569" s="2">
        <v>63479.5</v>
      </c>
      <c r="L569" s="2">
        <v>48096.56</v>
      </c>
      <c r="M569" s="2">
        <v>15382.94</v>
      </c>
      <c r="N569" s="6" t="s">
        <v>29</v>
      </c>
      <c r="O569" s="6" t="s">
        <v>30</v>
      </c>
    </row>
    <row r="570" spans="1:15" x14ac:dyDescent="0.3">
      <c r="A570" s="2" t="s">
        <v>957</v>
      </c>
      <c r="B570" s="5">
        <v>45886</v>
      </c>
      <c r="C570" s="6" t="s">
        <v>16</v>
      </c>
      <c r="D570" s="6" t="s">
        <v>32</v>
      </c>
      <c r="E570" s="6" t="s">
        <v>56</v>
      </c>
      <c r="F570" s="6" t="s">
        <v>43</v>
      </c>
      <c r="G570" s="6" t="s">
        <v>75</v>
      </c>
      <c r="H570" s="2">
        <v>2</v>
      </c>
      <c r="I570" s="2">
        <v>38234.07</v>
      </c>
      <c r="J570" s="2">
        <v>0</v>
      </c>
      <c r="K570" s="2">
        <v>76468.14</v>
      </c>
      <c r="L570" s="2">
        <v>61066.720000000001</v>
      </c>
      <c r="M570" s="2">
        <v>15401.42</v>
      </c>
      <c r="N570" s="6" t="s">
        <v>58</v>
      </c>
      <c r="O570" s="6" t="s">
        <v>22</v>
      </c>
    </row>
    <row r="571" spans="1:15" x14ac:dyDescent="0.3">
      <c r="A571" s="2" t="s">
        <v>1288</v>
      </c>
      <c r="B571" s="5">
        <v>45733</v>
      </c>
      <c r="C571" s="6" t="s">
        <v>54</v>
      </c>
      <c r="D571" s="6" t="s">
        <v>55</v>
      </c>
      <c r="E571" s="6" t="s">
        <v>69</v>
      </c>
      <c r="F571" s="6" t="s">
        <v>19</v>
      </c>
      <c r="G571" s="6" t="s">
        <v>106</v>
      </c>
      <c r="H571" s="2">
        <v>5</v>
      </c>
      <c r="I571" s="2">
        <v>14871.1</v>
      </c>
      <c r="J571" s="2">
        <v>0.08</v>
      </c>
      <c r="K571" s="2">
        <v>68407.06</v>
      </c>
      <c r="L571" s="2">
        <v>52978.06</v>
      </c>
      <c r="M571" s="2">
        <v>15429</v>
      </c>
      <c r="N571" s="6" t="s">
        <v>29</v>
      </c>
      <c r="O571" s="6" t="s">
        <v>30</v>
      </c>
    </row>
    <row r="572" spans="1:15" x14ac:dyDescent="0.3">
      <c r="A572" s="2" t="s">
        <v>1154</v>
      </c>
      <c r="B572" s="5">
        <v>45939</v>
      </c>
      <c r="C572" s="6" t="s">
        <v>37</v>
      </c>
      <c r="D572" s="6" t="s">
        <v>42</v>
      </c>
      <c r="E572" s="6" t="s">
        <v>33</v>
      </c>
      <c r="F572" s="6" t="s">
        <v>19</v>
      </c>
      <c r="G572" s="6" t="s">
        <v>61</v>
      </c>
      <c r="H572" s="2">
        <v>8</v>
      </c>
      <c r="I572" s="2">
        <v>9423.4500000000007</v>
      </c>
      <c r="J572" s="2">
        <v>0.15</v>
      </c>
      <c r="K572" s="2">
        <v>64079.44</v>
      </c>
      <c r="L572" s="2">
        <v>48545.71</v>
      </c>
      <c r="M572" s="2">
        <v>15533.73</v>
      </c>
      <c r="N572" s="6" t="s">
        <v>58</v>
      </c>
      <c r="O572" s="6" t="s">
        <v>45</v>
      </c>
    </row>
    <row r="573" spans="1:15" x14ac:dyDescent="0.3">
      <c r="A573" s="2" t="s">
        <v>733</v>
      </c>
      <c r="B573" s="5">
        <v>45980</v>
      </c>
      <c r="C573" s="6" t="s">
        <v>63</v>
      </c>
      <c r="D573" s="6" t="s">
        <v>64</v>
      </c>
      <c r="E573" s="6" t="s">
        <v>26</v>
      </c>
      <c r="F573" s="6" t="s">
        <v>34</v>
      </c>
      <c r="G573" s="6" t="s">
        <v>57</v>
      </c>
      <c r="H573" s="2">
        <v>2</v>
      </c>
      <c r="I573" s="2">
        <v>23021.09</v>
      </c>
      <c r="J573" s="2">
        <v>0.08</v>
      </c>
      <c r="K573" s="2">
        <v>42358.81</v>
      </c>
      <c r="L573" s="2">
        <v>26718.52</v>
      </c>
      <c r="M573" s="2">
        <v>15640.29</v>
      </c>
      <c r="N573" s="6" t="s">
        <v>29</v>
      </c>
      <c r="O573" s="6" t="s">
        <v>59</v>
      </c>
    </row>
    <row r="574" spans="1:15" x14ac:dyDescent="0.3">
      <c r="A574" s="2" t="s">
        <v>692</v>
      </c>
      <c r="B574" s="5">
        <v>45726</v>
      </c>
      <c r="C574" s="6" t="s">
        <v>54</v>
      </c>
      <c r="D574" s="6" t="s">
        <v>124</v>
      </c>
      <c r="E574" s="6" t="s">
        <v>69</v>
      </c>
      <c r="F574" s="6" t="s">
        <v>43</v>
      </c>
      <c r="G574" s="6" t="s">
        <v>44</v>
      </c>
      <c r="H574" s="2">
        <v>7</v>
      </c>
      <c r="I574" s="2">
        <v>11735.6</v>
      </c>
      <c r="J574" s="2">
        <v>0.1</v>
      </c>
      <c r="K574" s="2">
        <v>73934.3</v>
      </c>
      <c r="L574" s="2">
        <v>58286.83</v>
      </c>
      <c r="M574" s="2">
        <v>15647.47</v>
      </c>
      <c r="N574" s="6" t="s">
        <v>58</v>
      </c>
      <c r="O574" s="6" t="s">
        <v>59</v>
      </c>
    </row>
    <row r="575" spans="1:15" x14ac:dyDescent="0.3">
      <c r="A575" s="2" t="s">
        <v>406</v>
      </c>
      <c r="B575" s="5">
        <v>45985</v>
      </c>
      <c r="C575" s="6" t="s">
        <v>16</v>
      </c>
      <c r="D575" s="6" t="s">
        <v>82</v>
      </c>
      <c r="E575" s="6" t="s">
        <v>18</v>
      </c>
      <c r="F575" s="6" t="s">
        <v>34</v>
      </c>
      <c r="G575" s="6" t="s">
        <v>57</v>
      </c>
      <c r="H575" s="2">
        <v>2</v>
      </c>
      <c r="I575" s="2">
        <v>23171.56</v>
      </c>
      <c r="J575" s="2">
        <v>0.1</v>
      </c>
      <c r="K575" s="2">
        <v>41708.81</v>
      </c>
      <c r="L575" s="2">
        <v>25981.15</v>
      </c>
      <c r="M575" s="2">
        <v>15727.66</v>
      </c>
      <c r="N575" s="6" t="s">
        <v>21</v>
      </c>
      <c r="O575" s="6" t="s">
        <v>30</v>
      </c>
    </row>
    <row r="576" spans="1:15" x14ac:dyDescent="0.3">
      <c r="A576" s="2" t="s">
        <v>246</v>
      </c>
      <c r="B576" s="5">
        <v>45782</v>
      </c>
      <c r="C576" s="6" t="s">
        <v>63</v>
      </c>
      <c r="D576" s="6" t="s">
        <v>117</v>
      </c>
      <c r="E576" s="6" t="s">
        <v>65</v>
      </c>
      <c r="F576" s="6" t="s">
        <v>27</v>
      </c>
      <c r="G576" s="6" t="s">
        <v>89</v>
      </c>
      <c r="H576" s="2">
        <v>2</v>
      </c>
      <c r="I576" s="2">
        <v>30525.67</v>
      </c>
      <c r="J576" s="2">
        <v>0.08</v>
      </c>
      <c r="K576" s="2">
        <v>56167.23</v>
      </c>
      <c r="L576" s="2">
        <v>40364.400000000001</v>
      </c>
      <c r="M576" s="2">
        <v>15802.83</v>
      </c>
      <c r="N576" s="6" t="s">
        <v>58</v>
      </c>
      <c r="O576" s="6" t="s">
        <v>30</v>
      </c>
    </row>
    <row r="577" spans="1:15" x14ac:dyDescent="0.3">
      <c r="A577" s="2" t="s">
        <v>254</v>
      </c>
      <c r="B577" s="5">
        <v>45761</v>
      </c>
      <c r="C577" s="6" t="s">
        <v>54</v>
      </c>
      <c r="D577" s="6" t="s">
        <v>55</v>
      </c>
      <c r="E577" s="6" t="s">
        <v>56</v>
      </c>
      <c r="F577" s="6" t="s">
        <v>34</v>
      </c>
      <c r="G577" s="6" t="s">
        <v>35</v>
      </c>
      <c r="H577" s="2">
        <v>3</v>
      </c>
      <c r="I577" s="2">
        <v>19230.27</v>
      </c>
      <c r="J577" s="2">
        <v>0.03</v>
      </c>
      <c r="K577" s="2">
        <v>55960.09</v>
      </c>
      <c r="L577" s="2">
        <v>40058.239999999998</v>
      </c>
      <c r="M577" s="2">
        <v>15901.85</v>
      </c>
      <c r="N577" s="6" t="s">
        <v>21</v>
      </c>
      <c r="O577" s="6" t="s">
        <v>40</v>
      </c>
    </row>
    <row r="578" spans="1:15" x14ac:dyDescent="0.3">
      <c r="A578" s="2" t="s">
        <v>621</v>
      </c>
      <c r="B578" s="5">
        <v>45975</v>
      </c>
      <c r="C578" s="6" t="s">
        <v>16</v>
      </c>
      <c r="D578" s="6" t="s">
        <v>17</v>
      </c>
      <c r="E578" s="6" t="s">
        <v>74</v>
      </c>
      <c r="F578" s="6" t="s">
        <v>34</v>
      </c>
      <c r="G578" s="6" t="s">
        <v>70</v>
      </c>
      <c r="H578" s="2">
        <v>1</v>
      </c>
      <c r="I578" s="2">
        <v>62208.63</v>
      </c>
      <c r="J578" s="2">
        <v>0.1</v>
      </c>
      <c r="K578" s="2">
        <v>55987.77</v>
      </c>
      <c r="L578" s="2">
        <v>40050.58</v>
      </c>
      <c r="M578" s="2">
        <v>15937.19</v>
      </c>
      <c r="N578" s="6" t="s">
        <v>58</v>
      </c>
      <c r="O578" s="6" t="s">
        <v>40</v>
      </c>
    </row>
    <row r="579" spans="1:15" x14ac:dyDescent="0.3">
      <c r="A579" s="2" t="s">
        <v>658</v>
      </c>
      <c r="B579" s="5">
        <v>45852</v>
      </c>
      <c r="C579" s="6" t="s">
        <v>16</v>
      </c>
      <c r="D579" s="6" t="s">
        <v>82</v>
      </c>
      <c r="E579" s="6" t="s">
        <v>56</v>
      </c>
      <c r="F579" s="6" t="s">
        <v>19</v>
      </c>
      <c r="G579" s="6" t="s">
        <v>108</v>
      </c>
      <c r="H579" s="2">
        <v>7</v>
      </c>
      <c r="I579" s="2">
        <v>15521.67</v>
      </c>
      <c r="J579" s="2">
        <v>0.05</v>
      </c>
      <c r="K579" s="2">
        <v>103219.11</v>
      </c>
      <c r="L579" s="2">
        <v>87254.26</v>
      </c>
      <c r="M579" s="2">
        <v>15964.85</v>
      </c>
      <c r="N579" s="6" t="s">
        <v>29</v>
      </c>
      <c r="O579" s="6" t="s">
        <v>59</v>
      </c>
    </row>
    <row r="580" spans="1:15" x14ac:dyDescent="0.3">
      <c r="A580" s="2" t="s">
        <v>991</v>
      </c>
      <c r="B580" s="5">
        <v>45983</v>
      </c>
      <c r="C580" s="6" t="s">
        <v>54</v>
      </c>
      <c r="D580" s="6" t="s">
        <v>48</v>
      </c>
      <c r="E580" s="6" t="s">
        <v>49</v>
      </c>
      <c r="F580" s="6" t="s">
        <v>43</v>
      </c>
      <c r="G580" s="6" t="s">
        <v>44</v>
      </c>
      <c r="H580" s="2">
        <v>4</v>
      </c>
      <c r="I580" s="2">
        <v>12676.68</v>
      </c>
      <c r="J580" s="2">
        <v>0.05</v>
      </c>
      <c r="K580" s="2">
        <v>48171.39</v>
      </c>
      <c r="L580" s="2">
        <v>32147.43</v>
      </c>
      <c r="M580" s="2">
        <v>16023.96</v>
      </c>
      <c r="N580" s="6" t="s">
        <v>21</v>
      </c>
      <c r="O580" s="6" t="s">
        <v>30</v>
      </c>
    </row>
    <row r="581" spans="1:15" x14ac:dyDescent="0.3">
      <c r="A581" s="2" t="s">
        <v>918</v>
      </c>
      <c r="B581" s="5">
        <v>46006</v>
      </c>
      <c r="C581" s="6" t="s">
        <v>54</v>
      </c>
      <c r="D581" s="6" t="s">
        <v>124</v>
      </c>
      <c r="E581" s="6" t="s">
        <v>56</v>
      </c>
      <c r="F581" s="6" t="s">
        <v>34</v>
      </c>
      <c r="G581" s="6" t="s">
        <v>57</v>
      </c>
      <c r="H581" s="2">
        <v>3</v>
      </c>
      <c r="I581" s="2">
        <v>22105.16</v>
      </c>
      <c r="J581" s="2">
        <v>0.08</v>
      </c>
      <c r="K581" s="2">
        <v>61010.25</v>
      </c>
      <c r="L581" s="2">
        <v>44890.22</v>
      </c>
      <c r="M581" s="2">
        <v>16120.03</v>
      </c>
      <c r="N581" s="6" t="s">
        <v>29</v>
      </c>
      <c r="O581" s="6" t="s">
        <v>59</v>
      </c>
    </row>
    <row r="582" spans="1:15" x14ac:dyDescent="0.3">
      <c r="A582" s="2" t="s">
        <v>1309</v>
      </c>
      <c r="B582" s="5">
        <v>45923</v>
      </c>
      <c r="C582" s="6" t="s">
        <v>16</v>
      </c>
      <c r="D582" s="6" t="s">
        <v>82</v>
      </c>
      <c r="E582" s="6" t="s">
        <v>33</v>
      </c>
      <c r="F582" s="6" t="s">
        <v>43</v>
      </c>
      <c r="G582" s="6" t="s">
        <v>75</v>
      </c>
      <c r="H582" s="2">
        <v>3</v>
      </c>
      <c r="I582" s="2">
        <v>36520.199999999997</v>
      </c>
      <c r="J582" s="2">
        <v>0.08</v>
      </c>
      <c r="K582" s="2">
        <v>100795.74</v>
      </c>
      <c r="L582" s="2">
        <v>84673.46</v>
      </c>
      <c r="M582" s="2">
        <v>16122.28</v>
      </c>
      <c r="N582" s="6" t="s">
        <v>21</v>
      </c>
      <c r="O582" s="6" t="s">
        <v>40</v>
      </c>
    </row>
    <row r="583" spans="1:15" x14ac:dyDescent="0.3">
      <c r="A583" s="2" t="s">
        <v>662</v>
      </c>
      <c r="B583" s="5">
        <v>45742</v>
      </c>
      <c r="C583" s="6" t="s">
        <v>16</v>
      </c>
      <c r="D583" s="6" t="s">
        <v>52</v>
      </c>
      <c r="E583" s="6" t="s">
        <v>74</v>
      </c>
      <c r="F583" s="6" t="s">
        <v>43</v>
      </c>
      <c r="G583" s="6" t="s">
        <v>44</v>
      </c>
      <c r="H583" s="2">
        <v>5</v>
      </c>
      <c r="I583" s="2">
        <v>11225.65</v>
      </c>
      <c r="J583" s="2">
        <v>0.08</v>
      </c>
      <c r="K583" s="2">
        <v>51638.01</v>
      </c>
      <c r="L583" s="2">
        <v>35508.26</v>
      </c>
      <c r="M583" s="2">
        <v>16129.75</v>
      </c>
      <c r="N583" s="6" t="s">
        <v>58</v>
      </c>
      <c r="O583" s="6" t="s">
        <v>30</v>
      </c>
    </row>
    <row r="584" spans="1:15" x14ac:dyDescent="0.3">
      <c r="A584" s="2" t="s">
        <v>955</v>
      </c>
      <c r="B584" s="5">
        <v>46014</v>
      </c>
      <c r="C584" s="6" t="s">
        <v>54</v>
      </c>
      <c r="D584" s="6" t="s">
        <v>48</v>
      </c>
      <c r="E584" s="6" t="s">
        <v>18</v>
      </c>
      <c r="F584" s="6" t="s">
        <v>27</v>
      </c>
      <c r="G584" s="6" t="s">
        <v>50</v>
      </c>
      <c r="H584" s="2">
        <v>2</v>
      </c>
      <c r="I584" s="2">
        <v>29570.42</v>
      </c>
      <c r="J584" s="2">
        <v>0.03</v>
      </c>
      <c r="K584" s="2">
        <v>57366.62</v>
      </c>
      <c r="L584" s="2">
        <v>41158.239999999998</v>
      </c>
      <c r="M584" s="2">
        <v>16208.38</v>
      </c>
      <c r="N584" s="6" t="s">
        <v>21</v>
      </c>
      <c r="O584" s="6" t="s">
        <v>45</v>
      </c>
    </row>
    <row r="585" spans="1:15" x14ac:dyDescent="0.3">
      <c r="A585" s="2" t="s">
        <v>579</v>
      </c>
      <c r="B585" s="5">
        <v>45672</v>
      </c>
      <c r="C585" s="6" t="s">
        <v>37</v>
      </c>
      <c r="D585" s="6" t="s">
        <v>25</v>
      </c>
      <c r="E585" s="6" t="s">
        <v>33</v>
      </c>
      <c r="F585" s="6" t="s">
        <v>43</v>
      </c>
      <c r="G585" s="6" t="s">
        <v>91</v>
      </c>
      <c r="H585" s="2">
        <v>2</v>
      </c>
      <c r="I585" s="2">
        <v>46335.62</v>
      </c>
      <c r="J585" s="2">
        <v>0.05</v>
      </c>
      <c r="K585" s="2">
        <v>88037.69</v>
      </c>
      <c r="L585" s="2">
        <v>71737.320000000007</v>
      </c>
      <c r="M585" s="2">
        <v>16300.37</v>
      </c>
      <c r="N585" s="6" t="s">
        <v>21</v>
      </c>
      <c r="O585" s="6" t="s">
        <v>30</v>
      </c>
    </row>
    <row r="586" spans="1:15" x14ac:dyDescent="0.3">
      <c r="A586" s="2" t="s">
        <v>546</v>
      </c>
      <c r="B586" s="5">
        <v>45901</v>
      </c>
      <c r="C586" s="6" t="s">
        <v>16</v>
      </c>
      <c r="D586" s="6" t="s">
        <v>32</v>
      </c>
      <c r="E586" s="6" t="s">
        <v>74</v>
      </c>
      <c r="F586" s="6" t="s">
        <v>27</v>
      </c>
      <c r="G586" s="6" t="s">
        <v>66</v>
      </c>
      <c r="H586" s="2">
        <v>6</v>
      </c>
      <c r="I586" s="2">
        <v>10801.6</v>
      </c>
      <c r="J586" s="2">
        <v>0.08</v>
      </c>
      <c r="K586" s="2">
        <v>59624.85</v>
      </c>
      <c r="L586" s="2">
        <v>43292.89</v>
      </c>
      <c r="M586" s="2">
        <v>16331.96</v>
      </c>
      <c r="N586" s="6" t="s">
        <v>21</v>
      </c>
      <c r="O586" s="6" t="s">
        <v>30</v>
      </c>
    </row>
    <row r="587" spans="1:15" x14ac:dyDescent="0.3">
      <c r="A587" s="2" t="s">
        <v>78</v>
      </c>
      <c r="B587" s="5">
        <v>45817</v>
      </c>
      <c r="C587" s="6" t="s">
        <v>16</v>
      </c>
      <c r="D587" s="6" t="s">
        <v>52</v>
      </c>
      <c r="E587" s="6" t="s">
        <v>18</v>
      </c>
      <c r="F587" s="6" t="s">
        <v>34</v>
      </c>
      <c r="G587" s="6" t="s">
        <v>70</v>
      </c>
      <c r="H587" s="2">
        <v>1</v>
      </c>
      <c r="I587" s="2">
        <v>62291.44</v>
      </c>
      <c r="J587" s="2">
        <v>0</v>
      </c>
      <c r="K587" s="2">
        <v>62291.44</v>
      </c>
      <c r="L587" s="2">
        <v>45937.98</v>
      </c>
      <c r="M587" s="2">
        <v>16353.46</v>
      </c>
      <c r="N587" s="6" t="s">
        <v>29</v>
      </c>
      <c r="O587" s="6" t="s">
        <v>40</v>
      </c>
    </row>
    <row r="588" spans="1:15" x14ac:dyDescent="0.3">
      <c r="A588" s="2" t="s">
        <v>899</v>
      </c>
      <c r="B588" s="5">
        <v>45846</v>
      </c>
      <c r="C588" s="6" t="s">
        <v>63</v>
      </c>
      <c r="D588" s="6" t="s">
        <v>95</v>
      </c>
      <c r="E588" s="6" t="s">
        <v>26</v>
      </c>
      <c r="F588" s="6" t="s">
        <v>27</v>
      </c>
      <c r="G588" s="6" t="s">
        <v>66</v>
      </c>
      <c r="H588" s="2">
        <v>5</v>
      </c>
      <c r="I588" s="2">
        <v>11541.16</v>
      </c>
      <c r="J588" s="2">
        <v>0</v>
      </c>
      <c r="K588" s="2">
        <v>57705.81</v>
      </c>
      <c r="L588" s="2">
        <v>41279.85</v>
      </c>
      <c r="M588" s="2">
        <v>16425.96</v>
      </c>
      <c r="N588" s="6" t="s">
        <v>21</v>
      </c>
      <c r="O588" s="6" t="s">
        <v>40</v>
      </c>
    </row>
    <row r="589" spans="1:15" x14ac:dyDescent="0.3">
      <c r="A589" s="2" t="s">
        <v>1152</v>
      </c>
      <c r="B589" s="5">
        <v>46001</v>
      </c>
      <c r="C589" s="6" t="s">
        <v>63</v>
      </c>
      <c r="D589" s="6" t="s">
        <v>117</v>
      </c>
      <c r="E589" s="6" t="s">
        <v>26</v>
      </c>
      <c r="F589" s="6" t="s">
        <v>34</v>
      </c>
      <c r="G589" s="6" t="s">
        <v>35</v>
      </c>
      <c r="H589" s="2">
        <v>5</v>
      </c>
      <c r="I589" s="2">
        <v>17989.349999999999</v>
      </c>
      <c r="J589" s="2">
        <v>0.05</v>
      </c>
      <c r="K589" s="2">
        <v>85449.43</v>
      </c>
      <c r="L589" s="2">
        <v>68945.33</v>
      </c>
      <c r="M589" s="2">
        <v>16504.099999999999</v>
      </c>
      <c r="N589" s="6" t="s">
        <v>29</v>
      </c>
      <c r="O589" s="6" t="s">
        <v>30</v>
      </c>
    </row>
    <row r="590" spans="1:15" x14ac:dyDescent="0.3">
      <c r="A590" s="2" t="s">
        <v>1170</v>
      </c>
      <c r="B590" s="5">
        <v>46002</v>
      </c>
      <c r="C590" s="6" t="s">
        <v>16</v>
      </c>
      <c r="D590" s="6" t="s">
        <v>17</v>
      </c>
      <c r="E590" s="6" t="s">
        <v>18</v>
      </c>
      <c r="F590" s="6" t="s">
        <v>43</v>
      </c>
      <c r="G590" s="6" t="s">
        <v>91</v>
      </c>
      <c r="H590" s="2">
        <v>2</v>
      </c>
      <c r="I590" s="2">
        <v>46779.01</v>
      </c>
      <c r="J590" s="2">
        <v>0.03</v>
      </c>
      <c r="K590" s="2">
        <v>90751.28</v>
      </c>
      <c r="L590" s="2">
        <v>74151.789999999994</v>
      </c>
      <c r="M590" s="2">
        <v>16599.490000000002</v>
      </c>
      <c r="N590" s="6" t="s">
        <v>58</v>
      </c>
      <c r="O590" s="6" t="s">
        <v>45</v>
      </c>
    </row>
    <row r="591" spans="1:15" x14ac:dyDescent="0.3">
      <c r="A591" s="2" t="s">
        <v>350</v>
      </c>
      <c r="B591" s="5">
        <v>45739</v>
      </c>
      <c r="C591" s="6" t="s">
        <v>63</v>
      </c>
      <c r="D591" s="6" t="s">
        <v>64</v>
      </c>
      <c r="E591" s="6" t="s">
        <v>18</v>
      </c>
      <c r="F591" s="6" t="s">
        <v>43</v>
      </c>
      <c r="G591" s="6" t="s">
        <v>84</v>
      </c>
      <c r="H591" s="2">
        <v>3</v>
      </c>
      <c r="I591" s="2">
        <v>42519.32</v>
      </c>
      <c r="J591" s="2">
        <v>0.1</v>
      </c>
      <c r="K591" s="2">
        <v>114802.15</v>
      </c>
      <c r="L591" s="2">
        <v>98199.17</v>
      </c>
      <c r="M591" s="2">
        <v>16602.98</v>
      </c>
      <c r="N591" s="6" t="s">
        <v>29</v>
      </c>
      <c r="O591" s="6" t="s">
        <v>40</v>
      </c>
    </row>
    <row r="592" spans="1:15" x14ac:dyDescent="0.3">
      <c r="A592" s="2" t="s">
        <v>712</v>
      </c>
      <c r="B592" s="5">
        <v>45954</v>
      </c>
      <c r="C592" s="6" t="s">
        <v>37</v>
      </c>
      <c r="D592" s="6" t="s">
        <v>25</v>
      </c>
      <c r="E592" s="6" t="s">
        <v>1356</v>
      </c>
      <c r="F592" s="6" t="s">
        <v>19</v>
      </c>
      <c r="G592" s="6" t="s">
        <v>61</v>
      </c>
      <c r="H592" s="2">
        <v>7</v>
      </c>
      <c r="I592" s="2">
        <v>8469.7999999999993</v>
      </c>
      <c r="J592" s="2">
        <v>0.1</v>
      </c>
      <c r="K592" s="2">
        <v>53359.75</v>
      </c>
      <c r="L592" s="2">
        <v>36605.11</v>
      </c>
      <c r="M592" s="2">
        <v>16754.64</v>
      </c>
      <c r="N592" s="6" t="s">
        <v>58</v>
      </c>
      <c r="O592" s="6" t="s">
        <v>45</v>
      </c>
    </row>
    <row r="593" spans="1:15" x14ac:dyDescent="0.3">
      <c r="A593" s="2" t="s">
        <v>907</v>
      </c>
      <c r="B593" s="5">
        <v>45932</v>
      </c>
      <c r="C593" s="6" t="s">
        <v>16</v>
      </c>
      <c r="D593" s="6" t="s">
        <v>82</v>
      </c>
      <c r="E593" s="6" t="s">
        <v>74</v>
      </c>
      <c r="F593" s="6" t="s">
        <v>34</v>
      </c>
      <c r="G593" s="6" t="s">
        <v>35</v>
      </c>
      <c r="H593" s="2">
        <v>5</v>
      </c>
      <c r="I593" s="2">
        <v>17965.740000000002</v>
      </c>
      <c r="J593" s="2">
        <v>0.08</v>
      </c>
      <c r="K593" s="2">
        <v>82642.41</v>
      </c>
      <c r="L593" s="2">
        <v>65801.98</v>
      </c>
      <c r="M593" s="2">
        <v>16840.43</v>
      </c>
      <c r="N593" s="6" t="s">
        <v>21</v>
      </c>
      <c r="O593" s="6" t="s">
        <v>30</v>
      </c>
    </row>
    <row r="594" spans="1:15" x14ac:dyDescent="0.3">
      <c r="A594" s="2" t="s">
        <v>595</v>
      </c>
      <c r="B594" s="5">
        <v>45847</v>
      </c>
      <c r="C594" s="6" t="s">
        <v>37</v>
      </c>
      <c r="D594" s="6" t="s">
        <v>25</v>
      </c>
      <c r="E594" s="6" t="s">
        <v>74</v>
      </c>
      <c r="F594" s="6" t="s">
        <v>27</v>
      </c>
      <c r="G594" s="6" t="s">
        <v>66</v>
      </c>
      <c r="H594" s="2">
        <v>7</v>
      </c>
      <c r="I594" s="2">
        <v>11637.99</v>
      </c>
      <c r="J594" s="2">
        <v>0.03</v>
      </c>
      <c r="K594" s="2">
        <v>79021.98</v>
      </c>
      <c r="L594" s="2">
        <v>62178.05</v>
      </c>
      <c r="M594" s="2">
        <v>16843.93</v>
      </c>
      <c r="N594" s="6" t="s">
        <v>58</v>
      </c>
      <c r="O594" s="6" t="s">
        <v>30</v>
      </c>
    </row>
    <row r="595" spans="1:15" x14ac:dyDescent="0.3">
      <c r="A595" s="2" t="s">
        <v>199</v>
      </c>
      <c r="B595" s="5">
        <v>45883</v>
      </c>
      <c r="C595" s="6" t="s">
        <v>37</v>
      </c>
      <c r="D595" s="6" t="s">
        <v>68</v>
      </c>
      <c r="E595" s="6" t="s">
        <v>56</v>
      </c>
      <c r="F595" s="6" t="s">
        <v>34</v>
      </c>
      <c r="G595" s="6" t="s">
        <v>39</v>
      </c>
      <c r="H595" s="2">
        <v>4</v>
      </c>
      <c r="I595" s="2">
        <v>27770.03</v>
      </c>
      <c r="J595" s="2">
        <v>0.03</v>
      </c>
      <c r="K595" s="2">
        <v>107747.71</v>
      </c>
      <c r="L595" s="2">
        <v>90893.97</v>
      </c>
      <c r="M595" s="2">
        <v>16853.740000000002</v>
      </c>
      <c r="N595" s="6" t="s">
        <v>21</v>
      </c>
      <c r="O595" s="6" t="s">
        <v>22</v>
      </c>
    </row>
    <row r="596" spans="1:15" x14ac:dyDescent="0.3">
      <c r="A596" s="2" t="s">
        <v>1289</v>
      </c>
      <c r="B596" s="5">
        <v>45667</v>
      </c>
      <c r="C596" s="6" t="s">
        <v>54</v>
      </c>
      <c r="D596" s="6" t="s">
        <v>55</v>
      </c>
      <c r="E596" s="6" t="s">
        <v>69</v>
      </c>
      <c r="F596" s="6" t="s">
        <v>34</v>
      </c>
      <c r="G596" s="6" t="s">
        <v>35</v>
      </c>
      <c r="H596" s="2">
        <v>5</v>
      </c>
      <c r="I596" s="2">
        <v>17452.599999999999</v>
      </c>
      <c r="J596" s="2">
        <v>0.1</v>
      </c>
      <c r="K596" s="2">
        <v>78536.69</v>
      </c>
      <c r="L596" s="2">
        <v>61664.01</v>
      </c>
      <c r="M596" s="2">
        <v>16872.68</v>
      </c>
      <c r="N596" s="6" t="s">
        <v>58</v>
      </c>
      <c r="O596" s="6" t="s">
        <v>40</v>
      </c>
    </row>
    <row r="597" spans="1:15" x14ac:dyDescent="0.3">
      <c r="A597" s="2" t="s">
        <v>128</v>
      </c>
      <c r="B597" s="5">
        <v>45969</v>
      </c>
      <c r="C597" s="6" t="s">
        <v>63</v>
      </c>
      <c r="D597" s="6" t="s">
        <v>64</v>
      </c>
      <c r="E597" s="6" t="s">
        <v>56</v>
      </c>
      <c r="F597" s="6" t="s">
        <v>19</v>
      </c>
      <c r="G597" s="6" t="s">
        <v>106</v>
      </c>
      <c r="H597" s="2">
        <v>5</v>
      </c>
      <c r="I597" s="2">
        <v>13412.01</v>
      </c>
      <c r="J597" s="2">
        <v>0.05</v>
      </c>
      <c r="K597" s="2">
        <v>63707.07</v>
      </c>
      <c r="L597" s="2">
        <v>46802.5</v>
      </c>
      <c r="M597" s="2">
        <v>16904.57</v>
      </c>
      <c r="N597" s="6" t="s">
        <v>29</v>
      </c>
      <c r="O597" s="6" t="s">
        <v>45</v>
      </c>
    </row>
    <row r="598" spans="1:15" x14ac:dyDescent="0.3">
      <c r="A598" s="2" t="s">
        <v>623</v>
      </c>
      <c r="B598" s="5">
        <v>45704</v>
      </c>
      <c r="C598" s="6" t="s">
        <v>63</v>
      </c>
      <c r="D598" s="6" t="s">
        <v>88</v>
      </c>
      <c r="E598" s="6" t="s">
        <v>65</v>
      </c>
      <c r="F598" s="6" t="s">
        <v>43</v>
      </c>
      <c r="G598" s="6" t="s">
        <v>84</v>
      </c>
      <c r="H598" s="2">
        <v>1</v>
      </c>
      <c r="I598" s="2">
        <v>44622.39</v>
      </c>
      <c r="J598" s="2">
        <v>0</v>
      </c>
      <c r="K598" s="2">
        <v>44622.39</v>
      </c>
      <c r="L598" s="2">
        <v>27706.98</v>
      </c>
      <c r="M598" s="2">
        <v>16915.41</v>
      </c>
      <c r="N598" s="6" t="s">
        <v>58</v>
      </c>
      <c r="O598" s="6" t="s">
        <v>30</v>
      </c>
    </row>
    <row r="599" spans="1:15" x14ac:dyDescent="0.3">
      <c r="A599" s="2" t="s">
        <v>825</v>
      </c>
      <c r="B599" s="5">
        <v>45738</v>
      </c>
      <c r="C599" s="6" t="s">
        <v>37</v>
      </c>
      <c r="D599" s="6" t="s">
        <v>25</v>
      </c>
      <c r="E599" s="6" t="s">
        <v>65</v>
      </c>
      <c r="F599" s="6" t="s">
        <v>43</v>
      </c>
      <c r="G599" s="6" t="s">
        <v>91</v>
      </c>
      <c r="H599" s="2">
        <v>2</v>
      </c>
      <c r="I599" s="2">
        <v>46964.95</v>
      </c>
      <c r="J599" s="2">
        <v>0.05</v>
      </c>
      <c r="K599" s="2">
        <v>89233.41</v>
      </c>
      <c r="L599" s="2">
        <v>72209.09</v>
      </c>
      <c r="M599" s="2">
        <v>17024.32</v>
      </c>
      <c r="N599" s="6" t="s">
        <v>58</v>
      </c>
      <c r="O599" s="6" t="s">
        <v>59</v>
      </c>
    </row>
    <row r="600" spans="1:15" x14ac:dyDescent="0.3">
      <c r="A600" s="2" t="s">
        <v>911</v>
      </c>
      <c r="B600" s="5">
        <v>45721</v>
      </c>
      <c r="C600" s="6" t="s">
        <v>16</v>
      </c>
      <c r="D600" s="6" t="s">
        <v>82</v>
      </c>
      <c r="E600" s="6" t="s">
        <v>56</v>
      </c>
      <c r="F600" s="6" t="s">
        <v>27</v>
      </c>
      <c r="G600" s="6" t="s">
        <v>66</v>
      </c>
      <c r="H600" s="2">
        <v>8</v>
      </c>
      <c r="I600" s="2">
        <v>10909.2</v>
      </c>
      <c r="J600" s="2">
        <v>0.03</v>
      </c>
      <c r="K600" s="2">
        <v>84655.37</v>
      </c>
      <c r="L600" s="2">
        <v>67610.91</v>
      </c>
      <c r="M600" s="2">
        <v>17044.46</v>
      </c>
      <c r="N600" s="6" t="s">
        <v>58</v>
      </c>
      <c r="O600" s="6" t="s">
        <v>45</v>
      </c>
    </row>
    <row r="601" spans="1:15" x14ac:dyDescent="0.3">
      <c r="A601" s="2" t="s">
        <v>535</v>
      </c>
      <c r="B601" s="5">
        <v>45850</v>
      </c>
      <c r="C601" s="6" t="s">
        <v>16</v>
      </c>
      <c r="D601" s="6" t="s">
        <v>32</v>
      </c>
      <c r="E601" s="6" t="s">
        <v>26</v>
      </c>
      <c r="F601" s="6" t="s">
        <v>34</v>
      </c>
      <c r="G601" s="6" t="s">
        <v>57</v>
      </c>
      <c r="H601" s="2">
        <v>5</v>
      </c>
      <c r="I601" s="2">
        <v>20548.53</v>
      </c>
      <c r="J601" s="2">
        <v>0</v>
      </c>
      <c r="K601" s="2">
        <v>102742.64</v>
      </c>
      <c r="L601" s="2">
        <v>85678.77</v>
      </c>
      <c r="M601" s="2">
        <v>17063.87</v>
      </c>
      <c r="N601" s="6" t="s">
        <v>21</v>
      </c>
      <c r="O601" s="6" t="s">
        <v>45</v>
      </c>
    </row>
    <row r="602" spans="1:15" x14ac:dyDescent="0.3">
      <c r="A602" s="2" t="s">
        <v>586</v>
      </c>
      <c r="B602" s="5">
        <v>45889</v>
      </c>
      <c r="C602" s="6" t="s">
        <v>54</v>
      </c>
      <c r="D602" s="6" t="s">
        <v>174</v>
      </c>
      <c r="E602" s="6" t="s">
        <v>74</v>
      </c>
      <c r="F602" s="6" t="s">
        <v>34</v>
      </c>
      <c r="G602" s="6" t="s">
        <v>35</v>
      </c>
      <c r="H602" s="2">
        <v>7</v>
      </c>
      <c r="I602" s="2">
        <v>16633.64</v>
      </c>
      <c r="J602" s="2">
        <v>0.1</v>
      </c>
      <c r="K602" s="2">
        <v>104791.94</v>
      </c>
      <c r="L602" s="2">
        <v>87687.75</v>
      </c>
      <c r="M602" s="2">
        <v>17104.189999999999</v>
      </c>
      <c r="N602" s="6" t="s">
        <v>58</v>
      </c>
      <c r="O602" s="6" t="s">
        <v>59</v>
      </c>
    </row>
    <row r="603" spans="1:15" x14ac:dyDescent="0.3">
      <c r="A603" s="2" t="s">
        <v>639</v>
      </c>
      <c r="B603" s="5">
        <v>45677</v>
      </c>
      <c r="C603" s="6" t="s">
        <v>37</v>
      </c>
      <c r="D603" s="6" t="s">
        <v>42</v>
      </c>
      <c r="E603" s="6" t="s">
        <v>65</v>
      </c>
      <c r="F603" s="6" t="s">
        <v>19</v>
      </c>
      <c r="G603" s="6" t="s">
        <v>61</v>
      </c>
      <c r="H603" s="2">
        <v>5</v>
      </c>
      <c r="I603" s="2">
        <v>9439.3700000000008</v>
      </c>
      <c r="J603" s="2">
        <v>0</v>
      </c>
      <c r="K603" s="2">
        <v>47196.84</v>
      </c>
      <c r="L603" s="2">
        <v>30051.77</v>
      </c>
      <c r="M603" s="2">
        <v>17145.07</v>
      </c>
      <c r="N603" s="6" t="s">
        <v>58</v>
      </c>
      <c r="O603" s="6" t="s">
        <v>30</v>
      </c>
    </row>
    <row r="604" spans="1:15" x14ac:dyDescent="0.3">
      <c r="A604" s="2" t="s">
        <v>1090</v>
      </c>
      <c r="B604" s="5">
        <v>45693</v>
      </c>
      <c r="C604" s="6" t="s">
        <v>63</v>
      </c>
      <c r="D604" s="6" t="s">
        <v>64</v>
      </c>
      <c r="E604" s="6" t="s">
        <v>74</v>
      </c>
      <c r="F604" s="6" t="s">
        <v>27</v>
      </c>
      <c r="G604" s="6" t="s">
        <v>125</v>
      </c>
      <c r="H604" s="2">
        <v>6</v>
      </c>
      <c r="I604" s="2">
        <v>8909.93</v>
      </c>
      <c r="J604" s="2">
        <v>0.1</v>
      </c>
      <c r="K604" s="2">
        <v>48113.61</v>
      </c>
      <c r="L604" s="2">
        <v>30967.78</v>
      </c>
      <c r="M604" s="2">
        <v>17145.830000000002</v>
      </c>
      <c r="N604" s="6" t="s">
        <v>58</v>
      </c>
      <c r="O604" s="6" t="s">
        <v>45</v>
      </c>
    </row>
    <row r="605" spans="1:15" x14ac:dyDescent="0.3">
      <c r="A605" s="2" t="s">
        <v>1027</v>
      </c>
      <c r="B605" s="5">
        <v>45765</v>
      </c>
      <c r="C605" s="6" t="s">
        <v>54</v>
      </c>
      <c r="D605" s="6" t="s">
        <v>55</v>
      </c>
      <c r="E605" s="6" t="s">
        <v>69</v>
      </c>
      <c r="F605" s="6" t="s">
        <v>43</v>
      </c>
      <c r="G605" s="6" t="s">
        <v>84</v>
      </c>
      <c r="H605" s="2">
        <v>2</v>
      </c>
      <c r="I605" s="2">
        <v>42856.84</v>
      </c>
      <c r="J605" s="2">
        <v>0.1</v>
      </c>
      <c r="K605" s="2">
        <v>77142.31</v>
      </c>
      <c r="L605" s="2">
        <v>59828.12</v>
      </c>
      <c r="M605" s="2">
        <v>17314.189999999999</v>
      </c>
      <c r="N605" s="6" t="s">
        <v>29</v>
      </c>
      <c r="O605" s="6" t="s">
        <v>22</v>
      </c>
    </row>
    <row r="606" spans="1:15" x14ac:dyDescent="0.3">
      <c r="A606" s="2" t="s">
        <v>1280</v>
      </c>
      <c r="B606" s="5">
        <v>45662</v>
      </c>
      <c r="C606" s="6" t="s">
        <v>37</v>
      </c>
      <c r="D606" s="6" t="s">
        <v>68</v>
      </c>
      <c r="E606" s="6" t="s">
        <v>26</v>
      </c>
      <c r="F606" s="6" t="s">
        <v>19</v>
      </c>
      <c r="G606" s="6" t="s">
        <v>61</v>
      </c>
      <c r="H606" s="2">
        <v>8</v>
      </c>
      <c r="I606" s="2">
        <v>9703.01</v>
      </c>
      <c r="J606" s="2">
        <v>0.05</v>
      </c>
      <c r="K606" s="2">
        <v>73742.899999999994</v>
      </c>
      <c r="L606" s="2">
        <v>56328.59</v>
      </c>
      <c r="M606" s="2">
        <v>17414.310000000001</v>
      </c>
      <c r="N606" s="6" t="s">
        <v>21</v>
      </c>
      <c r="O606" s="6" t="s">
        <v>30</v>
      </c>
    </row>
    <row r="607" spans="1:15" x14ac:dyDescent="0.3">
      <c r="A607" s="2" t="s">
        <v>960</v>
      </c>
      <c r="B607" s="5">
        <v>45762</v>
      </c>
      <c r="C607" s="6" t="s">
        <v>63</v>
      </c>
      <c r="D607" s="6" t="s">
        <v>117</v>
      </c>
      <c r="E607" s="6" t="s">
        <v>49</v>
      </c>
      <c r="F607" s="6" t="s">
        <v>27</v>
      </c>
      <c r="G607" s="6" t="s">
        <v>50</v>
      </c>
      <c r="H607" s="2">
        <v>4</v>
      </c>
      <c r="I607" s="2">
        <v>29680.63</v>
      </c>
      <c r="J607" s="2">
        <v>0.05</v>
      </c>
      <c r="K607" s="2">
        <v>112786.38</v>
      </c>
      <c r="L607" s="2">
        <v>95319.48</v>
      </c>
      <c r="M607" s="2">
        <v>17466.900000000001</v>
      </c>
      <c r="N607" s="6" t="s">
        <v>21</v>
      </c>
      <c r="O607" s="6" t="s">
        <v>30</v>
      </c>
    </row>
    <row r="608" spans="1:15" x14ac:dyDescent="0.3">
      <c r="A608" s="2" t="s">
        <v>1021</v>
      </c>
      <c r="B608" s="5">
        <v>45907</v>
      </c>
      <c r="C608" s="6" t="s">
        <v>16</v>
      </c>
      <c r="D608" s="6" t="s">
        <v>82</v>
      </c>
      <c r="E608" s="6" t="s">
        <v>65</v>
      </c>
      <c r="F608" s="6" t="s">
        <v>43</v>
      </c>
      <c r="G608" s="6" t="s">
        <v>84</v>
      </c>
      <c r="H608" s="2">
        <v>2</v>
      </c>
      <c r="I608" s="2">
        <v>40696.33</v>
      </c>
      <c r="J608" s="2">
        <v>0.1</v>
      </c>
      <c r="K608" s="2">
        <v>73253.39</v>
      </c>
      <c r="L608" s="2">
        <v>55764.92</v>
      </c>
      <c r="M608" s="2">
        <v>17488.47</v>
      </c>
      <c r="N608" s="6" t="s">
        <v>21</v>
      </c>
      <c r="O608" s="6" t="s">
        <v>22</v>
      </c>
    </row>
    <row r="609" spans="1:15" x14ac:dyDescent="0.3">
      <c r="A609" s="2" t="s">
        <v>1050</v>
      </c>
      <c r="B609" s="5">
        <v>45797</v>
      </c>
      <c r="C609" s="6" t="s">
        <v>37</v>
      </c>
      <c r="D609" s="6" t="s">
        <v>25</v>
      </c>
      <c r="E609" s="6" t="s">
        <v>69</v>
      </c>
      <c r="F609" s="6" t="s">
        <v>34</v>
      </c>
      <c r="G609" s="6" t="s">
        <v>39</v>
      </c>
      <c r="H609" s="2">
        <v>3</v>
      </c>
      <c r="I609" s="2">
        <v>30151.13</v>
      </c>
      <c r="J609" s="2">
        <v>0.1</v>
      </c>
      <c r="K609" s="2">
        <v>81408.06</v>
      </c>
      <c r="L609" s="2">
        <v>63902.87</v>
      </c>
      <c r="M609" s="2">
        <v>17505.189999999999</v>
      </c>
      <c r="N609" s="6" t="s">
        <v>29</v>
      </c>
      <c r="O609" s="6" t="s">
        <v>59</v>
      </c>
    </row>
    <row r="610" spans="1:15" x14ac:dyDescent="0.3">
      <c r="A610" s="2" t="s">
        <v>550</v>
      </c>
      <c r="B610" s="5">
        <v>45783</v>
      </c>
      <c r="C610" s="6" t="s">
        <v>37</v>
      </c>
      <c r="D610" s="6" t="s">
        <v>42</v>
      </c>
      <c r="E610" s="6" t="s">
        <v>69</v>
      </c>
      <c r="F610" s="6" t="s">
        <v>34</v>
      </c>
      <c r="G610" s="6" t="s">
        <v>35</v>
      </c>
      <c r="H610" s="2">
        <v>3</v>
      </c>
      <c r="I610" s="2">
        <v>18513.77</v>
      </c>
      <c r="J610" s="2">
        <v>0.08</v>
      </c>
      <c r="K610" s="2">
        <v>51098</v>
      </c>
      <c r="L610" s="2">
        <v>33500.18</v>
      </c>
      <c r="M610" s="2">
        <v>17597.82</v>
      </c>
      <c r="N610" s="6" t="s">
        <v>21</v>
      </c>
      <c r="O610" s="6" t="s">
        <v>22</v>
      </c>
    </row>
    <row r="611" spans="1:15" x14ac:dyDescent="0.3">
      <c r="A611" s="2" t="s">
        <v>395</v>
      </c>
      <c r="B611" s="5">
        <v>45726</v>
      </c>
      <c r="C611" s="6" t="s">
        <v>54</v>
      </c>
      <c r="D611" s="6" t="s">
        <v>48</v>
      </c>
      <c r="E611" s="6" t="s">
        <v>49</v>
      </c>
      <c r="F611" s="6" t="s">
        <v>34</v>
      </c>
      <c r="G611" s="6" t="s">
        <v>70</v>
      </c>
      <c r="H611" s="2">
        <v>1</v>
      </c>
      <c r="I611" s="2">
        <v>65406.58</v>
      </c>
      <c r="J611" s="2">
        <v>0.03</v>
      </c>
      <c r="K611" s="2">
        <v>63444.39</v>
      </c>
      <c r="L611" s="2">
        <v>45810.32</v>
      </c>
      <c r="M611" s="2">
        <v>17634.07</v>
      </c>
      <c r="N611" s="6" t="s">
        <v>21</v>
      </c>
      <c r="O611" s="6" t="s">
        <v>45</v>
      </c>
    </row>
    <row r="612" spans="1:15" x14ac:dyDescent="0.3">
      <c r="A612" s="2" t="s">
        <v>909</v>
      </c>
      <c r="B612" s="5">
        <v>45982</v>
      </c>
      <c r="C612" s="6" t="s">
        <v>63</v>
      </c>
      <c r="D612" s="6" t="s">
        <v>117</v>
      </c>
      <c r="E612" s="6" t="s">
        <v>56</v>
      </c>
      <c r="F612" s="6" t="s">
        <v>34</v>
      </c>
      <c r="G612" s="6" t="s">
        <v>57</v>
      </c>
      <c r="H612" s="2">
        <v>6</v>
      </c>
      <c r="I612" s="2">
        <v>20977.11</v>
      </c>
      <c r="J612" s="2">
        <v>0</v>
      </c>
      <c r="K612" s="2">
        <v>125862.67</v>
      </c>
      <c r="L612" s="2">
        <v>108164.05</v>
      </c>
      <c r="M612" s="2">
        <v>17698.62</v>
      </c>
      <c r="N612" s="6" t="s">
        <v>21</v>
      </c>
      <c r="O612" s="6" t="s">
        <v>22</v>
      </c>
    </row>
    <row r="613" spans="1:15" x14ac:dyDescent="0.3">
      <c r="A613" s="2" t="s">
        <v>508</v>
      </c>
      <c r="B613" s="5">
        <v>45744</v>
      </c>
      <c r="C613" s="6" t="s">
        <v>54</v>
      </c>
      <c r="D613" s="6" t="s">
        <v>55</v>
      </c>
      <c r="E613" s="6" t="s">
        <v>74</v>
      </c>
      <c r="F613" s="6" t="s">
        <v>19</v>
      </c>
      <c r="G613" s="6" t="s">
        <v>106</v>
      </c>
      <c r="H613" s="2">
        <v>5</v>
      </c>
      <c r="I613" s="2">
        <v>15098.34</v>
      </c>
      <c r="J613" s="2">
        <v>0</v>
      </c>
      <c r="K613" s="2">
        <v>75491.72</v>
      </c>
      <c r="L613" s="2">
        <v>57739.61</v>
      </c>
      <c r="M613" s="2">
        <v>17752.11</v>
      </c>
      <c r="N613" s="6" t="s">
        <v>29</v>
      </c>
      <c r="O613" s="6" t="s">
        <v>59</v>
      </c>
    </row>
    <row r="614" spans="1:15" x14ac:dyDescent="0.3">
      <c r="A614" s="2" t="s">
        <v>872</v>
      </c>
      <c r="B614" s="5">
        <v>45937</v>
      </c>
      <c r="C614" s="6" t="s">
        <v>63</v>
      </c>
      <c r="D614" s="6" t="s">
        <v>117</v>
      </c>
      <c r="E614" s="6" t="s">
        <v>33</v>
      </c>
      <c r="F614" s="6" t="s">
        <v>19</v>
      </c>
      <c r="G614" s="6" t="s">
        <v>61</v>
      </c>
      <c r="H614" s="2">
        <v>8</v>
      </c>
      <c r="I614" s="2">
        <v>9402.56</v>
      </c>
      <c r="J614" s="2">
        <v>0</v>
      </c>
      <c r="K614" s="2">
        <v>75220.45</v>
      </c>
      <c r="L614" s="2">
        <v>57466.36</v>
      </c>
      <c r="M614" s="2">
        <v>17754.09</v>
      </c>
      <c r="N614" s="6" t="s">
        <v>21</v>
      </c>
      <c r="O614" s="6" t="s">
        <v>22</v>
      </c>
    </row>
    <row r="615" spans="1:15" x14ac:dyDescent="0.3">
      <c r="A615" s="2" t="s">
        <v>981</v>
      </c>
      <c r="B615" s="5">
        <v>45970</v>
      </c>
      <c r="C615" s="6" t="s">
        <v>54</v>
      </c>
      <c r="D615" s="6" t="s">
        <v>48</v>
      </c>
      <c r="E615" s="6" t="s">
        <v>33</v>
      </c>
      <c r="F615" s="6" t="s">
        <v>19</v>
      </c>
      <c r="G615" s="6" t="s">
        <v>108</v>
      </c>
      <c r="H615" s="2">
        <v>8</v>
      </c>
      <c r="I615" s="2">
        <v>15863.65</v>
      </c>
      <c r="J615" s="2">
        <v>0.03</v>
      </c>
      <c r="K615" s="2">
        <v>123101.93</v>
      </c>
      <c r="L615" s="2">
        <v>105307.19</v>
      </c>
      <c r="M615" s="2">
        <v>17794.740000000002</v>
      </c>
      <c r="N615" s="6" t="s">
        <v>21</v>
      </c>
      <c r="O615" s="6" t="s">
        <v>45</v>
      </c>
    </row>
    <row r="616" spans="1:15" x14ac:dyDescent="0.3">
      <c r="A616" s="2" t="s">
        <v>935</v>
      </c>
      <c r="B616" s="5">
        <v>45762</v>
      </c>
      <c r="C616" s="6" t="s">
        <v>37</v>
      </c>
      <c r="D616" s="6" t="s">
        <v>68</v>
      </c>
      <c r="E616" s="6" t="s">
        <v>18</v>
      </c>
      <c r="F616" s="6" t="s">
        <v>19</v>
      </c>
      <c r="G616" s="6" t="s">
        <v>106</v>
      </c>
      <c r="H616" s="2">
        <v>5</v>
      </c>
      <c r="I616" s="2">
        <v>14909.1</v>
      </c>
      <c r="J616" s="2">
        <v>0.1</v>
      </c>
      <c r="K616" s="2">
        <v>67090.97</v>
      </c>
      <c r="L616" s="2">
        <v>49181.71</v>
      </c>
      <c r="M616" s="2">
        <v>17909.259999999998</v>
      </c>
      <c r="N616" s="6" t="s">
        <v>29</v>
      </c>
      <c r="O616" s="6" t="s">
        <v>59</v>
      </c>
    </row>
    <row r="617" spans="1:15" x14ac:dyDescent="0.3">
      <c r="A617" s="2" t="s">
        <v>839</v>
      </c>
      <c r="B617" s="5">
        <v>45745</v>
      </c>
      <c r="C617" s="6" t="s">
        <v>16</v>
      </c>
      <c r="D617" s="6" t="s">
        <v>82</v>
      </c>
      <c r="E617" s="6" t="s">
        <v>56</v>
      </c>
      <c r="F617" s="6" t="s">
        <v>19</v>
      </c>
      <c r="G617" s="6" t="s">
        <v>61</v>
      </c>
      <c r="H617" s="2">
        <v>6</v>
      </c>
      <c r="I617" s="2">
        <v>9221.8700000000008</v>
      </c>
      <c r="J617" s="2">
        <v>0.05</v>
      </c>
      <c r="K617" s="2">
        <v>52564.67</v>
      </c>
      <c r="L617" s="2">
        <v>34595.01</v>
      </c>
      <c r="M617" s="2">
        <v>17969.66</v>
      </c>
      <c r="N617" s="6" t="s">
        <v>58</v>
      </c>
      <c r="O617" s="6" t="s">
        <v>45</v>
      </c>
    </row>
    <row r="618" spans="1:15" x14ac:dyDescent="0.3">
      <c r="A618" s="2" t="s">
        <v>402</v>
      </c>
      <c r="B618" s="5">
        <v>45832</v>
      </c>
      <c r="C618" s="6" t="s">
        <v>37</v>
      </c>
      <c r="D618" s="6" t="s">
        <v>68</v>
      </c>
      <c r="E618" s="6" t="s">
        <v>74</v>
      </c>
      <c r="F618" s="6" t="s">
        <v>34</v>
      </c>
      <c r="G618" s="6" t="s">
        <v>35</v>
      </c>
      <c r="H618" s="2">
        <v>5</v>
      </c>
      <c r="I618" s="2">
        <v>19026.830000000002</v>
      </c>
      <c r="J618" s="2">
        <v>0.08</v>
      </c>
      <c r="K618" s="2">
        <v>87523.41</v>
      </c>
      <c r="L618" s="2">
        <v>69536.789999999994</v>
      </c>
      <c r="M618" s="2">
        <v>17986.62</v>
      </c>
      <c r="N618" s="6" t="s">
        <v>29</v>
      </c>
      <c r="O618" s="6" t="s">
        <v>30</v>
      </c>
    </row>
    <row r="619" spans="1:15" x14ac:dyDescent="0.3">
      <c r="A619" s="2" t="s">
        <v>333</v>
      </c>
      <c r="B619" s="5">
        <v>45741</v>
      </c>
      <c r="C619" s="6" t="s">
        <v>63</v>
      </c>
      <c r="D619" s="6" t="s">
        <v>64</v>
      </c>
      <c r="E619" s="6" t="s">
        <v>69</v>
      </c>
      <c r="F619" s="6" t="s">
        <v>43</v>
      </c>
      <c r="G619" s="6" t="s">
        <v>75</v>
      </c>
      <c r="H619" s="2">
        <v>3</v>
      </c>
      <c r="I619" s="2">
        <v>38380.53</v>
      </c>
      <c r="J619" s="2">
        <v>0.08</v>
      </c>
      <c r="K619" s="2">
        <v>105930.27</v>
      </c>
      <c r="L619" s="2">
        <v>87889.04</v>
      </c>
      <c r="M619" s="2">
        <v>18041.23</v>
      </c>
      <c r="N619" s="6" t="s">
        <v>29</v>
      </c>
      <c r="O619" s="6" t="s">
        <v>45</v>
      </c>
    </row>
    <row r="620" spans="1:15" x14ac:dyDescent="0.3">
      <c r="A620" s="2" t="s">
        <v>381</v>
      </c>
      <c r="B620" s="5">
        <v>45990</v>
      </c>
      <c r="C620" s="6" t="s">
        <v>16</v>
      </c>
      <c r="D620" s="6" t="s">
        <v>32</v>
      </c>
      <c r="E620" s="6" t="s">
        <v>74</v>
      </c>
      <c r="F620" s="6" t="s">
        <v>27</v>
      </c>
      <c r="G620" s="6" t="s">
        <v>50</v>
      </c>
      <c r="H620" s="2">
        <v>5</v>
      </c>
      <c r="I620" s="2">
        <v>27839.9</v>
      </c>
      <c r="J620" s="2">
        <v>0.1</v>
      </c>
      <c r="K620" s="2">
        <v>125279.55</v>
      </c>
      <c r="L620" s="2">
        <v>107174.93</v>
      </c>
      <c r="M620" s="2">
        <v>18104.62</v>
      </c>
      <c r="N620" s="6" t="s">
        <v>29</v>
      </c>
      <c r="O620" s="6" t="s">
        <v>40</v>
      </c>
    </row>
    <row r="621" spans="1:15" x14ac:dyDescent="0.3">
      <c r="A621" s="2" t="s">
        <v>1210</v>
      </c>
      <c r="B621" s="5">
        <v>45700</v>
      </c>
      <c r="C621" s="6" t="s">
        <v>54</v>
      </c>
      <c r="D621" s="6" t="s">
        <v>124</v>
      </c>
      <c r="E621" s="6" t="s">
        <v>26</v>
      </c>
      <c r="F621" s="6" t="s">
        <v>43</v>
      </c>
      <c r="G621" s="6" t="s">
        <v>84</v>
      </c>
      <c r="H621" s="2">
        <v>2</v>
      </c>
      <c r="I621" s="2">
        <v>41297.120000000003</v>
      </c>
      <c r="J621" s="2">
        <v>0.1</v>
      </c>
      <c r="K621" s="2">
        <v>74334.820000000007</v>
      </c>
      <c r="L621" s="2">
        <v>56218.07</v>
      </c>
      <c r="M621" s="2">
        <v>18116.75</v>
      </c>
      <c r="N621" s="6" t="s">
        <v>29</v>
      </c>
      <c r="O621" s="6" t="s">
        <v>30</v>
      </c>
    </row>
    <row r="622" spans="1:15" x14ac:dyDescent="0.3">
      <c r="A622" s="2" t="s">
        <v>1223</v>
      </c>
      <c r="B622" s="5">
        <v>45870</v>
      </c>
      <c r="C622" s="6" t="s">
        <v>54</v>
      </c>
      <c r="D622" s="6" t="s">
        <v>174</v>
      </c>
      <c r="E622" s="6" t="s">
        <v>65</v>
      </c>
      <c r="F622" s="6" t="s">
        <v>43</v>
      </c>
      <c r="G622" s="6" t="s">
        <v>75</v>
      </c>
      <c r="H622" s="2">
        <v>3</v>
      </c>
      <c r="I622" s="2">
        <v>36475.51</v>
      </c>
      <c r="J622" s="2">
        <v>0</v>
      </c>
      <c r="K622" s="2">
        <v>109426.53</v>
      </c>
      <c r="L622" s="2">
        <v>91273.42</v>
      </c>
      <c r="M622" s="2">
        <v>18153.11</v>
      </c>
      <c r="N622" s="6" t="s">
        <v>21</v>
      </c>
      <c r="O622" s="6" t="s">
        <v>40</v>
      </c>
    </row>
    <row r="623" spans="1:15" x14ac:dyDescent="0.3">
      <c r="A623" s="2" t="s">
        <v>360</v>
      </c>
      <c r="B623" s="5">
        <v>45706</v>
      </c>
      <c r="C623" s="6" t="s">
        <v>37</v>
      </c>
      <c r="D623" s="6" t="s">
        <v>38</v>
      </c>
      <c r="E623" s="6" t="s">
        <v>26</v>
      </c>
      <c r="F623" s="6" t="s">
        <v>34</v>
      </c>
      <c r="G623" s="6" t="s">
        <v>39</v>
      </c>
      <c r="H623" s="2">
        <v>2</v>
      </c>
      <c r="I623" s="2">
        <v>31554.13</v>
      </c>
      <c r="J623" s="2">
        <v>0.08</v>
      </c>
      <c r="K623" s="2">
        <v>58059.61</v>
      </c>
      <c r="L623" s="2">
        <v>39780.78</v>
      </c>
      <c r="M623" s="2">
        <v>18278.830000000002</v>
      </c>
      <c r="N623" s="6" t="s">
        <v>21</v>
      </c>
      <c r="O623" s="6" t="s">
        <v>30</v>
      </c>
    </row>
    <row r="624" spans="1:15" x14ac:dyDescent="0.3">
      <c r="A624" s="2" t="s">
        <v>313</v>
      </c>
      <c r="B624" s="5">
        <v>45732</v>
      </c>
      <c r="C624" s="6" t="s">
        <v>37</v>
      </c>
      <c r="D624" s="6" t="s">
        <v>25</v>
      </c>
      <c r="E624" s="6" t="s">
        <v>74</v>
      </c>
      <c r="F624" s="6" t="s">
        <v>19</v>
      </c>
      <c r="G624" s="6" t="s">
        <v>106</v>
      </c>
      <c r="H624" s="2">
        <v>4</v>
      </c>
      <c r="I624" s="2">
        <v>14908.01</v>
      </c>
      <c r="J624" s="2">
        <v>0.08</v>
      </c>
      <c r="K624" s="2">
        <v>54861.46</v>
      </c>
      <c r="L624" s="2">
        <v>36532.379999999997</v>
      </c>
      <c r="M624" s="2">
        <v>18329.080000000002</v>
      </c>
      <c r="N624" s="6" t="s">
        <v>29</v>
      </c>
      <c r="O624" s="6" t="s">
        <v>30</v>
      </c>
    </row>
    <row r="625" spans="1:15" x14ac:dyDescent="0.3">
      <c r="A625" s="2" t="s">
        <v>1114</v>
      </c>
      <c r="B625" s="5">
        <v>45741</v>
      </c>
      <c r="C625" s="6" t="s">
        <v>37</v>
      </c>
      <c r="D625" s="6" t="s">
        <v>38</v>
      </c>
      <c r="E625" s="6" t="s">
        <v>65</v>
      </c>
      <c r="F625" s="6" t="s">
        <v>34</v>
      </c>
      <c r="G625" s="6" t="s">
        <v>57</v>
      </c>
      <c r="H625" s="2">
        <v>5</v>
      </c>
      <c r="I625" s="2">
        <v>20739.599999999999</v>
      </c>
      <c r="J625" s="2">
        <v>0.03</v>
      </c>
      <c r="K625" s="2">
        <v>100587.08</v>
      </c>
      <c r="L625" s="2">
        <v>82220.31</v>
      </c>
      <c r="M625" s="2">
        <v>18366.77</v>
      </c>
      <c r="N625" s="6" t="s">
        <v>29</v>
      </c>
      <c r="O625" s="6" t="s">
        <v>59</v>
      </c>
    </row>
    <row r="626" spans="1:15" x14ac:dyDescent="0.3">
      <c r="A626" s="2" t="s">
        <v>1229</v>
      </c>
      <c r="B626" s="5">
        <v>45893</v>
      </c>
      <c r="C626" s="6" t="s">
        <v>16</v>
      </c>
      <c r="D626" s="6" t="s">
        <v>32</v>
      </c>
      <c r="E626" s="6" t="s">
        <v>74</v>
      </c>
      <c r="F626" s="6" t="s">
        <v>34</v>
      </c>
      <c r="G626" s="6" t="s">
        <v>35</v>
      </c>
      <c r="H626" s="2">
        <v>5</v>
      </c>
      <c r="I626" s="2">
        <v>17342.05</v>
      </c>
      <c r="J626" s="2">
        <v>0.05</v>
      </c>
      <c r="K626" s="2">
        <v>82374.73</v>
      </c>
      <c r="L626" s="2">
        <v>63978.41</v>
      </c>
      <c r="M626" s="2">
        <v>18396.32</v>
      </c>
      <c r="N626" s="6" t="s">
        <v>21</v>
      </c>
      <c r="O626" s="6" t="s">
        <v>40</v>
      </c>
    </row>
    <row r="627" spans="1:15" x14ac:dyDescent="0.3">
      <c r="A627" s="2" t="s">
        <v>309</v>
      </c>
      <c r="B627" s="5">
        <v>45766</v>
      </c>
      <c r="C627" s="6" t="s">
        <v>54</v>
      </c>
      <c r="D627" s="6" t="s">
        <v>48</v>
      </c>
      <c r="E627" s="6" t="s">
        <v>74</v>
      </c>
      <c r="F627" s="6" t="s">
        <v>27</v>
      </c>
      <c r="G627" s="6" t="s">
        <v>89</v>
      </c>
      <c r="H627" s="2">
        <v>4</v>
      </c>
      <c r="I627" s="2">
        <v>33227.42</v>
      </c>
      <c r="J627" s="2">
        <v>0.03</v>
      </c>
      <c r="K627" s="2">
        <v>128922.39</v>
      </c>
      <c r="L627" s="2">
        <v>110514.83</v>
      </c>
      <c r="M627" s="2">
        <v>18407.560000000001</v>
      </c>
      <c r="N627" s="6" t="s">
        <v>58</v>
      </c>
      <c r="O627" s="6" t="s">
        <v>45</v>
      </c>
    </row>
    <row r="628" spans="1:15" x14ac:dyDescent="0.3">
      <c r="A628" s="2" t="s">
        <v>804</v>
      </c>
      <c r="B628" s="5">
        <v>45998</v>
      </c>
      <c r="C628" s="6" t="s">
        <v>54</v>
      </c>
      <c r="D628" s="6" t="s">
        <v>48</v>
      </c>
      <c r="E628" s="6" t="s">
        <v>69</v>
      </c>
      <c r="F628" s="6" t="s">
        <v>34</v>
      </c>
      <c r="G628" s="6" t="s">
        <v>35</v>
      </c>
      <c r="H628" s="2">
        <v>4</v>
      </c>
      <c r="I628" s="2">
        <v>18775.03</v>
      </c>
      <c r="J628" s="2">
        <v>0.1</v>
      </c>
      <c r="K628" s="2">
        <v>67590.11</v>
      </c>
      <c r="L628" s="2">
        <v>49146.47</v>
      </c>
      <c r="M628" s="2">
        <v>18443.64</v>
      </c>
      <c r="N628" s="6" t="s">
        <v>29</v>
      </c>
      <c r="O628" s="6" t="s">
        <v>40</v>
      </c>
    </row>
    <row r="629" spans="1:15" x14ac:dyDescent="0.3">
      <c r="A629" s="2" t="s">
        <v>864</v>
      </c>
      <c r="B629" s="5">
        <v>46013</v>
      </c>
      <c r="C629" s="6" t="s">
        <v>54</v>
      </c>
      <c r="D629" s="6" t="s">
        <v>174</v>
      </c>
      <c r="E629" s="6" t="s">
        <v>65</v>
      </c>
      <c r="F629" s="6" t="s">
        <v>19</v>
      </c>
      <c r="G629" s="6" t="s">
        <v>106</v>
      </c>
      <c r="H629" s="2">
        <v>8</v>
      </c>
      <c r="I629" s="2">
        <v>13946.37</v>
      </c>
      <c r="J629" s="2">
        <v>0.15</v>
      </c>
      <c r="K629" s="2">
        <v>94835.3</v>
      </c>
      <c r="L629" s="2">
        <v>76333.41</v>
      </c>
      <c r="M629" s="2">
        <v>18501.89</v>
      </c>
      <c r="N629" s="6" t="s">
        <v>29</v>
      </c>
      <c r="O629" s="6" t="s">
        <v>30</v>
      </c>
    </row>
    <row r="630" spans="1:15" x14ac:dyDescent="0.3">
      <c r="A630" s="2" t="s">
        <v>432</v>
      </c>
      <c r="B630" s="5">
        <v>45891</v>
      </c>
      <c r="C630" s="6" t="s">
        <v>16</v>
      </c>
      <c r="D630" s="6" t="s">
        <v>82</v>
      </c>
      <c r="E630" s="6" t="s">
        <v>33</v>
      </c>
      <c r="F630" s="6" t="s">
        <v>27</v>
      </c>
      <c r="G630" s="6" t="s">
        <v>28</v>
      </c>
      <c r="H630" s="2">
        <v>2</v>
      </c>
      <c r="I630" s="2">
        <v>28603.18</v>
      </c>
      <c r="J630" s="2">
        <v>0.08</v>
      </c>
      <c r="K630" s="2">
        <v>52629.86</v>
      </c>
      <c r="L630" s="2">
        <v>34126.230000000003</v>
      </c>
      <c r="M630" s="2">
        <v>18503.63</v>
      </c>
      <c r="N630" s="6" t="s">
        <v>29</v>
      </c>
      <c r="O630" s="6" t="s">
        <v>22</v>
      </c>
    </row>
    <row r="631" spans="1:15" x14ac:dyDescent="0.3">
      <c r="A631" s="2" t="s">
        <v>329</v>
      </c>
      <c r="B631" s="5">
        <v>45804</v>
      </c>
      <c r="C631" s="6" t="s">
        <v>16</v>
      </c>
      <c r="D631" s="6" t="s">
        <v>17</v>
      </c>
      <c r="E631" s="6" t="s">
        <v>26</v>
      </c>
      <c r="F631" s="6" t="s">
        <v>43</v>
      </c>
      <c r="G631" s="6" t="s">
        <v>44</v>
      </c>
      <c r="H631" s="2">
        <v>7</v>
      </c>
      <c r="I631" s="2">
        <v>12143.58</v>
      </c>
      <c r="J631" s="2">
        <v>0</v>
      </c>
      <c r="K631" s="2">
        <v>85005.04</v>
      </c>
      <c r="L631" s="2">
        <v>66482.509999999995</v>
      </c>
      <c r="M631" s="2">
        <v>18522.53</v>
      </c>
      <c r="N631" s="6" t="s">
        <v>29</v>
      </c>
      <c r="O631" s="6" t="s">
        <v>45</v>
      </c>
    </row>
    <row r="632" spans="1:15" x14ac:dyDescent="0.3">
      <c r="A632" s="2" t="s">
        <v>1190</v>
      </c>
      <c r="B632" s="5">
        <v>45904</v>
      </c>
      <c r="C632" s="6" t="s">
        <v>54</v>
      </c>
      <c r="D632" s="6" t="s">
        <v>55</v>
      </c>
      <c r="E632" s="6" t="s">
        <v>33</v>
      </c>
      <c r="F632" s="6" t="s">
        <v>27</v>
      </c>
      <c r="G632" s="6" t="s">
        <v>89</v>
      </c>
      <c r="H632" s="2">
        <v>2</v>
      </c>
      <c r="I632" s="2">
        <v>30646.5</v>
      </c>
      <c r="J632" s="2">
        <v>0.1</v>
      </c>
      <c r="K632" s="2">
        <v>55163.7</v>
      </c>
      <c r="L632" s="2">
        <v>36641.03</v>
      </c>
      <c r="M632" s="2">
        <v>18522.669999999998</v>
      </c>
      <c r="N632" s="6" t="s">
        <v>21</v>
      </c>
      <c r="O632" s="6" t="s">
        <v>40</v>
      </c>
    </row>
    <row r="633" spans="1:15" x14ac:dyDescent="0.3">
      <c r="A633" s="2" t="s">
        <v>1282</v>
      </c>
      <c r="B633" s="5">
        <v>45922</v>
      </c>
      <c r="C633" s="6" t="s">
        <v>37</v>
      </c>
      <c r="D633" s="6" t="s">
        <v>42</v>
      </c>
      <c r="E633" s="6" t="s">
        <v>49</v>
      </c>
      <c r="F633" s="6" t="s">
        <v>43</v>
      </c>
      <c r="G633" s="6" t="s">
        <v>75</v>
      </c>
      <c r="H633" s="2">
        <v>2</v>
      </c>
      <c r="I633" s="2">
        <v>34849.31</v>
      </c>
      <c r="J633" s="2">
        <v>0.05</v>
      </c>
      <c r="K633" s="2">
        <v>66213.69</v>
      </c>
      <c r="L633" s="2">
        <v>47539.66</v>
      </c>
      <c r="M633" s="2">
        <v>18674.03</v>
      </c>
      <c r="N633" s="6" t="s">
        <v>58</v>
      </c>
      <c r="O633" s="6" t="s">
        <v>45</v>
      </c>
    </row>
    <row r="634" spans="1:15" x14ac:dyDescent="0.3">
      <c r="A634" s="2" t="s">
        <v>1163</v>
      </c>
      <c r="B634" s="5">
        <v>45833</v>
      </c>
      <c r="C634" s="6" t="s">
        <v>16</v>
      </c>
      <c r="D634" s="6" t="s">
        <v>32</v>
      </c>
      <c r="E634" s="6" t="s">
        <v>18</v>
      </c>
      <c r="F634" s="6" t="s">
        <v>34</v>
      </c>
      <c r="G634" s="6" t="s">
        <v>35</v>
      </c>
      <c r="H634" s="2">
        <v>7</v>
      </c>
      <c r="I634" s="2">
        <v>17458.560000000001</v>
      </c>
      <c r="J634" s="2">
        <v>0.1</v>
      </c>
      <c r="K634" s="2">
        <v>109988.95</v>
      </c>
      <c r="L634" s="2">
        <v>91169.41</v>
      </c>
      <c r="M634" s="2">
        <v>18819.54</v>
      </c>
      <c r="N634" s="6" t="s">
        <v>21</v>
      </c>
      <c r="O634" s="6" t="s">
        <v>30</v>
      </c>
    </row>
    <row r="635" spans="1:15" x14ac:dyDescent="0.3">
      <c r="A635" s="2" t="s">
        <v>1106</v>
      </c>
      <c r="B635" s="5">
        <v>45950</v>
      </c>
      <c r="C635" s="6" t="s">
        <v>54</v>
      </c>
      <c r="D635" s="6" t="s">
        <v>48</v>
      </c>
      <c r="E635" s="6" t="s">
        <v>49</v>
      </c>
      <c r="F635" s="6" t="s">
        <v>34</v>
      </c>
      <c r="G635" s="6" t="s">
        <v>70</v>
      </c>
      <c r="H635" s="2">
        <v>1</v>
      </c>
      <c r="I635" s="2">
        <v>62822.69</v>
      </c>
      <c r="J635" s="2">
        <v>0.03</v>
      </c>
      <c r="K635" s="2">
        <v>60938.01</v>
      </c>
      <c r="L635" s="2">
        <v>42115.69</v>
      </c>
      <c r="M635" s="2">
        <v>18822.32</v>
      </c>
      <c r="N635" s="6" t="s">
        <v>29</v>
      </c>
      <c r="O635" s="6" t="s">
        <v>40</v>
      </c>
    </row>
    <row r="636" spans="1:15" x14ac:dyDescent="0.3">
      <c r="A636" s="2" t="s">
        <v>1241</v>
      </c>
      <c r="B636" s="5">
        <v>45803</v>
      </c>
      <c r="C636" s="6" t="s">
        <v>37</v>
      </c>
      <c r="D636" s="6" t="s">
        <v>68</v>
      </c>
      <c r="E636" s="6" t="s">
        <v>18</v>
      </c>
      <c r="F636" s="6" t="s">
        <v>34</v>
      </c>
      <c r="G636" s="6" t="s">
        <v>70</v>
      </c>
      <c r="H636" s="2">
        <v>1</v>
      </c>
      <c r="I636" s="2">
        <v>60881.73</v>
      </c>
      <c r="J636" s="2">
        <v>0.05</v>
      </c>
      <c r="K636" s="2">
        <v>57837.64</v>
      </c>
      <c r="L636" s="2">
        <v>38997.83</v>
      </c>
      <c r="M636" s="2">
        <v>18839.810000000001</v>
      </c>
      <c r="N636" s="6" t="s">
        <v>21</v>
      </c>
      <c r="O636" s="6" t="s">
        <v>40</v>
      </c>
    </row>
    <row r="637" spans="1:15" x14ac:dyDescent="0.3">
      <c r="A637" s="2" t="s">
        <v>285</v>
      </c>
      <c r="B637" s="5">
        <v>45789</v>
      </c>
      <c r="C637" s="6" t="s">
        <v>54</v>
      </c>
      <c r="D637" s="6" t="s">
        <v>124</v>
      </c>
      <c r="E637" s="6" t="s">
        <v>49</v>
      </c>
      <c r="F637" s="6" t="s">
        <v>34</v>
      </c>
      <c r="G637" s="6" t="s">
        <v>57</v>
      </c>
      <c r="H637" s="2">
        <v>7</v>
      </c>
      <c r="I637" s="2">
        <v>21315.73</v>
      </c>
      <c r="J637" s="2">
        <v>0.1</v>
      </c>
      <c r="K637" s="2">
        <v>134289.07999999999</v>
      </c>
      <c r="L637" s="2">
        <v>115370.47</v>
      </c>
      <c r="M637" s="2">
        <v>18918.61</v>
      </c>
      <c r="N637" s="6" t="s">
        <v>21</v>
      </c>
      <c r="O637" s="6" t="s">
        <v>40</v>
      </c>
    </row>
    <row r="638" spans="1:15" x14ac:dyDescent="0.3">
      <c r="A638" s="2" t="s">
        <v>85</v>
      </c>
      <c r="B638" s="5">
        <v>45817</v>
      </c>
      <c r="C638" s="6" t="s">
        <v>37</v>
      </c>
      <c r="D638" s="6" t="s">
        <v>42</v>
      </c>
      <c r="E638" s="6" t="s">
        <v>56</v>
      </c>
      <c r="F638" s="6" t="s">
        <v>43</v>
      </c>
      <c r="G638" s="6" t="s">
        <v>84</v>
      </c>
      <c r="H638" s="2">
        <v>2</v>
      </c>
      <c r="I638" s="2">
        <v>45334.82</v>
      </c>
      <c r="J638" s="2">
        <v>0.15</v>
      </c>
      <c r="K638" s="2">
        <v>77069.2</v>
      </c>
      <c r="L638" s="2">
        <v>58109.440000000002</v>
      </c>
      <c r="M638" s="2">
        <v>18959.759999999998</v>
      </c>
      <c r="N638" s="6" t="s">
        <v>29</v>
      </c>
      <c r="O638" s="6" t="s">
        <v>30</v>
      </c>
    </row>
    <row r="639" spans="1:15" x14ac:dyDescent="0.3">
      <c r="A639" s="2" t="s">
        <v>1018</v>
      </c>
      <c r="B639" s="5">
        <v>45717</v>
      </c>
      <c r="C639" s="6" t="s">
        <v>16</v>
      </c>
      <c r="D639" s="6" t="s">
        <v>52</v>
      </c>
      <c r="E639" s="6" t="s">
        <v>33</v>
      </c>
      <c r="F639" s="6" t="s">
        <v>27</v>
      </c>
      <c r="G639" s="6" t="s">
        <v>50</v>
      </c>
      <c r="H639" s="2">
        <v>2</v>
      </c>
      <c r="I639" s="2">
        <v>28068.99</v>
      </c>
      <c r="J639" s="2">
        <v>0</v>
      </c>
      <c r="K639" s="2">
        <v>56137.99</v>
      </c>
      <c r="L639" s="2">
        <v>36976.07</v>
      </c>
      <c r="M639" s="2">
        <v>19161.919999999998</v>
      </c>
      <c r="N639" s="6" t="s">
        <v>21</v>
      </c>
      <c r="O639" s="6" t="s">
        <v>30</v>
      </c>
    </row>
    <row r="640" spans="1:15" x14ac:dyDescent="0.3">
      <c r="A640" s="2" t="s">
        <v>1300</v>
      </c>
      <c r="B640" s="5">
        <v>45984</v>
      </c>
      <c r="C640" s="6" t="s">
        <v>54</v>
      </c>
      <c r="D640" s="6" t="s">
        <v>174</v>
      </c>
      <c r="E640" s="6" t="s">
        <v>65</v>
      </c>
      <c r="F640" s="6" t="s">
        <v>43</v>
      </c>
      <c r="G640" s="6" t="s">
        <v>84</v>
      </c>
      <c r="H640" s="2">
        <v>3</v>
      </c>
      <c r="I640" s="2">
        <v>43464.07</v>
      </c>
      <c r="J640" s="2">
        <v>0.1</v>
      </c>
      <c r="K640" s="2">
        <v>117352.99</v>
      </c>
      <c r="L640" s="2">
        <v>98156.15</v>
      </c>
      <c r="M640" s="2">
        <v>19196.84</v>
      </c>
      <c r="N640" s="6" t="s">
        <v>58</v>
      </c>
      <c r="O640" s="6" t="s">
        <v>45</v>
      </c>
    </row>
    <row r="641" spans="1:15" x14ac:dyDescent="0.3">
      <c r="A641" s="2" t="s">
        <v>414</v>
      </c>
      <c r="B641" s="5">
        <v>45722</v>
      </c>
      <c r="C641" s="6" t="s">
        <v>63</v>
      </c>
      <c r="D641" s="6" t="s">
        <v>95</v>
      </c>
      <c r="E641" s="6" t="s">
        <v>26</v>
      </c>
      <c r="F641" s="6" t="s">
        <v>43</v>
      </c>
      <c r="G641" s="6" t="s">
        <v>84</v>
      </c>
      <c r="H641" s="2">
        <v>3</v>
      </c>
      <c r="I641" s="2">
        <v>40461.769999999997</v>
      </c>
      <c r="J641" s="2">
        <v>0.08</v>
      </c>
      <c r="K641" s="2">
        <v>111674.48</v>
      </c>
      <c r="L641" s="2">
        <v>92451.16</v>
      </c>
      <c r="M641" s="2">
        <v>19223.32</v>
      </c>
      <c r="N641" s="6" t="s">
        <v>21</v>
      </c>
      <c r="O641" s="6" t="s">
        <v>30</v>
      </c>
    </row>
    <row r="642" spans="1:15" x14ac:dyDescent="0.3">
      <c r="A642" s="2" t="s">
        <v>307</v>
      </c>
      <c r="B642" s="5">
        <v>45993</v>
      </c>
      <c r="C642" s="6" t="s">
        <v>16</v>
      </c>
      <c r="D642" s="6" t="s">
        <v>17</v>
      </c>
      <c r="E642" s="6" t="s">
        <v>18</v>
      </c>
      <c r="F642" s="6" t="s">
        <v>34</v>
      </c>
      <c r="G642" s="6" t="s">
        <v>39</v>
      </c>
      <c r="H642" s="2">
        <v>2</v>
      </c>
      <c r="I642" s="2">
        <v>29748.49</v>
      </c>
      <c r="J642" s="2">
        <v>0.05</v>
      </c>
      <c r="K642" s="2">
        <v>56522.14</v>
      </c>
      <c r="L642" s="2">
        <v>37296.03</v>
      </c>
      <c r="M642" s="2">
        <v>19226.11</v>
      </c>
      <c r="N642" s="6" t="s">
        <v>58</v>
      </c>
      <c r="O642" s="6" t="s">
        <v>22</v>
      </c>
    </row>
    <row r="643" spans="1:15" x14ac:dyDescent="0.3">
      <c r="A643" s="2" t="s">
        <v>860</v>
      </c>
      <c r="B643" s="5">
        <v>45926</v>
      </c>
      <c r="C643" s="6" t="s">
        <v>16</v>
      </c>
      <c r="D643" s="6" t="s">
        <v>52</v>
      </c>
      <c r="E643" s="6" t="s">
        <v>74</v>
      </c>
      <c r="F643" s="6" t="s">
        <v>34</v>
      </c>
      <c r="G643" s="6" t="s">
        <v>39</v>
      </c>
      <c r="H643" s="2">
        <v>3</v>
      </c>
      <c r="I643" s="2">
        <v>31760.91</v>
      </c>
      <c r="J643" s="2">
        <v>0.08</v>
      </c>
      <c r="K643" s="2">
        <v>87660.1</v>
      </c>
      <c r="L643" s="2">
        <v>68425.09</v>
      </c>
      <c r="M643" s="2">
        <v>19235.009999999998</v>
      </c>
      <c r="N643" s="6" t="s">
        <v>58</v>
      </c>
      <c r="O643" s="6" t="s">
        <v>22</v>
      </c>
    </row>
    <row r="644" spans="1:15" x14ac:dyDescent="0.3">
      <c r="A644" s="2" t="s">
        <v>1162</v>
      </c>
      <c r="B644" s="5">
        <v>46011</v>
      </c>
      <c r="C644" s="6" t="s">
        <v>63</v>
      </c>
      <c r="D644" s="6" t="s">
        <v>95</v>
      </c>
      <c r="E644" s="6" t="s">
        <v>33</v>
      </c>
      <c r="F644" s="6" t="s">
        <v>34</v>
      </c>
      <c r="G644" s="6" t="s">
        <v>57</v>
      </c>
      <c r="H644" s="2">
        <v>3</v>
      </c>
      <c r="I644" s="2">
        <v>23608.61</v>
      </c>
      <c r="J644" s="2">
        <v>0</v>
      </c>
      <c r="K644" s="2">
        <v>70825.83</v>
      </c>
      <c r="L644" s="2">
        <v>51446.52</v>
      </c>
      <c r="M644" s="2">
        <v>19379.310000000001</v>
      </c>
      <c r="N644" s="6" t="s">
        <v>29</v>
      </c>
      <c r="O644" s="6" t="s">
        <v>45</v>
      </c>
    </row>
    <row r="645" spans="1:15" x14ac:dyDescent="0.3">
      <c r="A645" s="2" t="s">
        <v>83</v>
      </c>
      <c r="B645" s="5">
        <v>45955</v>
      </c>
      <c r="C645" s="6" t="s">
        <v>54</v>
      </c>
      <c r="D645" s="6" t="s">
        <v>55</v>
      </c>
      <c r="E645" s="6" t="s">
        <v>26</v>
      </c>
      <c r="F645" s="6" t="s">
        <v>43</v>
      </c>
      <c r="G645" s="6" t="s">
        <v>84</v>
      </c>
      <c r="H645" s="2">
        <v>3</v>
      </c>
      <c r="I645" s="2">
        <v>40931.97</v>
      </c>
      <c r="J645" s="2">
        <v>0</v>
      </c>
      <c r="K645" s="2">
        <v>122795.9</v>
      </c>
      <c r="L645" s="2">
        <v>103385.12</v>
      </c>
      <c r="M645" s="2">
        <v>19410.78</v>
      </c>
      <c r="N645" s="6" t="s">
        <v>21</v>
      </c>
      <c r="O645" s="6" t="s">
        <v>40</v>
      </c>
    </row>
    <row r="646" spans="1:15" x14ac:dyDescent="0.3">
      <c r="A646" s="2" t="s">
        <v>244</v>
      </c>
      <c r="B646" s="5">
        <v>45728</v>
      </c>
      <c r="C646" s="6" t="s">
        <v>16</v>
      </c>
      <c r="D646" s="6" t="s">
        <v>17</v>
      </c>
      <c r="E646" s="6" t="s">
        <v>49</v>
      </c>
      <c r="F646" s="6" t="s">
        <v>27</v>
      </c>
      <c r="G646" s="6" t="s">
        <v>66</v>
      </c>
      <c r="H646" s="2">
        <v>7</v>
      </c>
      <c r="I646" s="2">
        <v>11318.77</v>
      </c>
      <c r="J646" s="2">
        <v>0.03</v>
      </c>
      <c r="K646" s="2">
        <v>76854.429999999993</v>
      </c>
      <c r="L646" s="2">
        <v>57336.42</v>
      </c>
      <c r="M646" s="2">
        <v>19518.009999999998</v>
      </c>
      <c r="N646" s="6" t="s">
        <v>21</v>
      </c>
      <c r="O646" s="6" t="s">
        <v>30</v>
      </c>
    </row>
    <row r="647" spans="1:15" x14ac:dyDescent="0.3">
      <c r="A647" s="2" t="s">
        <v>956</v>
      </c>
      <c r="B647" s="5">
        <v>45739</v>
      </c>
      <c r="C647" s="6" t="s">
        <v>16</v>
      </c>
      <c r="D647" s="6" t="s">
        <v>52</v>
      </c>
      <c r="E647" s="6" t="s">
        <v>69</v>
      </c>
      <c r="F647" s="6" t="s">
        <v>43</v>
      </c>
      <c r="G647" s="6" t="s">
        <v>75</v>
      </c>
      <c r="H647" s="2">
        <v>3</v>
      </c>
      <c r="I647" s="2">
        <v>34534.839999999997</v>
      </c>
      <c r="J647" s="2">
        <v>0</v>
      </c>
      <c r="K647" s="2">
        <v>103604.51</v>
      </c>
      <c r="L647" s="2">
        <v>83987.23</v>
      </c>
      <c r="M647" s="2">
        <v>19617.28</v>
      </c>
      <c r="N647" s="6" t="s">
        <v>21</v>
      </c>
      <c r="O647" s="6" t="s">
        <v>59</v>
      </c>
    </row>
    <row r="648" spans="1:15" x14ac:dyDescent="0.3">
      <c r="A648" s="2" t="s">
        <v>805</v>
      </c>
      <c r="B648" s="5">
        <v>45680</v>
      </c>
      <c r="C648" s="6" t="s">
        <v>37</v>
      </c>
      <c r="D648" s="6" t="s">
        <v>68</v>
      </c>
      <c r="E648" s="6" t="s">
        <v>56</v>
      </c>
      <c r="F648" s="6" t="s">
        <v>43</v>
      </c>
      <c r="G648" s="6" t="s">
        <v>75</v>
      </c>
      <c r="H648" s="2">
        <v>3</v>
      </c>
      <c r="I648" s="2">
        <v>37835.1</v>
      </c>
      <c r="J648" s="2">
        <v>0.1</v>
      </c>
      <c r="K648" s="2">
        <v>102154.76</v>
      </c>
      <c r="L648" s="2">
        <v>82506.7</v>
      </c>
      <c r="M648" s="2">
        <v>19648.060000000001</v>
      </c>
      <c r="N648" s="6" t="s">
        <v>21</v>
      </c>
      <c r="O648" s="6" t="s">
        <v>30</v>
      </c>
    </row>
    <row r="649" spans="1:15" x14ac:dyDescent="0.3">
      <c r="A649" s="2" t="s">
        <v>779</v>
      </c>
      <c r="B649" s="5">
        <v>45881</v>
      </c>
      <c r="C649" s="6" t="s">
        <v>37</v>
      </c>
      <c r="D649" s="6" t="s">
        <v>42</v>
      </c>
      <c r="E649" s="6" t="s">
        <v>69</v>
      </c>
      <c r="F649" s="6" t="s">
        <v>19</v>
      </c>
      <c r="G649" s="6" t="s">
        <v>108</v>
      </c>
      <c r="H649" s="2">
        <v>4</v>
      </c>
      <c r="I649" s="2">
        <v>15998.24</v>
      </c>
      <c r="J649" s="2">
        <v>0.08</v>
      </c>
      <c r="K649" s="2">
        <v>58873.54</v>
      </c>
      <c r="L649" s="2">
        <v>39224.25</v>
      </c>
      <c r="M649" s="2">
        <v>19649.29</v>
      </c>
      <c r="N649" s="6" t="s">
        <v>58</v>
      </c>
      <c r="O649" s="6" t="s">
        <v>22</v>
      </c>
    </row>
    <row r="650" spans="1:15" x14ac:dyDescent="0.3">
      <c r="A650" s="2" t="s">
        <v>162</v>
      </c>
      <c r="B650" s="5">
        <v>45940</v>
      </c>
      <c r="C650" s="6" t="s">
        <v>16</v>
      </c>
      <c r="D650" s="6" t="s">
        <v>82</v>
      </c>
      <c r="E650" s="6" t="s">
        <v>49</v>
      </c>
      <c r="F650" s="6" t="s">
        <v>19</v>
      </c>
      <c r="G650" s="6" t="s">
        <v>106</v>
      </c>
      <c r="H650" s="2">
        <v>7</v>
      </c>
      <c r="I650" s="2">
        <v>14220.51</v>
      </c>
      <c r="J650" s="2">
        <v>0.05</v>
      </c>
      <c r="K650" s="2">
        <v>94566.399999999994</v>
      </c>
      <c r="L650" s="2">
        <v>74885.52</v>
      </c>
      <c r="M650" s="2">
        <v>19680.88</v>
      </c>
      <c r="N650" s="6" t="s">
        <v>21</v>
      </c>
      <c r="O650" s="6" t="s">
        <v>22</v>
      </c>
    </row>
    <row r="651" spans="1:15" x14ac:dyDescent="0.3">
      <c r="A651" s="2" t="s">
        <v>336</v>
      </c>
      <c r="B651" s="5">
        <v>45992</v>
      </c>
      <c r="C651" s="6" t="s">
        <v>37</v>
      </c>
      <c r="D651" s="6" t="s">
        <v>68</v>
      </c>
      <c r="E651" s="6" t="s">
        <v>65</v>
      </c>
      <c r="F651" s="6" t="s">
        <v>27</v>
      </c>
      <c r="G651" s="6" t="s">
        <v>50</v>
      </c>
      <c r="H651" s="2">
        <v>4</v>
      </c>
      <c r="I651" s="2">
        <v>31432.23</v>
      </c>
      <c r="J651" s="2">
        <v>0.1</v>
      </c>
      <c r="K651" s="2">
        <v>113156.01</v>
      </c>
      <c r="L651" s="2">
        <v>93445.93</v>
      </c>
      <c r="M651" s="2">
        <v>19710.080000000002</v>
      </c>
      <c r="N651" s="6" t="s">
        <v>58</v>
      </c>
      <c r="O651" s="6" t="s">
        <v>22</v>
      </c>
    </row>
    <row r="652" spans="1:15" x14ac:dyDescent="0.3">
      <c r="A652" s="2" t="s">
        <v>319</v>
      </c>
      <c r="B652" s="5">
        <v>45941</v>
      </c>
      <c r="C652" s="6" t="s">
        <v>37</v>
      </c>
      <c r="D652" s="6" t="s">
        <v>42</v>
      </c>
      <c r="E652" s="6" t="s">
        <v>74</v>
      </c>
      <c r="F652" s="6" t="s">
        <v>27</v>
      </c>
      <c r="G652" s="6" t="s">
        <v>89</v>
      </c>
      <c r="H652" s="2">
        <v>3</v>
      </c>
      <c r="I652" s="2">
        <v>34420.61</v>
      </c>
      <c r="J652" s="2">
        <v>0.1</v>
      </c>
      <c r="K652" s="2">
        <v>92935.66</v>
      </c>
      <c r="L652" s="2">
        <v>73218.03</v>
      </c>
      <c r="M652" s="2">
        <v>19717.63</v>
      </c>
      <c r="N652" s="6" t="s">
        <v>21</v>
      </c>
      <c r="O652" s="6" t="s">
        <v>30</v>
      </c>
    </row>
    <row r="653" spans="1:15" x14ac:dyDescent="0.3">
      <c r="A653" s="2" t="s">
        <v>570</v>
      </c>
      <c r="B653" s="5">
        <v>45722</v>
      </c>
      <c r="C653" s="6" t="s">
        <v>63</v>
      </c>
      <c r="D653" s="6" t="s">
        <v>88</v>
      </c>
      <c r="E653" s="6" t="s">
        <v>65</v>
      </c>
      <c r="F653" s="6" t="s">
        <v>34</v>
      </c>
      <c r="G653" s="6" t="s">
        <v>35</v>
      </c>
      <c r="H653" s="2">
        <v>7</v>
      </c>
      <c r="I653" s="2">
        <v>19293.91</v>
      </c>
      <c r="J653" s="2">
        <v>0.1</v>
      </c>
      <c r="K653" s="2">
        <v>121551.61</v>
      </c>
      <c r="L653" s="2">
        <v>101822.58</v>
      </c>
      <c r="M653" s="2">
        <v>19729.03</v>
      </c>
      <c r="N653" s="6" t="s">
        <v>21</v>
      </c>
      <c r="O653" s="6" t="s">
        <v>22</v>
      </c>
    </row>
    <row r="654" spans="1:15" x14ac:dyDescent="0.3">
      <c r="A654" s="2" t="s">
        <v>697</v>
      </c>
      <c r="B654" s="5">
        <v>45694</v>
      </c>
      <c r="C654" s="6" t="s">
        <v>16</v>
      </c>
      <c r="D654" s="6" t="s">
        <v>82</v>
      </c>
      <c r="E654" s="6" t="s">
        <v>56</v>
      </c>
      <c r="F654" s="6" t="s">
        <v>34</v>
      </c>
      <c r="G654" s="6" t="s">
        <v>39</v>
      </c>
      <c r="H654" s="2">
        <v>2</v>
      </c>
      <c r="I654" s="2">
        <v>30395.69</v>
      </c>
      <c r="J654" s="2">
        <v>0.03</v>
      </c>
      <c r="K654" s="2">
        <v>58967.64</v>
      </c>
      <c r="L654" s="2">
        <v>39223.839999999997</v>
      </c>
      <c r="M654" s="2">
        <v>19743.8</v>
      </c>
      <c r="N654" s="6" t="s">
        <v>21</v>
      </c>
      <c r="O654" s="6" t="s">
        <v>30</v>
      </c>
    </row>
    <row r="655" spans="1:15" x14ac:dyDescent="0.3">
      <c r="A655" s="2" t="s">
        <v>394</v>
      </c>
      <c r="B655" s="5">
        <v>45846</v>
      </c>
      <c r="C655" s="6" t="s">
        <v>63</v>
      </c>
      <c r="D655" s="6" t="s">
        <v>64</v>
      </c>
      <c r="E655" s="6" t="s">
        <v>49</v>
      </c>
      <c r="F655" s="6" t="s">
        <v>34</v>
      </c>
      <c r="G655" s="6" t="s">
        <v>57</v>
      </c>
      <c r="H655" s="2">
        <v>5</v>
      </c>
      <c r="I655" s="2">
        <v>21859.21</v>
      </c>
      <c r="J655" s="2">
        <v>0</v>
      </c>
      <c r="K655" s="2">
        <v>109296.04</v>
      </c>
      <c r="L655" s="2">
        <v>89449.98</v>
      </c>
      <c r="M655" s="2">
        <v>19846.060000000001</v>
      </c>
      <c r="N655" s="6" t="s">
        <v>58</v>
      </c>
      <c r="O655" s="6" t="s">
        <v>45</v>
      </c>
    </row>
    <row r="656" spans="1:15" x14ac:dyDescent="0.3">
      <c r="A656" s="2" t="s">
        <v>1100</v>
      </c>
      <c r="B656" s="5">
        <v>46013</v>
      </c>
      <c r="C656" s="6" t="s">
        <v>37</v>
      </c>
      <c r="D656" s="6" t="s">
        <v>68</v>
      </c>
      <c r="E656" s="6" t="s">
        <v>49</v>
      </c>
      <c r="F656" s="6" t="s">
        <v>34</v>
      </c>
      <c r="G656" s="6" t="s">
        <v>39</v>
      </c>
      <c r="H656" s="2">
        <v>4</v>
      </c>
      <c r="I656" s="2">
        <v>30937.53</v>
      </c>
      <c r="J656" s="2">
        <v>0.05</v>
      </c>
      <c r="K656" s="2">
        <v>117562.62</v>
      </c>
      <c r="L656" s="2">
        <v>97614.05</v>
      </c>
      <c r="M656" s="2">
        <v>19948.57</v>
      </c>
      <c r="N656" s="6" t="s">
        <v>21</v>
      </c>
      <c r="O656" s="6" t="s">
        <v>22</v>
      </c>
    </row>
    <row r="657" spans="1:15" x14ac:dyDescent="0.3">
      <c r="A657" s="2" t="s">
        <v>206</v>
      </c>
      <c r="B657" s="5">
        <v>46009</v>
      </c>
      <c r="C657" s="6" t="s">
        <v>63</v>
      </c>
      <c r="D657" s="6" t="s">
        <v>117</v>
      </c>
      <c r="E657" s="6" t="s">
        <v>56</v>
      </c>
      <c r="F657" s="6" t="s">
        <v>27</v>
      </c>
      <c r="G657" s="6" t="s">
        <v>50</v>
      </c>
      <c r="H657" s="2">
        <v>4</v>
      </c>
      <c r="I657" s="2">
        <v>28461.59</v>
      </c>
      <c r="J657" s="2">
        <v>0.08</v>
      </c>
      <c r="K657" s="2">
        <v>104738.64</v>
      </c>
      <c r="L657" s="2">
        <v>84766.41</v>
      </c>
      <c r="M657" s="2">
        <v>19972.23</v>
      </c>
      <c r="N657" s="6" t="s">
        <v>58</v>
      </c>
      <c r="O657" s="6" t="s">
        <v>40</v>
      </c>
    </row>
    <row r="658" spans="1:15" x14ac:dyDescent="0.3">
      <c r="A658" s="2" t="s">
        <v>189</v>
      </c>
      <c r="B658" s="5">
        <v>45661</v>
      </c>
      <c r="C658" s="6" t="s">
        <v>63</v>
      </c>
      <c r="D658" s="6" t="s">
        <v>95</v>
      </c>
      <c r="E658" s="6" t="s">
        <v>33</v>
      </c>
      <c r="F658" s="6" t="s">
        <v>27</v>
      </c>
      <c r="G658" s="6" t="s">
        <v>66</v>
      </c>
      <c r="H658" s="2">
        <v>8</v>
      </c>
      <c r="I658" s="2">
        <v>10896.22</v>
      </c>
      <c r="J658" s="2">
        <v>0.05</v>
      </c>
      <c r="K658" s="2">
        <v>82811.25</v>
      </c>
      <c r="L658" s="2">
        <v>62719.8</v>
      </c>
      <c r="M658" s="2">
        <v>20091.45</v>
      </c>
      <c r="N658" s="6" t="s">
        <v>58</v>
      </c>
      <c r="O658" s="6" t="s">
        <v>30</v>
      </c>
    </row>
    <row r="659" spans="1:15" x14ac:dyDescent="0.3">
      <c r="A659" s="2" t="s">
        <v>1176</v>
      </c>
      <c r="B659" s="5">
        <v>46020</v>
      </c>
      <c r="C659" s="6" t="s">
        <v>63</v>
      </c>
      <c r="D659" s="6" t="s">
        <v>64</v>
      </c>
      <c r="E659" s="6" t="s">
        <v>26</v>
      </c>
      <c r="F659" s="6" t="s">
        <v>27</v>
      </c>
      <c r="G659" s="6" t="s">
        <v>50</v>
      </c>
      <c r="H659" s="2">
        <v>3</v>
      </c>
      <c r="I659" s="2">
        <v>32353.8</v>
      </c>
      <c r="J659" s="2">
        <v>0.08</v>
      </c>
      <c r="K659" s="2">
        <v>89296.48</v>
      </c>
      <c r="L659" s="2">
        <v>69155.28</v>
      </c>
      <c r="M659" s="2">
        <v>20141.2</v>
      </c>
      <c r="N659" s="6" t="s">
        <v>21</v>
      </c>
      <c r="O659" s="6" t="s">
        <v>45</v>
      </c>
    </row>
    <row r="660" spans="1:15" x14ac:dyDescent="0.3">
      <c r="A660" s="2" t="s">
        <v>362</v>
      </c>
      <c r="B660" s="5">
        <v>45740</v>
      </c>
      <c r="C660" s="6" t="s">
        <v>54</v>
      </c>
      <c r="D660" s="6" t="s">
        <v>174</v>
      </c>
      <c r="E660" s="6" t="s">
        <v>69</v>
      </c>
      <c r="F660" s="6" t="s">
        <v>43</v>
      </c>
      <c r="G660" s="6" t="s">
        <v>75</v>
      </c>
      <c r="H660" s="2">
        <v>4</v>
      </c>
      <c r="I660" s="2">
        <v>36413.620000000003</v>
      </c>
      <c r="J660" s="2">
        <v>0.1</v>
      </c>
      <c r="K660" s="2">
        <v>131089.03</v>
      </c>
      <c r="L660" s="2">
        <v>110942.76</v>
      </c>
      <c r="M660" s="2">
        <v>20146.27</v>
      </c>
      <c r="N660" s="6" t="s">
        <v>58</v>
      </c>
      <c r="O660" s="6" t="s">
        <v>40</v>
      </c>
    </row>
    <row r="661" spans="1:15" x14ac:dyDescent="0.3">
      <c r="A661" s="2" t="s">
        <v>392</v>
      </c>
      <c r="B661" s="5">
        <v>45845</v>
      </c>
      <c r="C661" s="6" t="s">
        <v>37</v>
      </c>
      <c r="D661" s="6" t="s">
        <v>42</v>
      </c>
      <c r="E661" s="6" t="s">
        <v>65</v>
      </c>
      <c r="F661" s="6" t="s">
        <v>19</v>
      </c>
      <c r="G661" s="6" t="s">
        <v>106</v>
      </c>
      <c r="H661" s="2">
        <v>5</v>
      </c>
      <c r="I661" s="2">
        <v>14037.4</v>
      </c>
      <c r="J661" s="2">
        <v>0.08</v>
      </c>
      <c r="K661" s="2">
        <v>64572.06</v>
      </c>
      <c r="L661" s="2">
        <v>44412.6</v>
      </c>
      <c r="M661" s="2">
        <v>20159.46</v>
      </c>
      <c r="N661" s="6" t="s">
        <v>29</v>
      </c>
      <c r="O661" s="6" t="s">
        <v>59</v>
      </c>
    </row>
    <row r="662" spans="1:15" x14ac:dyDescent="0.3">
      <c r="A662" s="2" t="s">
        <v>556</v>
      </c>
      <c r="B662" s="5">
        <v>45752</v>
      </c>
      <c r="C662" s="6" t="s">
        <v>37</v>
      </c>
      <c r="D662" s="6" t="s">
        <v>25</v>
      </c>
      <c r="E662" s="6" t="s">
        <v>69</v>
      </c>
      <c r="F662" s="6" t="s">
        <v>34</v>
      </c>
      <c r="G662" s="6" t="s">
        <v>39</v>
      </c>
      <c r="H662" s="2">
        <v>4</v>
      </c>
      <c r="I662" s="2">
        <v>31210.22</v>
      </c>
      <c r="J662" s="2">
        <v>0.1</v>
      </c>
      <c r="K662" s="2">
        <v>112356.78</v>
      </c>
      <c r="L662" s="2">
        <v>92187.55</v>
      </c>
      <c r="M662" s="2">
        <v>20169.23</v>
      </c>
      <c r="N662" s="6" t="s">
        <v>58</v>
      </c>
      <c r="O662" s="6" t="s">
        <v>40</v>
      </c>
    </row>
    <row r="663" spans="1:15" x14ac:dyDescent="0.3">
      <c r="A663" s="2" t="s">
        <v>1293</v>
      </c>
      <c r="B663" s="5">
        <v>45903</v>
      </c>
      <c r="C663" s="6" t="s">
        <v>63</v>
      </c>
      <c r="D663" s="6" t="s">
        <v>117</v>
      </c>
      <c r="E663" s="6" t="s">
        <v>33</v>
      </c>
      <c r="F663" s="6" t="s">
        <v>43</v>
      </c>
      <c r="G663" s="6" t="s">
        <v>44</v>
      </c>
      <c r="H663" s="2">
        <v>6</v>
      </c>
      <c r="I663" s="2">
        <v>11565.51</v>
      </c>
      <c r="J663" s="2">
        <v>0.03</v>
      </c>
      <c r="K663" s="2">
        <v>67311.240000000005</v>
      </c>
      <c r="L663" s="2">
        <v>46989.79</v>
      </c>
      <c r="M663" s="2">
        <v>20321.45</v>
      </c>
      <c r="N663" s="6" t="s">
        <v>21</v>
      </c>
      <c r="O663" s="6" t="s">
        <v>22</v>
      </c>
    </row>
    <row r="664" spans="1:15" x14ac:dyDescent="0.3">
      <c r="A664" s="2" t="s">
        <v>638</v>
      </c>
      <c r="B664" s="5">
        <v>45667</v>
      </c>
      <c r="C664" s="6" t="s">
        <v>63</v>
      </c>
      <c r="D664" s="6" t="s">
        <v>64</v>
      </c>
      <c r="E664" s="6" t="s">
        <v>56</v>
      </c>
      <c r="F664" s="6" t="s">
        <v>43</v>
      </c>
      <c r="G664" s="6" t="s">
        <v>84</v>
      </c>
      <c r="H664" s="2">
        <v>2</v>
      </c>
      <c r="I664" s="2">
        <v>42192.57</v>
      </c>
      <c r="J664" s="2">
        <v>0.05</v>
      </c>
      <c r="K664" s="2">
        <v>80165.89</v>
      </c>
      <c r="L664" s="2">
        <v>59694.33</v>
      </c>
      <c r="M664" s="2">
        <v>20471.560000000001</v>
      </c>
      <c r="N664" s="6" t="s">
        <v>58</v>
      </c>
      <c r="O664" s="6" t="s">
        <v>40</v>
      </c>
    </row>
    <row r="665" spans="1:15" x14ac:dyDescent="0.3">
      <c r="A665" s="2" t="s">
        <v>1060</v>
      </c>
      <c r="B665" s="5">
        <v>45677</v>
      </c>
      <c r="C665" s="6" t="s">
        <v>63</v>
      </c>
      <c r="D665" s="6" t="s">
        <v>88</v>
      </c>
      <c r="E665" s="6" t="s">
        <v>65</v>
      </c>
      <c r="F665" s="6" t="s">
        <v>34</v>
      </c>
      <c r="G665" s="6" t="s">
        <v>35</v>
      </c>
      <c r="H665" s="2">
        <v>5</v>
      </c>
      <c r="I665" s="2">
        <v>18546.34</v>
      </c>
      <c r="J665" s="2">
        <v>0.1</v>
      </c>
      <c r="K665" s="2">
        <v>83458.53</v>
      </c>
      <c r="L665" s="2">
        <v>62944.81</v>
      </c>
      <c r="M665" s="2">
        <v>20513.72</v>
      </c>
      <c r="N665" s="6" t="s">
        <v>21</v>
      </c>
      <c r="O665" s="6" t="s">
        <v>45</v>
      </c>
    </row>
    <row r="666" spans="1:15" x14ac:dyDescent="0.3">
      <c r="A666" s="2" t="s">
        <v>430</v>
      </c>
      <c r="B666" s="5">
        <v>45822</v>
      </c>
      <c r="C666" s="6" t="s">
        <v>63</v>
      </c>
      <c r="D666" s="6" t="s">
        <v>95</v>
      </c>
      <c r="E666" s="6" t="s">
        <v>49</v>
      </c>
      <c r="F666" s="6" t="s">
        <v>27</v>
      </c>
      <c r="G666" s="6" t="s">
        <v>66</v>
      </c>
      <c r="H666" s="2">
        <v>6</v>
      </c>
      <c r="I666" s="2">
        <v>10893.01</v>
      </c>
      <c r="J666" s="2">
        <v>0.08</v>
      </c>
      <c r="K666" s="2">
        <v>60129.42</v>
      </c>
      <c r="L666" s="2">
        <v>39594.480000000003</v>
      </c>
      <c r="M666" s="2">
        <v>20534.939999999999</v>
      </c>
      <c r="N666" s="6" t="s">
        <v>21</v>
      </c>
      <c r="O666" s="6" t="s">
        <v>40</v>
      </c>
    </row>
    <row r="667" spans="1:15" x14ac:dyDescent="0.3">
      <c r="A667" s="2" t="s">
        <v>787</v>
      </c>
      <c r="B667" s="5">
        <v>45933</v>
      </c>
      <c r="C667" s="6" t="s">
        <v>63</v>
      </c>
      <c r="D667" s="6" t="s">
        <v>64</v>
      </c>
      <c r="E667" s="6" t="s">
        <v>56</v>
      </c>
      <c r="F667" s="6" t="s">
        <v>27</v>
      </c>
      <c r="G667" s="6" t="s">
        <v>125</v>
      </c>
      <c r="H667" s="2">
        <v>8</v>
      </c>
      <c r="I667" s="2">
        <v>8782.7999999999993</v>
      </c>
      <c r="J667" s="2">
        <v>0.08</v>
      </c>
      <c r="K667" s="2">
        <v>64641.41</v>
      </c>
      <c r="L667" s="2">
        <v>43993.42</v>
      </c>
      <c r="M667" s="2">
        <v>20647.990000000002</v>
      </c>
      <c r="N667" s="6" t="s">
        <v>21</v>
      </c>
      <c r="O667" s="6" t="s">
        <v>45</v>
      </c>
    </row>
    <row r="668" spans="1:15" x14ac:dyDescent="0.3">
      <c r="A668" s="2" t="s">
        <v>752</v>
      </c>
      <c r="B668" s="5">
        <v>45710</v>
      </c>
      <c r="C668" s="6" t="s">
        <v>37</v>
      </c>
      <c r="D668" s="6" t="s">
        <v>68</v>
      </c>
      <c r="E668" s="6" t="s">
        <v>33</v>
      </c>
      <c r="F668" s="6" t="s">
        <v>43</v>
      </c>
      <c r="G668" s="6" t="s">
        <v>44</v>
      </c>
      <c r="H668" s="2">
        <v>8</v>
      </c>
      <c r="I668" s="2">
        <v>11113.05</v>
      </c>
      <c r="J668" s="2">
        <v>0.08</v>
      </c>
      <c r="K668" s="2">
        <v>81792.08</v>
      </c>
      <c r="L668" s="2">
        <v>61077.120000000003</v>
      </c>
      <c r="M668" s="2">
        <v>20714.96</v>
      </c>
      <c r="N668" s="6" t="s">
        <v>21</v>
      </c>
      <c r="O668" s="6" t="s">
        <v>22</v>
      </c>
    </row>
    <row r="669" spans="1:15" x14ac:dyDescent="0.3">
      <c r="A669" s="2" t="s">
        <v>1286</v>
      </c>
      <c r="B669" s="5">
        <v>45987</v>
      </c>
      <c r="C669" s="6" t="s">
        <v>37</v>
      </c>
      <c r="D669" s="6" t="s">
        <v>42</v>
      </c>
      <c r="E669" s="6" t="s">
        <v>26</v>
      </c>
      <c r="F669" s="6" t="s">
        <v>19</v>
      </c>
      <c r="G669" s="6" t="s">
        <v>108</v>
      </c>
      <c r="H669" s="2">
        <v>7</v>
      </c>
      <c r="I669" s="2">
        <v>15561.9</v>
      </c>
      <c r="J669" s="2">
        <v>0</v>
      </c>
      <c r="K669" s="2">
        <v>108933.29</v>
      </c>
      <c r="L669" s="2">
        <v>88174.97</v>
      </c>
      <c r="M669" s="2">
        <v>20758.32</v>
      </c>
      <c r="N669" s="6" t="s">
        <v>58</v>
      </c>
      <c r="O669" s="6" t="s">
        <v>22</v>
      </c>
    </row>
    <row r="670" spans="1:15" x14ac:dyDescent="0.3">
      <c r="A670" s="2" t="s">
        <v>1071</v>
      </c>
      <c r="B670" s="5">
        <v>45793</v>
      </c>
      <c r="C670" s="6" t="s">
        <v>63</v>
      </c>
      <c r="D670" s="6" t="s">
        <v>64</v>
      </c>
      <c r="E670" s="6" t="s">
        <v>33</v>
      </c>
      <c r="F670" s="6" t="s">
        <v>43</v>
      </c>
      <c r="G670" s="6" t="s">
        <v>44</v>
      </c>
      <c r="H670" s="2">
        <v>8</v>
      </c>
      <c r="I670" s="2">
        <v>11665.71</v>
      </c>
      <c r="J670" s="2">
        <v>0.05</v>
      </c>
      <c r="K670" s="2">
        <v>88659.39</v>
      </c>
      <c r="L670" s="2">
        <v>67795.509999999995</v>
      </c>
      <c r="M670" s="2">
        <v>20863.88</v>
      </c>
      <c r="N670" s="6" t="s">
        <v>29</v>
      </c>
      <c r="O670" s="6" t="s">
        <v>59</v>
      </c>
    </row>
    <row r="671" spans="1:15" x14ac:dyDescent="0.3">
      <c r="A671" s="2" t="s">
        <v>763</v>
      </c>
      <c r="B671" s="5">
        <v>45720</v>
      </c>
      <c r="C671" s="6" t="s">
        <v>54</v>
      </c>
      <c r="D671" s="6" t="s">
        <v>124</v>
      </c>
      <c r="E671" s="6" t="s">
        <v>26</v>
      </c>
      <c r="F671" s="6" t="s">
        <v>34</v>
      </c>
      <c r="G671" s="6" t="s">
        <v>35</v>
      </c>
      <c r="H671" s="2">
        <v>5</v>
      </c>
      <c r="I671" s="2">
        <v>16861.93</v>
      </c>
      <c r="J671" s="2">
        <v>0.03</v>
      </c>
      <c r="K671" s="2">
        <v>81780.350000000006</v>
      </c>
      <c r="L671" s="2">
        <v>60913.82</v>
      </c>
      <c r="M671" s="2">
        <v>20866.53</v>
      </c>
      <c r="N671" s="6" t="s">
        <v>21</v>
      </c>
      <c r="O671" s="6" t="s">
        <v>30</v>
      </c>
    </row>
    <row r="672" spans="1:15" x14ac:dyDescent="0.3">
      <c r="A672" s="2" t="s">
        <v>1048</v>
      </c>
      <c r="B672" s="5">
        <v>45969</v>
      </c>
      <c r="C672" s="6" t="s">
        <v>37</v>
      </c>
      <c r="D672" s="6" t="s">
        <v>25</v>
      </c>
      <c r="E672" s="6" t="s">
        <v>18</v>
      </c>
      <c r="F672" s="6" t="s">
        <v>19</v>
      </c>
      <c r="G672" s="6" t="s">
        <v>61</v>
      </c>
      <c r="H672" s="2">
        <v>8</v>
      </c>
      <c r="I672" s="2">
        <v>9323.81</v>
      </c>
      <c r="J672" s="2">
        <v>0.08</v>
      </c>
      <c r="K672" s="2">
        <v>68623.27</v>
      </c>
      <c r="L672" s="2">
        <v>47668.02</v>
      </c>
      <c r="M672" s="2">
        <v>20955.25</v>
      </c>
      <c r="N672" s="6" t="s">
        <v>21</v>
      </c>
      <c r="O672" s="6" t="s">
        <v>59</v>
      </c>
    </row>
    <row r="673" spans="1:15" x14ac:dyDescent="0.3">
      <c r="A673" s="2" t="s">
        <v>1298</v>
      </c>
      <c r="B673" s="5">
        <v>45852</v>
      </c>
      <c r="C673" s="6" t="s">
        <v>63</v>
      </c>
      <c r="D673" s="6" t="s">
        <v>64</v>
      </c>
      <c r="E673" s="6" t="s">
        <v>74</v>
      </c>
      <c r="F673" s="6" t="s">
        <v>34</v>
      </c>
      <c r="G673" s="6" t="s">
        <v>39</v>
      </c>
      <c r="H673" s="2">
        <v>3</v>
      </c>
      <c r="I673" s="2">
        <v>30526.53</v>
      </c>
      <c r="J673" s="2">
        <v>0</v>
      </c>
      <c r="K673" s="2">
        <v>91579.59</v>
      </c>
      <c r="L673" s="2">
        <v>70576.350000000006</v>
      </c>
      <c r="M673" s="2">
        <v>21003.24</v>
      </c>
      <c r="N673" s="6" t="s">
        <v>21</v>
      </c>
      <c r="O673" s="6" t="s">
        <v>45</v>
      </c>
    </row>
    <row r="674" spans="1:15" x14ac:dyDescent="0.3">
      <c r="A674" s="2" t="s">
        <v>1299</v>
      </c>
      <c r="B674" s="5">
        <v>45868</v>
      </c>
      <c r="C674" s="6" t="s">
        <v>16</v>
      </c>
      <c r="D674" s="6" t="s">
        <v>32</v>
      </c>
      <c r="E674" s="6" t="s">
        <v>74</v>
      </c>
      <c r="F674" s="6" t="s">
        <v>43</v>
      </c>
      <c r="G674" s="6" t="s">
        <v>44</v>
      </c>
      <c r="H674" s="2">
        <v>6</v>
      </c>
      <c r="I674" s="2">
        <v>11483.46</v>
      </c>
      <c r="J674" s="2">
        <v>0.1</v>
      </c>
      <c r="K674" s="2">
        <v>62010.66</v>
      </c>
      <c r="L674" s="2">
        <v>40991.69</v>
      </c>
      <c r="M674" s="2">
        <v>21018.97</v>
      </c>
      <c r="N674" s="6" t="s">
        <v>29</v>
      </c>
      <c r="O674" s="6" t="s">
        <v>45</v>
      </c>
    </row>
    <row r="675" spans="1:15" x14ac:dyDescent="0.3">
      <c r="A675" s="2" t="s">
        <v>438</v>
      </c>
      <c r="B675" s="5">
        <v>45801</v>
      </c>
      <c r="C675" s="6" t="s">
        <v>63</v>
      </c>
      <c r="D675" s="6" t="s">
        <v>64</v>
      </c>
      <c r="E675" s="6" t="s">
        <v>56</v>
      </c>
      <c r="F675" s="6" t="s">
        <v>19</v>
      </c>
      <c r="G675" s="6" t="s">
        <v>106</v>
      </c>
      <c r="H675" s="2">
        <v>7</v>
      </c>
      <c r="I675" s="2">
        <v>14863.79</v>
      </c>
      <c r="J675" s="2">
        <v>0.03</v>
      </c>
      <c r="K675" s="2">
        <v>100925.12</v>
      </c>
      <c r="L675" s="2">
        <v>79883.64</v>
      </c>
      <c r="M675" s="2">
        <v>21041.48</v>
      </c>
      <c r="N675" s="6" t="s">
        <v>21</v>
      </c>
      <c r="O675" s="6" t="s">
        <v>40</v>
      </c>
    </row>
    <row r="676" spans="1:15" x14ac:dyDescent="0.3">
      <c r="A676" s="2" t="s">
        <v>1073</v>
      </c>
      <c r="B676" s="5">
        <v>45899</v>
      </c>
      <c r="C676" s="6" t="s">
        <v>37</v>
      </c>
      <c r="D676" s="6" t="s">
        <v>68</v>
      </c>
      <c r="E676" s="6" t="s">
        <v>49</v>
      </c>
      <c r="F676" s="6" t="s">
        <v>43</v>
      </c>
      <c r="G676" s="6" t="s">
        <v>91</v>
      </c>
      <c r="H676" s="2">
        <v>2</v>
      </c>
      <c r="I676" s="2">
        <v>50124.34</v>
      </c>
      <c r="J676" s="2">
        <v>0.05</v>
      </c>
      <c r="K676" s="2">
        <v>95236.25</v>
      </c>
      <c r="L676" s="2">
        <v>74154.16</v>
      </c>
      <c r="M676" s="2">
        <v>21082.09</v>
      </c>
      <c r="N676" s="6" t="s">
        <v>58</v>
      </c>
      <c r="O676" s="6" t="s">
        <v>22</v>
      </c>
    </row>
    <row r="677" spans="1:15" x14ac:dyDescent="0.3">
      <c r="A677" s="2" t="s">
        <v>1279</v>
      </c>
      <c r="B677" s="5">
        <v>45822</v>
      </c>
      <c r="C677" s="6" t="s">
        <v>37</v>
      </c>
      <c r="D677" s="6" t="s">
        <v>25</v>
      </c>
      <c r="E677" s="6" t="s">
        <v>69</v>
      </c>
      <c r="F677" s="6" t="s">
        <v>27</v>
      </c>
      <c r="G677" s="6" t="s">
        <v>125</v>
      </c>
      <c r="H677" s="2">
        <v>8</v>
      </c>
      <c r="I677" s="2">
        <v>9101.67</v>
      </c>
      <c r="J677" s="2">
        <v>0.05</v>
      </c>
      <c r="K677" s="2">
        <v>69172.679999999993</v>
      </c>
      <c r="L677" s="2">
        <v>48052.88</v>
      </c>
      <c r="M677" s="2">
        <v>21119.8</v>
      </c>
      <c r="N677" s="6" t="s">
        <v>21</v>
      </c>
      <c r="O677" s="6" t="s">
        <v>30</v>
      </c>
    </row>
    <row r="678" spans="1:15" x14ac:dyDescent="0.3">
      <c r="A678" s="2" t="s">
        <v>428</v>
      </c>
      <c r="B678" s="5">
        <v>45693</v>
      </c>
      <c r="C678" s="6" t="s">
        <v>16</v>
      </c>
      <c r="D678" s="6" t="s">
        <v>32</v>
      </c>
      <c r="E678" s="6" t="s">
        <v>33</v>
      </c>
      <c r="F678" s="6" t="s">
        <v>27</v>
      </c>
      <c r="G678" s="6" t="s">
        <v>89</v>
      </c>
      <c r="H678" s="2">
        <v>5</v>
      </c>
      <c r="I678" s="2">
        <v>31015.91</v>
      </c>
      <c r="J678" s="2">
        <v>0.1</v>
      </c>
      <c r="K678" s="2">
        <v>139571.62</v>
      </c>
      <c r="L678" s="2">
        <v>118451.03</v>
      </c>
      <c r="M678" s="2">
        <v>21120.59</v>
      </c>
      <c r="N678" s="6" t="s">
        <v>29</v>
      </c>
      <c r="O678" s="6" t="s">
        <v>30</v>
      </c>
    </row>
    <row r="679" spans="1:15" x14ac:dyDescent="0.3">
      <c r="A679" s="2" t="s">
        <v>631</v>
      </c>
      <c r="B679" s="5">
        <v>45708</v>
      </c>
      <c r="C679" s="6" t="s">
        <v>16</v>
      </c>
      <c r="D679" s="6" t="s">
        <v>17</v>
      </c>
      <c r="E679" s="6" t="s">
        <v>74</v>
      </c>
      <c r="F679" s="6" t="s">
        <v>34</v>
      </c>
      <c r="G679" s="6" t="s">
        <v>35</v>
      </c>
      <c r="H679" s="2">
        <v>6</v>
      </c>
      <c r="I679" s="2">
        <v>16871.490000000002</v>
      </c>
      <c r="J679" s="2">
        <v>0.1</v>
      </c>
      <c r="K679" s="2">
        <v>91106.03</v>
      </c>
      <c r="L679" s="2">
        <v>69914.039999999994</v>
      </c>
      <c r="M679" s="2">
        <v>21191.99</v>
      </c>
      <c r="N679" s="6" t="s">
        <v>21</v>
      </c>
      <c r="O679" s="6" t="s">
        <v>22</v>
      </c>
    </row>
    <row r="680" spans="1:15" x14ac:dyDescent="0.3">
      <c r="A680" s="2" t="s">
        <v>261</v>
      </c>
      <c r="B680" s="5">
        <v>45798</v>
      </c>
      <c r="C680" s="6" t="s">
        <v>37</v>
      </c>
      <c r="D680" s="6" t="s">
        <v>25</v>
      </c>
      <c r="E680" s="6" t="s">
        <v>49</v>
      </c>
      <c r="F680" s="6" t="s">
        <v>34</v>
      </c>
      <c r="G680" s="6" t="s">
        <v>35</v>
      </c>
      <c r="H680" s="2">
        <v>5</v>
      </c>
      <c r="I680" s="2">
        <v>18142.650000000001</v>
      </c>
      <c r="J680" s="2">
        <v>0.15</v>
      </c>
      <c r="K680" s="2">
        <v>77106.240000000005</v>
      </c>
      <c r="L680" s="2">
        <v>55809.46</v>
      </c>
      <c r="M680" s="2">
        <v>21296.78</v>
      </c>
      <c r="N680" s="6" t="s">
        <v>58</v>
      </c>
      <c r="O680" s="6" t="s">
        <v>40</v>
      </c>
    </row>
    <row r="681" spans="1:15" x14ac:dyDescent="0.3">
      <c r="A681" s="2" t="s">
        <v>637</v>
      </c>
      <c r="B681" s="5">
        <v>45987</v>
      </c>
      <c r="C681" s="6" t="s">
        <v>37</v>
      </c>
      <c r="D681" s="6" t="s">
        <v>25</v>
      </c>
      <c r="E681" s="6" t="s">
        <v>33</v>
      </c>
      <c r="F681" s="6" t="s">
        <v>19</v>
      </c>
      <c r="G681" s="6" t="s">
        <v>108</v>
      </c>
      <c r="H681" s="2">
        <v>4</v>
      </c>
      <c r="I681" s="2">
        <v>15198.45</v>
      </c>
      <c r="J681" s="2">
        <v>0</v>
      </c>
      <c r="K681" s="2">
        <v>60793.79</v>
      </c>
      <c r="L681" s="2">
        <v>39463.660000000003</v>
      </c>
      <c r="M681" s="2">
        <v>21330.13</v>
      </c>
      <c r="N681" s="6" t="s">
        <v>29</v>
      </c>
      <c r="O681" s="6" t="s">
        <v>45</v>
      </c>
    </row>
    <row r="682" spans="1:15" x14ac:dyDescent="0.3">
      <c r="A682" s="2" t="s">
        <v>797</v>
      </c>
      <c r="B682" s="5">
        <v>45954</v>
      </c>
      <c r="C682" s="6" t="s">
        <v>37</v>
      </c>
      <c r="D682" s="6" t="s">
        <v>68</v>
      </c>
      <c r="E682" s="6" t="s">
        <v>65</v>
      </c>
      <c r="F682" s="6" t="s">
        <v>27</v>
      </c>
      <c r="G682" s="6" t="s">
        <v>50</v>
      </c>
      <c r="H682" s="2">
        <v>4</v>
      </c>
      <c r="I682" s="2">
        <v>31609.17</v>
      </c>
      <c r="J682" s="2">
        <v>0.05</v>
      </c>
      <c r="K682" s="2">
        <v>120114.85</v>
      </c>
      <c r="L682" s="2">
        <v>98732.93</v>
      </c>
      <c r="M682" s="2">
        <v>21381.919999999998</v>
      </c>
      <c r="N682" s="6" t="s">
        <v>58</v>
      </c>
      <c r="O682" s="6" t="s">
        <v>45</v>
      </c>
    </row>
    <row r="683" spans="1:15" x14ac:dyDescent="0.3">
      <c r="A683" s="2" t="s">
        <v>1137</v>
      </c>
      <c r="B683" s="5">
        <v>45942</v>
      </c>
      <c r="C683" s="6" t="s">
        <v>16</v>
      </c>
      <c r="D683" s="6" t="s">
        <v>17</v>
      </c>
      <c r="E683" s="6" t="s">
        <v>74</v>
      </c>
      <c r="F683" s="6" t="s">
        <v>34</v>
      </c>
      <c r="G683" s="6" t="s">
        <v>35</v>
      </c>
      <c r="H683" s="2">
        <v>7</v>
      </c>
      <c r="I683" s="2">
        <v>17048.75</v>
      </c>
      <c r="J683" s="2">
        <v>0.08</v>
      </c>
      <c r="K683" s="2">
        <v>109793.96</v>
      </c>
      <c r="L683" s="2">
        <v>88364.53</v>
      </c>
      <c r="M683" s="2">
        <v>21429.43</v>
      </c>
      <c r="N683" s="6" t="s">
        <v>29</v>
      </c>
      <c r="O683" s="6" t="s">
        <v>45</v>
      </c>
    </row>
    <row r="684" spans="1:15" x14ac:dyDescent="0.3">
      <c r="A684" s="2" t="s">
        <v>1030</v>
      </c>
      <c r="B684" s="5">
        <v>45933</v>
      </c>
      <c r="C684" s="6" t="s">
        <v>63</v>
      </c>
      <c r="D684" s="6" t="s">
        <v>95</v>
      </c>
      <c r="E684" s="6" t="s">
        <v>49</v>
      </c>
      <c r="F684" s="6" t="s">
        <v>34</v>
      </c>
      <c r="G684" s="6" t="s">
        <v>39</v>
      </c>
      <c r="H684" s="2">
        <v>4</v>
      </c>
      <c r="I684" s="2">
        <v>29638.46</v>
      </c>
      <c r="J684" s="2">
        <v>0.03</v>
      </c>
      <c r="K684" s="2">
        <v>114997.22</v>
      </c>
      <c r="L684" s="2">
        <v>93554.46</v>
      </c>
      <c r="M684" s="2">
        <v>21442.76</v>
      </c>
      <c r="N684" s="6" t="s">
        <v>21</v>
      </c>
      <c r="O684" s="6" t="s">
        <v>40</v>
      </c>
    </row>
    <row r="685" spans="1:15" x14ac:dyDescent="0.3">
      <c r="A685" s="2" t="s">
        <v>1224</v>
      </c>
      <c r="B685" s="5">
        <v>45973</v>
      </c>
      <c r="C685" s="6" t="s">
        <v>63</v>
      </c>
      <c r="D685" s="6" t="s">
        <v>64</v>
      </c>
      <c r="E685" s="6" t="s">
        <v>1356</v>
      </c>
      <c r="F685" s="6" t="s">
        <v>34</v>
      </c>
      <c r="G685" s="6" t="s">
        <v>35</v>
      </c>
      <c r="H685" s="2">
        <v>5</v>
      </c>
      <c r="I685" s="2">
        <v>17512.22</v>
      </c>
      <c r="J685" s="2">
        <v>0</v>
      </c>
      <c r="K685" s="2">
        <v>87561.11</v>
      </c>
      <c r="L685" s="2">
        <v>66111.88</v>
      </c>
      <c r="M685" s="2">
        <v>21449.23</v>
      </c>
      <c r="N685" s="6" t="s">
        <v>21</v>
      </c>
      <c r="O685" s="6" t="s">
        <v>22</v>
      </c>
    </row>
    <row r="686" spans="1:15" x14ac:dyDescent="0.3">
      <c r="A686" s="2" t="s">
        <v>1295</v>
      </c>
      <c r="B686" s="5">
        <v>45726</v>
      </c>
      <c r="C686" s="6" t="s">
        <v>16</v>
      </c>
      <c r="D686" s="6" t="s">
        <v>52</v>
      </c>
      <c r="E686" s="6" t="s">
        <v>26</v>
      </c>
      <c r="F686" s="6" t="s">
        <v>27</v>
      </c>
      <c r="G686" s="6" t="s">
        <v>50</v>
      </c>
      <c r="H686" s="2">
        <v>4</v>
      </c>
      <c r="I686" s="2">
        <v>29470.2</v>
      </c>
      <c r="J686" s="2">
        <v>0.08</v>
      </c>
      <c r="K686" s="2">
        <v>108450.35</v>
      </c>
      <c r="L686" s="2">
        <v>86899.24</v>
      </c>
      <c r="M686" s="2">
        <v>21551.11</v>
      </c>
      <c r="N686" s="6" t="s">
        <v>58</v>
      </c>
      <c r="O686" s="6" t="s">
        <v>22</v>
      </c>
    </row>
    <row r="687" spans="1:15" x14ac:dyDescent="0.3">
      <c r="A687" s="2" t="s">
        <v>929</v>
      </c>
      <c r="B687" s="5">
        <v>45690</v>
      </c>
      <c r="C687" s="6" t="s">
        <v>63</v>
      </c>
      <c r="D687" s="6" t="s">
        <v>88</v>
      </c>
      <c r="E687" s="6" t="s">
        <v>56</v>
      </c>
      <c r="F687" s="6" t="s">
        <v>19</v>
      </c>
      <c r="G687" s="6" t="s">
        <v>106</v>
      </c>
      <c r="H687" s="2">
        <v>6</v>
      </c>
      <c r="I687" s="2">
        <v>14950.25</v>
      </c>
      <c r="J687" s="2">
        <v>0</v>
      </c>
      <c r="K687" s="2">
        <v>89701.5</v>
      </c>
      <c r="L687" s="2">
        <v>68132.05</v>
      </c>
      <c r="M687" s="2">
        <v>21569.45</v>
      </c>
      <c r="N687" s="6" t="s">
        <v>29</v>
      </c>
      <c r="O687" s="6" t="s">
        <v>22</v>
      </c>
    </row>
    <row r="688" spans="1:15" x14ac:dyDescent="0.3">
      <c r="A688" s="2" t="s">
        <v>1310</v>
      </c>
      <c r="B688" s="5">
        <v>45962</v>
      </c>
      <c r="C688" s="6" t="s">
        <v>54</v>
      </c>
      <c r="D688" s="6" t="s">
        <v>174</v>
      </c>
      <c r="E688" s="6" t="s">
        <v>56</v>
      </c>
      <c r="F688" s="6" t="s">
        <v>34</v>
      </c>
      <c r="G688" s="6" t="s">
        <v>35</v>
      </c>
      <c r="H688" s="2">
        <v>6</v>
      </c>
      <c r="I688" s="2">
        <v>18986.34</v>
      </c>
      <c r="J688" s="2">
        <v>0.08</v>
      </c>
      <c r="K688" s="2">
        <v>104804.58</v>
      </c>
      <c r="L688" s="2">
        <v>83201.210000000006</v>
      </c>
      <c r="M688" s="2">
        <v>21603.37</v>
      </c>
      <c r="N688" s="6" t="s">
        <v>58</v>
      </c>
      <c r="O688" s="6" t="s">
        <v>22</v>
      </c>
    </row>
    <row r="689" spans="1:15" x14ac:dyDescent="0.3">
      <c r="A689" s="2" t="s">
        <v>894</v>
      </c>
      <c r="B689" s="5">
        <v>46003</v>
      </c>
      <c r="C689" s="6" t="s">
        <v>16</v>
      </c>
      <c r="D689" s="6" t="s">
        <v>32</v>
      </c>
      <c r="E689" s="6" t="s">
        <v>49</v>
      </c>
      <c r="F689" s="6" t="s">
        <v>27</v>
      </c>
      <c r="G689" s="6" t="s">
        <v>66</v>
      </c>
      <c r="H689" s="2">
        <v>5</v>
      </c>
      <c r="I689" s="2">
        <v>11635.03</v>
      </c>
      <c r="J689" s="2">
        <v>0</v>
      </c>
      <c r="K689" s="2">
        <v>58175.14</v>
      </c>
      <c r="L689" s="2">
        <v>36559.699999999997</v>
      </c>
      <c r="M689" s="2">
        <v>21615.439999999999</v>
      </c>
      <c r="N689" s="6" t="s">
        <v>21</v>
      </c>
      <c r="O689" s="6" t="s">
        <v>59</v>
      </c>
    </row>
    <row r="690" spans="1:15" x14ac:dyDescent="0.3">
      <c r="A690" s="2" t="s">
        <v>827</v>
      </c>
      <c r="B690" s="5">
        <v>45787</v>
      </c>
      <c r="C690" s="6" t="s">
        <v>54</v>
      </c>
      <c r="D690" s="6" t="s">
        <v>124</v>
      </c>
      <c r="E690" s="6" t="s">
        <v>74</v>
      </c>
      <c r="F690" s="6" t="s">
        <v>43</v>
      </c>
      <c r="G690" s="6" t="s">
        <v>75</v>
      </c>
      <c r="H690" s="2">
        <v>2</v>
      </c>
      <c r="I690" s="2">
        <v>38737.410000000003</v>
      </c>
      <c r="J690" s="2">
        <v>0.15</v>
      </c>
      <c r="K690" s="2">
        <v>65853.59</v>
      </c>
      <c r="L690" s="2">
        <v>44231.519999999997</v>
      </c>
      <c r="M690" s="2">
        <v>21622.07</v>
      </c>
      <c r="N690" s="6" t="s">
        <v>21</v>
      </c>
      <c r="O690" s="6" t="s">
        <v>59</v>
      </c>
    </row>
    <row r="691" spans="1:15" x14ac:dyDescent="0.3">
      <c r="A691" s="2" t="s">
        <v>71</v>
      </c>
      <c r="B691" s="5">
        <v>45791</v>
      </c>
      <c r="C691" s="6" t="s">
        <v>37</v>
      </c>
      <c r="D691" s="6" t="s">
        <v>68</v>
      </c>
      <c r="E691" s="6" t="s">
        <v>26</v>
      </c>
      <c r="F691" s="6" t="s">
        <v>43</v>
      </c>
      <c r="G691" s="6" t="s">
        <v>44</v>
      </c>
      <c r="H691" s="2">
        <v>6</v>
      </c>
      <c r="I691" s="2">
        <v>12730.5</v>
      </c>
      <c r="J691" s="2">
        <v>0.08</v>
      </c>
      <c r="K691" s="2">
        <v>70272.350000000006</v>
      </c>
      <c r="L691" s="2">
        <v>48554.83</v>
      </c>
      <c r="M691" s="2">
        <v>21717.52</v>
      </c>
      <c r="N691" s="6" t="s">
        <v>29</v>
      </c>
      <c r="O691" s="6" t="s">
        <v>40</v>
      </c>
    </row>
    <row r="692" spans="1:15" x14ac:dyDescent="0.3">
      <c r="A692" s="2" t="s">
        <v>487</v>
      </c>
      <c r="B692" s="5">
        <v>45939</v>
      </c>
      <c r="C692" s="6" t="s">
        <v>37</v>
      </c>
      <c r="D692" s="6" t="s">
        <v>38</v>
      </c>
      <c r="E692" s="6" t="s">
        <v>74</v>
      </c>
      <c r="F692" s="6" t="s">
        <v>43</v>
      </c>
      <c r="G692" s="6" t="s">
        <v>75</v>
      </c>
      <c r="H692" s="2">
        <v>3</v>
      </c>
      <c r="I692" s="2">
        <v>34540.75</v>
      </c>
      <c r="J692" s="2">
        <v>0.05</v>
      </c>
      <c r="K692" s="2">
        <v>98441.15</v>
      </c>
      <c r="L692" s="2">
        <v>76671.8</v>
      </c>
      <c r="M692" s="2">
        <v>21769.35</v>
      </c>
      <c r="N692" s="6" t="s">
        <v>29</v>
      </c>
      <c r="O692" s="6" t="s">
        <v>59</v>
      </c>
    </row>
    <row r="693" spans="1:15" x14ac:dyDescent="0.3">
      <c r="A693" s="2" t="s">
        <v>449</v>
      </c>
      <c r="B693" s="5">
        <v>45767</v>
      </c>
      <c r="C693" s="6" t="s">
        <v>37</v>
      </c>
      <c r="D693" s="6" t="s">
        <v>25</v>
      </c>
      <c r="E693" s="6" t="s">
        <v>56</v>
      </c>
      <c r="F693" s="6" t="s">
        <v>34</v>
      </c>
      <c r="G693" s="6" t="s">
        <v>57</v>
      </c>
      <c r="H693" s="2">
        <v>6</v>
      </c>
      <c r="I693" s="2">
        <v>21032.15</v>
      </c>
      <c r="J693" s="2">
        <v>0.05</v>
      </c>
      <c r="K693" s="2">
        <v>119883.24</v>
      </c>
      <c r="L693" s="2">
        <v>98090.89</v>
      </c>
      <c r="M693" s="2">
        <v>21792.35</v>
      </c>
      <c r="N693" s="6" t="s">
        <v>21</v>
      </c>
      <c r="O693" s="6" t="s">
        <v>40</v>
      </c>
    </row>
    <row r="694" spans="1:15" x14ac:dyDescent="0.3">
      <c r="A694" s="2" t="s">
        <v>1250</v>
      </c>
      <c r="B694" s="5">
        <v>45677</v>
      </c>
      <c r="C694" s="6" t="s">
        <v>16</v>
      </c>
      <c r="D694" s="6" t="s">
        <v>17</v>
      </c>
      <c r="E694" s="6" t="s">
        <v>65</v>
      </c>
      <c r="F694" s="6" t="s">
        <v>34</v>
      </c>
      <c r="G694" s="6" t="s">
        <v>57</v>
      </c>
      <c r="H694" s="2">
        <v>6</v>
      </c>
      <c r="I694" s="2">
        <v>21190.41</v>
      </c>
      <c r="J694" s="2">
        <v>0.08</v>
      </c>
      <c r="K694" s="2">
        <v>116971.05</v>
      </c>
      <c r="L694" s="2">
        <v>95158.9</v>
      </c>
      <c r="M694" s="2">
        <v>21812.15</v>
      </c>
      <c r="N694" s="6" t="s">
        <v>58</v>
      </c>
      <c r="O694" s="6" t="s">
        <v>59</v>
      </c>
    </row>
    <row r="695" spans="1:15" x14ac:dyDescent="0.3">
      <c r="A695" s="2" t="s">
        <v>502</v>
      </c>
      <c r="B695" s="5">
        <v>45896</v>
      </c>
      <c r="C695" s="6" t="s">
        <v>16</v>
      </c>
      <c r="D695" s="6" t="s">
        <v>32</v>
      </c>
      <c r="E695" s="6" t="s">
        <v>69</v>
      </c>
      <c r="F695" s="6" t="s">
        <v>27</v>
      </c>
      <c r="G695" s="6" t="s">
        <v>66</v>
      </c>
      <c r="H695" s="2">
        <v>8</v>
      </c>
      <c r="I695" s="2">
        <v>11440.05</v>
      </c>
      <c r="J695" s="2">
        <v>0.05</v>
      </c>
      <c r="K695" s="2">
        <v>86944.38</v>
      </c>
      <c r="L695" s="2">
        <v>65127.24</v>
      </c>
      <c r="M695" s="2">
        <v>21817.14</v>
      </c>
      <c r="N695" s="6" t="s">
        <v>21</v>
      </c>
      <c r="O695" s="6" t="s">
        <v>22</v>
      </c>
    </row>
    <row r="696" spans="1:15" x14ac:dyDescent="0.3">
      <c r="A696" s="2" t="s">
        <v>1338</v>
      </c>
      <c r="B696" s="5">
        <v>45743</v>
      </c>
      <c r="C696" s="6" t="s">
        <v>16</v>
      </c>
      <c r="D696" s="6" t="s">
        <v>82</v>
      </c>
      <c r="E696" s="6" t="s">
        <v>56</v>
      </c>
      <c r="F696" s="6" t="s">
        <v>27</v>
      </c>
      <c r="G696" s="6" t="s">
        <v>28</v>
      </c>
      <c r="H696" s="2">
        <v>3</v>
      </c>
      <c r="I696" s="2">
        <v>27451.4</v>
      </c>
      <c r="J696" s="2">
        <v>0.1</v>
      </c>
      <c r="K696" s="2">
        <v>74118.789999999994</v>
      </c>
      <c r="L696" s="2">
        <v>52205.27</v>
      </c>
      <c r="M696" s="2">
        <v>21913.52</v>
      </c>
      <c r="N696" s="6" t="s">
        <v>21</v>
      </c>
      <c r="O696" s="6" t="s">
        <v>45</v>
      </c>
    </row>
    <row r="697" spans="1:15" x14ac:dyDescent="0.3">
      <c r="A697" s="2" t="s">
        <v>326</v>
      </c>
      <c r="B697" s="5">
        <v>45793</v>
      </c>
      <c r="C697" s="6" t="s">
        <v>37</v>
      </c>
      <c r="D697" s="6" t="s">
        <v>38</v>
      </c>
      <c r="E697" s="6" t="s">
        <v>18</v>
      </c>
      <c r="F697" s="6" t="s">
        <v>27</v>
      </c>
      <c r="G697" s="6" t="s">
        <v>89</v>
      </c>
      <c r="H697" s="2">
        <v>2</v>
      </c>
      <c r="I697" s="2">
        <v>31292.69</v>
      </c>
      <c r="J697" s="2">
        <v>0.05</v>
      </c>
      <c r="K697" s="2">
        <v>59456.11</v>
      </c>
      <c r="L697" s="2">
        <v>37514.17</v>
      </c>
      <c r="M697" s="2">
        <v>21941.94</v>
      </c>
      <c r="N697" s="6" t="s">
        <v>21</v>
      </c>
      <c r="O697" s="6" t="s">
        <v>59</v>
      </c>
    </row>
    <row r="698" spans="1:15" x14ac:dyDescent="0.3">
      <c r="A698" s="2" t="s">
        <v>1169</v>
      </c>
      <c r="B698" s="5">
        <v>45964</v>
      </c>
      <c r="C698" s="6" t="s">
        <v>54</v>
      </c>
      <c r="D698" s="6" t="s">
        <v>124</v>
      </c>
      <c r="E698" s="6" t="s">
        <v>69</v>
      </c>
      <c r="F698" s="6" t="s">
        <v>34</v>
      </c>
      <c r="G698" s="6" t="s">
        <v>57</v>
      </c>
      <c r="H698" s="2">
        <v>3</v>
      </c>
      <c r="I698" s="2">
        <v>20650.439999999999</v>
      </c>
      <c r="J698" s="2">
        <v>0.05</v>
      </c>
      <c r="K698" s="2">
        <v>58853.760000000002</v>
      </c>
      <c r="L698" s="2">
        <v>36848.769999999997</v>
      </c>
      <c r="M698" s="2">
        <v>22004.99</v>
      </c>
      <c r="N698" s="6" t="s">
        <v>58</v>
      </c>
      <c r="O698" s="6" t="s">
        <v>45</v>
      </c>
    </row>
    <row r="699" spans="1:15" x14ac:dyDescent="0.3">
      <c r="A699" s="2" t="s">
        <v>948</v>
      </c>
      <c r="B699" s="5">
        <v>45828</v>
      </c>
      <c r="C699" s="6" t="s">
        <v>37</v>
      </c>
      <c r="D699" s="6" t="s">
        <v>38</v>
      </c>
      <c r="E699" s="6" t="s">
        <v>18</v>
      </c>
      <c r="F699" s="6" t="s">
        <v>34</v>
      </c>
      <c r="G699" s="6" t="s">
        <v>57</v>
      </c>
      <c r="H699" s="2">
        <v>6</v>
      </c>
      <c r="I699" s="2">
        <v>22104.93</v>
      </c>
      <c r="J699" s="2">
        <v>0.08</v>
      </c>
      <c r="K699" s="2">
        <v>122019.2</v>
      </c>
      <c r="L699" s="2">
        <v>100004.22</v>
      </c>
      <c r="M699" s="2">
        <v>22014.98</v>
      </c>
      <c r="N699" s="6" t="s">
        <v>21</v>
      </c>
      <c r="O699" s="6" t="s">
        <v>40</v>
      </c>
    </row>
    <row r="700" spans="1:15" x14ac:dyDescent="0.3">
      <c r="A700" s="2" t="s">
        <v>1219</v>
      </c>
      <c r="B700" s="5">
        <v>45827</v>
      </c>
      <c r="C700" s="6" t="s">
        <v>37</v>
      </c>
      <c r="D700" s="6" t="s">
        <v>38</v>
      </c>
      <c r="E700" s="6" t="s">
        <v>18</v>
      </c>
      <c r="F700" s="6" t="s">
        <v>19</v>
      </c>
      <c r="G700" s="6" t="s">
        <v>106</v>
      </c>
      <c r="H700" s="2">
        <v>5</v>
      </c>
      <c r="I700" s="2">
        <v>12990.76</v>
      </c>
      <c r="J700" s="2">
        <v>0.1</v>
      </c>
      <c r="K700" s="2">
        <v>58458.43</v>
      </c>
      <c r="L700" s="2">
        <v>36383.96</v>
      </c>
      <c r="M700" s="2">
        <v>22074.47</v>
      </c>
      <c r="N700" s="6" t="s">
        <v>58</v>
      </c>
      <c r="O700" s="6" t="s">
        <v>45</v>
      </c>
    </row>
    <row r="701" spans="1:15" x14ac:dyDescent="0.3">
      <c r="A701" s="2" t="s">
        <v>590</v>
      </c>
      <c r="B701" s="5">
        <v>45984</v>
      </c>
      <c r="C701" s="6" t="s">
        <v>54</v>
      </c>
      <c r="D701" s="6" t="s">
        <v>124</v>
      </c>
      <c r="E701" s="6" t="s">
        <v>74</v>
      </c>
      <c r="F701" s="6" t="s">
        <v>19</v>
      </c>
      <c r="G701" s="6" t="s">
        <v>106</v>
      </c>
      <c r="H701" s="2">
        <v>8</v>
      </c>
      <c r="I701" s="2">
        <v>14831.6</v>
      </c>
      <c r="J701" s="2">
        <v>0.03</v>
      </c>
      <c r="K701" s="2">
        <v>115093.24</v>
      </c>
      <c r="L701" s="2">
        <v>92992.08</v>
      </c>
      <c r="M701" s="2">
        <v>22101.16</v>
      </c>
      <c r="N701" s="6" t="s">
        <v>21</v>
      </c>
      <c r="O701" s="6" t="s">
        <v>30</v>
      </c>
    </row>
    <row r="702" spans="1:15" x14ac:dyDescent="0.3">
      <c r="A702" s="2" t="s">
        <v>351</v>
      </c>
      <c r="B702" s="5">
        <v>45804</v>
      </c>
      <c r="C702" s="6" t="s">
        <v>54</v>
      </c>
      <c r="D702" s="6" t="s">
        <v>174</v>
      </c>
      <c r="E702" s="6" t="s">
        <v>26</v>
      </c>
      <c r="F702" s="6" t="s">
        <v>27</v>
      </c>
      <c r="G702" s="6" t="s">
        <v>50</v>
      </c>
      <c r="H702" s="2">
        <v>5</v>
      </c>
      <c r="I702" s="2">
        <v>29707.919999999998</v>
      </c>
      <c r="J702" s="2">
        <v>0.1</v>
      </c>
      <c r="K702" s="2">
        <v>133685.64000000001</v>
      </c>
      <c r="L702" s="2">
        <v>111539.5</v>
      </c>
      <c r="M702" s="2">
        <v>22146.14</v>
      </c>
      <c r="N702" s="6" t="s">
        <v>21</v>
      </c>
      <c r="O702" s="6" t="s">
        <v>22</v>
      </c>
    </row>
    <row r="703" spans="1:15" x14ac:dyDescent="0.3">
      <c r="A703" s="2" t="s">
        <v>553</v>
      </c>
      <c r="B703" s="5">
        <v>45690</v>
      </c>
      <c r="C703" s="6" t="s">
        <v>16</v>
      </c>
      <c r="D703" s="6" t="s">
        <v>82</v>
      </c>
      <c r="E703" s="6" t="s">
        <v>26</v>
      </c>
      <c r="F703" s="6" t="s">
        <v>19</v>
      </c>
      <c r="G703" s="6" t="s">
        <v>106</v>
      </c>
      <c r="H703" s="2">
        <v>5</v>
      </c>
      <c r="I703" s="2">
        <v>13826.75</v>
      </c>
      <c r="J703" s="2">
        <v>0.15</v>
      </c>
      <c r="K703" s="2">
        <v>58763.69</v>
      </c>
      <c r="L703" s="2">
        <v>36581.480000000003</v>
      </c>
      <c r="M703" s="2">
        <v>22182.21</v>
      </c>
      <c r="N703" s="6" t="s">
        <v>21</v>
      </c>
      <c r="O703" s="6" t="s">
        <v>40</v>
      </c>
    </row>
    <row r="704" spans="1:15" x14ac:dyDescent="0.3">
      <c r="A704" s="2" t="s">
        <v>1225</v>
      </c>
      <c r="B704" s="5">
        <v>45996</v>
      </c>
      <c r="C704" s="6" t="s">
        <v>37</v>
      </c>
      <c r="D704" s="6" t="s">
        <v>68</v>
      </c>
      <c r="E704" s="6" t="s">
        <v>49</v>
      </c>
      <c r="F704" s="6" t="s">
        <v>34</v>
      </c>
      <c r="G704" s="6" t="s">
        <v>39</v>
      </c>
      <c r="H704" s="2">
        <v>3</v>
      </c>
      <c r="I704" s="2">
        <v>30762.17</v>
      </c>
      <c r="J704" s="2">
        <v>0.08</v>
      </c>
      <c r="K704" s="2">
        <v>84903.6</v>
      </c>
      <c r="L704" s="2">
        <v>62718.42</v>
      </c>
      <c r="M704" s="2">
        <v>22185.18</v>
      </c>
      <c r="N704" s="6" t="s">
        <v>21</v>
      </c>
      <c r="O704" s="6" t="s">
        <v>40</v>
      </c>
    </row>
    <row r="705" spans="1:15" x14ac:dyDescent="0.3">
      <c r="A705" s="2" t="s">
        <v>777</v>
      </c>
      <c r="B705" s="5">
        <v>45785</v>
      </c>
      <c r="C705" s="6" t="s">
        <v>54</v>
      </c>
      <c r="D705" s="6" t="s">
        <v>174</v>
      </c>
      <c r="E705" s="6" t="s">
        <v>74</v>
      </c>
      <c r="F705" s="6" t="s">
        <v>43</v>
      </c>
      <c r="G705" s="6" t="s">
        <v>84</v>
      </c>
      <c r="H705" s="2">
        <v>2</v>
      </c>
      <c r="I705" s="2">
        <v>43409.43</v>
      </c>
      <c r="J705" s="2">
        <v>0</v>
      </c>
      <c r="K705" s="2">
        <v>86818.87</v>
      </c>
      <c r="L705" s="2">
        <v>64625.31</v>
      </c>
      <c r="M705" s="2">
        <v>22193.56</v>
      </c>
      <c r="N705" s="6" t="s">
        <v>21</v>
      </c>
      <c r="O705" s="6" t="s">
        <v>59</v>
      </c>
    </row>
    <row r="706" spans="1:15" x14ac:dyDescent="0.3">
      <c r="A706" s="2" t="s">
        <v>828</v>
      </c>
      <c r="B706" s="5">
        <v>45982</v>
      </c>
      <c r="C706" s="6" t="s">
        <v>37</v>
      </c>
      <c r="D706" s="6" t="s">
        <v>68</v>
      </c>
      <c r="E706" s="6" t="s">
        <v>65</v>
      </c>
      <c r="F706" s="6" t="s">
        <v>34</v>
      </c>
      <c r="G706" s="6" t="s">
        <v>39</v>
      </c>
      <c r="H706" s="2">
        <v>5</v>
      </c>
      <c r="I706" s="2">
        <v>29460.6</v>
      </c>
      <c r="J706" s="2">
        <v>0.03</v>
      </c>
      <c r="K706" s="2">
        <v>142883.9</v>
      </c>
      <c r="L706" s="2">
        <v>120656.6</v>
      </c>
      <c r="M706" s="2">
        <v>22227.3</v>
      </c>
      <c r="N706" s="6" t="s">
        <v>21</v>
      </c>
      <c r="O706" s="6" t="s">
        <v>22</v>
      </c>
    </row>
    <row r="707" spans="1:15" x14ac:dyDescent="0.3">
      <c r="A707" s="2" t="s">
        <v>863</v>
      </c>
      <c r="B707" s="5">
        <v>46001</v>
      </c>
      <c r="C707" s="6" t="s">
        <v>63</v>
      </c>
      <c r="D707" s="6" t="s">
        <v>64</v>
      </c>
      <c r="E707" s="6" t="s">
        <v>69</v>
      </c>
      <c r="F707" s="6" t="s">
        <v>19</v>
      </c>
      <c r="G707" s="6" t="s">
        <v>106</v>
      </c>
      <c r="H707" s="2">
        <v>5</v>
      </c>
      <c r="I707" s="2">
        <v>14805.84</v>
      </c>
      <c r="J707" s="2">
        <v>0.05</v>
      </c>
      <c r="K707" s="2">
        <v>70327.72</v>
      </c>
      <c r="L707" s="2">
        <v>48032.42</v>
      </c>
      <c r="M707" s="2">
        <v>22295.3</v>
      </c>
      <c r="N707" s="6" t="s">
        <v>58</v>
      </c>
      <c r="O707" s="6" t="s">
        <v>22</v>
      </c>
    </row>
    <row r="708" spans="1:15" x14ac:dyDescent="0.3">
      <c r="A708" s="2" t="s">
        <v>741</v>
      </c>
      <c r="B708" s="5">
        <v>45913</v>
      </c>
      <c r="C708" s="6" t="s">
        <v>37</v>
      </c>
      <c r="D708" s="6" t="s">
        <v>25</v>
      </c>
      <c r="E708" s="6" t="s">
        <v>49</v>
      </c>
      <c r="F708" s="6" t="s">
        <v>43</v>
      </c>
      <c r="G708" s="6" t="s">
        <v>75</v>
      </c>
      <c r="H708" s="2">
        <v>4</v>
      </c>
      <c r="I708" s="2">
        <v>35527.589999999997</v>
      </c>
      <c r="J708" s="2">
        <v>0.1</v>
      </c>
      <c r="K708" s="2">
        <v>127899.32</v>
      </c>
      <c r="L708" s="2">
        <v>105577.93</v>
      </c>
      <c r="M708" s="2">
        <v>22321.39</v>
      </c>
      <c r="N708" s="6" t="s">
        <v>21</v>
      </c>
      <c r="O708" s="6" t="s">
        <v>40</v>
      </c>
    </row>
    <row r="709" spans="1:15" x14ac:dyDescent="0.3">
      <c r="A709" s="2" t="s">
        <v>1271</v>
      </c>
      <c r="B709" s="5">
        <v>45904</v>
      </c>
      <c r="C709" s="6" t="s">
        <v>54</v>
      </c>
      <c r="D709" s="6" t="s">
        <v>174</v>
      </c>
      <c r="E709" s="6" t="s">
        <v>74</v>
      </c>
      <c r="F709" s="6" t="s">
        <v>43</v>
      </c>
      <c r="G709" s="6" t="s">
        <v>75</v>
      </c>
      <c r="H709" s="2">
        <v>2</v>
      </c>
      <c r="I709" s="2">
        <v>36443</v>
      </c>
      <c r="J709" s="2">
        <v>0.08</v>
      </c>
      <c r="K709" s="2">
        <v>67055.12</v>
      </c>
      <c r="L709" s="2">
        <v>44706.23</v>
      </c>
      <c r="M709" s="2">
        <v>22348.89</v>
      </c>
      <c r="N709" s="6" t="s">
        <v>21</v>
      </c>
      <c r="O709" s="6" t="s">
        <v>22</v>
      </c>
    </row>
    <row r="710" spans="1:15" x14ac:dyDescent="0.3">
      <c r="A710" s="2" t="s">
        <v>970</v>
      </c>
      <c r="B710" s="5">
        <v>45752</v>
      </c>
      <c r="C710" s="6" t="s">
        <v>37</v>
      </c>
      <c r="D710" s="6" t="s">
        <v>25</v>
      </c>
      <c r="E710" s="6" t="s">
        <v>33</v>
      </c>
      <c r="F710" s="6" t="s">
        <v>43</v>
      </c>
      <c r="G710" s="6" t="s">
        <v>44</v>
      </c>
      <c r="H710" s="2">
        <v>6</v>
      </c>
      <c r="I710" s="2">
        <v>12543.92</v>
      </c>
      <c r="J710" s="2">
        <v>0.15</v>
      </c>
      <c r="K710" s="2">
        <v>63973.98</v>
      </c>
      <c r="L710" s="2">
        <v>41608.51</v>
      </c>
      <c r="M710" s="2">
        <v>22365.47</v>
      </c>
      <c r="N710" s="6" t="s">
        <v>58</v>
      </c>
      <c r="O710" s="6" t="s">
        <v>30</v>
      </c>
    </row>
    <row r="711" spans="1:15" x14ac:dyDescent="0.3">
      <c r="A711" s="2" t="s">
        <v>145</v>
      </c>
      <c r="B711" s="5">
        <v>45671</v>
      </c>
      <c r="C711" s="6" t="s">
        <v>54</v>
      </c>
      <c r="D711" s="6" t="s">
        <v>124</v>
      </c>
      <c r="E711" s="6" t="s">
        <v>69</v>
      </c>
      <c r="F711" s="6" t="s">
        <v>34</v>
      </c>
      <c r="G711" s="6" t="s">
        <v>39</v>
      </c>
      <c r="H711" s="2">
        <v>4</v>
      </c>
      <c r="I711" s="2">
        <v>29370.79</v>
      </c>
      <c r="J711" s="2">
        <v>0.05</v>
      </c>
      <c r="K711" s="2">
        <v>111608.98</v>
      </c>
      <c r="L711" s="2">
        <v>89219.44</v>
      </c>
      <c r="M711" s="2">
        <v>22389.54</v>
      </c>
      <c r="N711" s="6" t="s">
        <v>21</v>
      </c>
      <c r="O711" s="6" t="s">
        <v>22</v>
      </c>
    </row>
    <row r="712" spans="1:15" x14ac:dyDescent="0.3">
      <c r="A712" s="2" t="s">
        <v>97</v>
      </c>
      <c r="B712" s="5">
        <v>45930</v>
      </c>
      <c r="C712" s="6" t="s">
        <v>63</v>
      </c>
      <c r="D712" s="6" t="s">
        <v>64</v>
      </c>
      <c r="E712" s="6" t="s">
        <v>74</v>
      </c>
      <c r="F712" s="6" t="s">
        <v>19</v>
      </c>
      <c r="G712" s="6" t="s">
        <v>61</v>
      </c>
      <c r="H712" s="2">
        <v>8</v>
      </c>
      <c r="I712" s="2">
        <v>9246.4500000000007</v>
      </c>
      <c r="J712" s="2">
        <v>0.05</v>
      </c>
      <c r="K712" s="2">
        <v>70272.990000000005</v>
      </c>
      <c r="L712" s="2">
        <v>47855.86</v>
      </c>
      <c r="M712" s="2">
        <v>22417.13</v>
      </c>
      <c r="N712" s="6" t="s">
        <v>58</v>
      </c>
      <c r="O712" s="6" t="s">
        <v>30</v>
      </c>
    </row>
    <row r="713" spans="1:15" x14ac:dyDescent="0.3">
      <c r="A713" s="2" t="s">
        <v>866</v>
      </c>
      <c r="B713" s="5">
        <v>45822</v>
      </c>
      <c r="C713" s="6" t="s">
        <v>54</v>
      </c>
      <c r="D713" s="6" t="s">
        <v>174</v>
      </c>
      <c r="E713" s="6" t="s">
        <v>56</v>
      </c>
      <c r="F713" s="6" t="s">
        <v>19</v>
      </c>
      <c r="G713" s="6" t="s">
        <v>108</v>
      </c>
      <c r="H713" s="2">
        <v>5</v>
      </c>
      <c r="I713" s="2">
        <v>15743.45</v>
      </c>
      <c r="J713" s="2">
        <v>0.1</v>
      </c>
      <c r="K713" s="2">
        <v>70845.52</v>
      </c>
      <c r="L713" s="2">
        <v>48396.61</v>
      </c>
      <c r="M713" s="2">
        <v>22448.91</v>
      </c>
      <c r="N713" s="6" t="s">
        <v>58</v>
      </c>
      <c r="O713" s="6" t="s">
        <v>59</v>
      </c>
    </row>
    <row r="714" spans="1:15" x14ac:dyDescent="0.3">
      <c r="A714" s="2" t="s">
        <v>169</v>
      </c>
      <c r="B714" s="5">
        <v>45872</v>
      </c>
      <c r="C714" s="6" t="s">
        <v>16</v>
      </c>
      <c r="D714" s="6" t="s">
        <v>82</v>
      </c>
      <c r="E714" s="6" t="s">
        <v>74</v>
      </c>
      <c r="F714" s="6" t="s">
        <v>27</v>
      </c>
      <c r="G714" s="6" t="s">
        <v>125</v>
      </c>
      <c r="H714" s="2">
        <v>8</v>
      </c>
      <c r="I714" s="2">
        <v>8502.99</v>
      </c>
      <c r="J714" s="2">
        <v>0.08</v>
      </c>
      <c r="K714" s="2">
        <v>62581.97</v>
      </c>
      <c r="L714" s="2">
        <v>39808.29</v>
      </c>
      <c r="M714" s="2">
        <v>22773.68</v>
      </c>
      <c r="N714" s="6" t="s">
        <v>29</v>
      </c>
      <c r="O714" s="6" t="s">
        <v>22</v>
      </c>
    </row>
    <row r="715" spans="1:15" x14ac:dyDescent="0.3">
      <c r="A715" s="2" t="s">
        <v>723</v>
      </c>
      <c r="B715" s="5">
        <v>45740</v>
      </c>
      <c r="C715" s="6" t="s">
        <v>54</v>
      </c>
      <c r="D715" s="6" t="s">
        <v>124</v>
      </c>
      <c r="E715" s="6" t="s">
        <v>69</v>
      </c>
      <c r="F715" s="6" t="s">
        <v>43</v>
      </c>
      <c r="G715" s="6" t="s">
        <v>44</v>
      </c>
      <c r="H715" s="2">
        <v>7</v>
      </c>
      <c r="I715" s="2">
        <v>12855.35</v>
      </c>
      <c r="J715" s="2">
        <v>0.08</v>
      </c>
      <c r="K715" s="2">
        <v>82788.45</v>
      </c>
      <c r="L715" s="2">
        <v>59977.77</v>
      </c>
      <c r="M715" s="2">
        <v>22810.68</v>
      </c>
      <c r="N715" s="6" t="s">
        <v>29</v>
      </c>
      <c r="O715" s="6" t="s">
        <v>59</v>
      </c>
    </row>
    <row r="716" spans="1:15" x14ac:dyDescent="0.3">
      <c r="A716" s="2" t="s">
        <v>1168</v>
      </c>
      <c r="B716" s="5">
        <v>45943</v>
      </c>
      <c r="C716" s="6" t="s">
        <v>16</v>
      </c>
      <c r="D716" s="6" t="s">
        <v>32</v>
      </c>
      <c r="E716" s="6" t="s">
        <v>26</v>
      </c>
      <c r="F716" s="6" t="s">
        <v>43</v>
      </c>
      <c r="G716" s="6" t="s">
        <v>84</v>
      </c>
      <c r="H716" s="2">
        <v>2</v>
      </c>
      <c r="I716" s="2">
        <v>40956.97</v>
      </c>
      <c r="J716" s="2">
        <v>0.1</v>
      </c>
      <c r="K716" s="2">
        <v>73722.539999999994</v>
      </c>
      <c r="L716" s="2">
        <v>50865.9</v>
      </c>
      <c r="M716" s="2">
        <v>22856.639999999999</v>
      </c>
      <c r="N716" s="6" t="s">
        <v>58</v>
      </c>
      <c r="O716" s="6" t="s">
        <v>45</v>
      </c>
    </row>
    <row r="717" spans="1:15" x14ac:dyDescent="0.3">
      <c r="A717" s="2" t="s">
        <v>868</v>
      </c>
      <c r="B717" s="5">
        <v>45982</v>
      </c>
      <c r="C717" s="6" t="s">
        <v>54</v>
      </c>
      <c r="D717" s="6" t="s">
        <v>48</v>
      </c>
      <c r="E717" s="6" t="s">
        <v>56</v>
      </c>
      <c r="F717" s="6" t="s">
        <v>27</v>
      </c>
      <c r="G717" s="6" t="s">
        <v>125</v>
      </c>
      <c r="H717" s="2">
        <v>8</v>
      </c>
      <c r="I717" s="2">
        <v>8981.7900000000009</v>
      </c>
      <c r="J717" s="2">
        <v>0.1</v>
      </c>
      <c r="K717" s="2">
        <v>64668.89</v>
      </c>
      <c r="L717" s="2">
        <v>41701.29</v>
      </c>
      <c r="M717" s="2">
        <v>22967.599999999999</v>
      </c>
      <c r="N717" s="6" t="s">
        <v>58</v>
      </c>
      <c r="O717" s="6" t="s">
        <v>40</v>
      </c>
    </row>
    <row r="718" spans="1:15" x14ac:dyDescent="0.3">
      <c r="A718" s="2" t="s">
        <v>327</v>
      </c>
      <c r="B718" s="5">
        <v>45706</v>
      </c>
      <c r="C718" s="6" t="s">
        <v>54</v>
      </c>
      <c r="D718" s="6" t="s">
        <v>124</v>
      </c>
      <c r="E718" s="6" t="s">
        <v>65</v>
      </c>
      <c r="F718" s="6" t="s">
        <v>43</v>
      </c>
      <c r="G718" s="6" t="s">
        <v>44</v>
      </c>
      <c r="H718" s="2">
        <v>8</v>
      </c>
      <c r="I718" s="2">
        <v>11578.91</v>
      </c>
      <c r="J718" s="2">
        <v>0.03</v>
      </c>
      <c r="K718" s="2">
        <v>89852.36</v>
      </c>
      <c r="L718" s="2">
        <v>66848.13</v>
      </c>
      <c r="M718" s="2">
        <v>23004.23</v>
      </c>
      <c r="N718" s="6" t="s">
        <v>21</v>
      </c>
      <c r="O718" s="6" t="s">
        <v>22</v>
      </c>
    </row>
    <row r="719" spans="1:15" x14ac:dyDescent="0.3">
      <c r="A719" s="2" t="s">
        <v>1173</v>
      </c>
      <c r="B719" s="5">
        <v>45754</v>
      </c>
      <c r="C719" s="6" t="s">
        <v>16</v>
      </c>
      <c r="D719" s="6" t="s">
        <v>32</v>
      </c>
      <c r="E719" s="6" t="s">
        <v>74</v>
      </c>
      <c r="F719" s="6" t="s">
        <v>34</v>
      </c>
      <c r="G719" s="6" t="s">
        <v>35</v>
      </c>
      <c r="H719" s="2">
        <v>8</v>
      </c>
      <c r="I719" s="2">
        <v>17631.34</v>
      </c>
      <c r="J719" s="2">
        <v>0.1</v>
      </c>
      <c r="K719" s="2">
        <v>126945.68</v>
      </c>
      <c r="L719" s="2">
        <v>103930.29</v>
      </c>
      <c r="M719" s="2">
        <v>23015.39</v>
      </c>
      <c r="N719" s="6" t="s">
        <v>21</v>
      </c>
      <c r="O719" s="6" t="s">
        <v>30</v>
      </c>
    </row>
    <row r="720" spans="1:15" x14ac:dyDescent="0.3">
      <c r="A720" s="2" t="s">
        <v>1039</v>
      </c>
      <c r="B720" s="5">
        <v>45735</v>
      </c>
      <c r="C720" s="6" t="s">
        <v>16</v>
      </c>
      <c r="D720" s="6" t="s">
        <v>17</v>
      </c>
      <c r="E720" s="6" t="s">
        <v>56</v>
      </c>
      <c r="F720" s="6" t="s">
        <v>34</v>
      </c>
      <c r="G720" s="6" t="s">
        <v>35</v>
      </c>
      <c r="H720" s="2">
        <v>8</v>
      </c>
      <c r="I720" s="2">
        <v>17144.84</v>
      </c>
      <c r="J720" s="2">
        <v>0.05</v>
      </c>
      <c r="K720" s="2">
        <v>130300.81</v>
      </c>
      <c r="L720" s="2">
        <v>107234.8</v>
      </c>
      <c r="M720" s="2">
        <v>23066.01</v>
      </c>
      <c r="N720" s="6" t="s">
        <v>29</v>
      </c>
      <c r="O720" s="6" t="s">
        <v>30</v>
      </c>
    </row>
    <row r="721" spans="1:15" x14ac:dyDescent="0.3">
      <c r="A721" s="2" t="s">
        <v>157</v>
      </c>
      <c r="B721" s="5">
        <v>45719</v>
      </c>
      <c r="C721" s="6" t="s">
        <v>37</v>
      </c>
      <c r="D721" s="6" t="s">
        <v>68</v>
      </c>
      <c r="E721" s="6" t="s">
        <v>65</v>
      </c>
      <c r="F721" s="6" t="s">
        <v>34</v>
      </c>
      <c r="G721" s="6" t="s">
        <v>57</v>
      </c>
      <c r="H721" s="2">
        <v>5</v>
      </c>
      <c r="I721" s="2">
        <v>20896.150000000001</v>
      </c>
      <c r="J721" s="2">
        <v>0.03</v>
      </c>
      <c r="K721" s="2">
        <v>101346.31</v>
      </c>
      <c r="L721" s="2">
        <v>78249.69</v>
      </c>
      <c r="M721" s="2">
        <v>23096.62</v>
      </c>
      <c r="N721" s="6" t="s">
        <v>21</v>
      </c>
      <c r="O721" s="6" t="s">
        <v>45</v>
      </c>
    </row>
    <row r="722" spans="1:15" x14ac:dyDescent="0.3">
      <c r="A722" s="2" t="s">
        <v>1330</v>
      </c>
      <c r="B722" s="5">
        <v>45683</v>
      </c>
      <c r="C722" s="6" t="s">
        <v>37</v>
      </c>
      <c r="D722" s="6" t="s">
        <v>42</v>
      </c>
      <c r="E722" s="6" t="s">
        <v>69</v>
      </c>
      <c r="F722" s="6" t="s">
        <v>27</v>
      </c>
      <c r="G722" s="6" t="s">
        <v>50</v>
      </c>
      <c r="H722" s="2">
        <v>4</v>
      </c>
      <c r="I722" s="2">
        <v>30030.58</v>
      </c>
      <c r="J722" s="2">
        <v>0.08</v>
      </c>
      <c r="K722" s="2">
        <v>110512.55</v>
      </c>
      <c r="L722" s="2">
        <v>87299.98</v>
      </c>
      <c r="M722" s="2">
        <v>23212.57</v>
      </c>
      <c r="N722" s="6" t="s">
        <v>29</v>
      </c>
      <c r="O722" s="6" t="s">
        <v>59</v>
      </c>
    </row>
    <row r="723" spans="1:15" x14ac:dyDescent="0.3">
      <c r="A723" s="2" t="s">
        <v>778</v>
      </c>
      <c r="B723" s="5">
        <v>45802</v>
      </c>
      <c r="C723" s="6" t="s">
        <v>16</v>
      </c>
      <c r="D723" s="6" t="s">
        <v>52</v>
      </c>
      <c r="E723" s="6" t="s">
        <v>26</v>
      </c>
      <c r="F723" s="6" t="s">
        <v>27</v>
      </c>
      <c r="G723" s="6" t="s">
        <v>28</v>
      </c>
      <c r="H723" s="2">
        <v>5</v>
      </c>
      <c r="I723" s="2">
        <v>27154.15</v>
      </c>
      <c r="J723" s="2">
        <v>0.03</v>
      </c>
      <c r="K723" s="2">
        <v>131697.64000000001</v>
      </c>
      <c r="L723" s="2">
        <v>108470.88</v>
      </c>
      <c r="M723" s="2">
        <v>23226.76</v>
      </c>
      <c r="N723" s="6" t="s">
        <v>29</v>
      </c>
      <c r="O723" s="6" t="s">
        <v>45</v>
      </c>
    </row>
    <row r="724" spans="1:15" x14ac:dyDescent="0.3">
      <c r="A724" s="2" t="s">
        <v>1040</v>
      </c>
      <c r="B724" s="5">
        <v>45761</v>
      </c>
      <c r="C724" s="6" t="s">
        <v>63</v>
      </c>
      <c r="D724" s="6" t="s">
        <v>95</v>
      </c>
      <c r="E724" s="6" t="s">
        <v>18</v>
      </c>
      <c r="F724" s="6" t="s">
        <v>43</v>
      </c>
      <c r="G724" s="6" t="s">
        <v>44</v>
      </c>
      <c r="H724" s="2">
        <v>7</v>
      </c>
      <c r="I724" s="2">
        <v>11201.04</v>
      </c>
      <c r="J724" s="2">
        <v>0.15</v>
      </c>
      <c r="K724" s="2">
        <v>66646.17</v>
      </c>
      <c r="L724" s="2">
        <v>43354.92</v>
      </c>
      <c r="M724" s="2">
        <v>23291.25</v>
      </c>
      <c r="N724" s="6" t="s">
        <v>58</v>
      </c>
      <c r="O724" s="6" t="s">
        <v>59</v>
      </c>
    </row>
    <row r="725" spans="1:15" x14ac:dyDescent="0.3">
      <c r="A725" s="2" t="s">
        <v>971</v>
      </c>
      <c r="B725" s="5">
        <v>45931</v>
      </c>
      <c r="C725" s="6" t="s">
        <v>16</v>
      </c>
      <c r="D725" s="6" t="s">
        <v>32</v>
      </c>
      <c r="E725" s="6" t="s">
        <v>74</v>
      </c>
      <c r="F725" s="6" t="s">
        <v>34</v>
      </c>
      <c r="G725" s="6" t="s">
        <v>57</v>
      </c>
      <c r="H725" s="2">
        <v>6</v>
      </c>
      <c r="I725" s="2">
        <v>21775.47</v>
      </c>
      <c r="J725" s="2">
        <v>0.03</v>
      </c>
      <c r="K725" s="2">
        <v>126733.26</v>
      </c>
      <c r="L725" s="2">
        <v>103395.08</v>
      </c>
      <c r="M725" s="2">
        <v>23338.18</v>
      </c>
      <c r="N725" s="6" t="s">
        <v>21</v>
      </c>
      <c r="O725" s="6" t="s">
        <v>22</v>
      </c>
    </row>
    <row r="726" spans="1:15" x14ac:dyDescent="0.3">
      <c r="A726" s="2" t="s">
        <v>185</v>
      </c>
      <c r="B726" s="5">
        <v>45968</v>
      </c>
      <c r="C726" s="6" t="s">
        <v>37</v>
      </c>
      <c r="D726" s="6" t="s">
        <v>25</v>
      </c>
      <c r="E726" s="6" t="s">
        <v>49</v>
      </c>
      <c r="F726" s="6" t="s">
        <v>43</v>
      </c>
      <c r="G726" s="6" t="s">
        <v>91</v>
      </c>
      <c r="H726" s="2">
        <v>3</v>
      </c>
      <c r="I726" s="2">
        <v>51204.97</v>
      </c>
      <c r="J726" s="2">
        <v>0</v>
      </c>
      <c r="K726" s="2">
        <v>153614.9</v>
      </c>
      <c r="L726" s="2">
        <v>130274.19</v>
      </c>
      <c r="M726" s="2">
        <v>23340.71</v>
      </c>
      <c r="N726" s="6" t="s">
        <v>29</v>
      </c>
      <c r="O726" s="6" t="s">
        <v>40</v>
      </c>
    </row>
    <row r="727" spans="1:15" x14ac:dyDescent="0.3">
      <c r="A727" s="2" t="s">
        <v>1335</v>
      </c>
      <c r="B727" s="5">
        <v>45709</v>
      </c>
      <c r="C727" s="6" t="s">
        <v>16</v>
      </c>
      <c r="D727" s="6" t="s">
        <v>17</v>
      </c>
      <c r="E727" s="6" t="s">
        <v>26</v>
      </c>
      <c r="F727" s="6" t="s">
        <v>43</v>
      </c>
      <c r="G727" s="6" t="s">
        <v>91</v>
      </c>
      <c r="H727" s="2">
        <v>3</v>
      </c>
      <c r="I727" s="2">
        <v>51105.279999999999</v>
      </c>
      <c r="J727" s="2">
        <v>0</v>
      </c>
      <c r="K727" s="2">
        <v>153315.82999999999</v>
      </c>
      <c r="L727" s="2">
        <v>129935.93</v>
      </c>
      <c r="M727" s="2">
        <v>23379.9</v>
      </c>
      <c r="N727" s="6" t="s">
        <v>21</v>
      </c>
      <c r="O727" s="6" t="s">
        <v>22</v>
      </c>
    </row>
    <row r="728" spans="1:15" x14ac:dyDescent="0.3">
      <c r="A728" s="2" t="s">
        <v>722</v>
      </c>
      <c r="B728" s="5">
        <v>45970</v>
      </c>
      <c r="C728" s="6" t="s">
        <v>37</v>
      </c>
      <c r="D728" s="6" t="s">
        <v>25</v>
      </c>
      <c r="E728" s="6" t="s">
        <v>65</v>
      </c>
      <c r="F728" s="6" t="s">
        <v>34</v>
      </c>
      <c r="G728" s="6" t="s">
        <v>39</v>
      </c>
      <c r="H728" s="2">
        <v>3</v>
      </c>
      <c r="I728" s="2">
        <v>31132.97</v>
      </c>
      <c r="J728" s="2">
        <v>0.03</v>
      </c>
      <c r="K728" s="2">
        <v>90596.94</v>
      </c>
      <c r="L728" s="2">
        <v>67173.17</v>
      </c>
      <c r="M728" s="2">
        <v>23423.77</v>
      </c>
      <c r="N728" s="6" t="s">
        <v>58</v>
      </c>
      <c r="O728" s="6" t="s">
        <v>22</v>
      </c>
    </row>
    <row r="729" spans="1:15" x14ac:dyDescent="0.3">
      <c r="A729" s="2" t="s">
        <v>743</v>
      </c>
      <c r="B729" s="5">
        <v>45686</v>
      </c>
      <c r="C729" s="6" t="s">
        <v>63</v>
      </c>
      <c r="D729" s="6" t="s">
        <v>117</v>
      </c>
      <c r="E729" s="6" t="s">
        <v>56</v>
      </c>
      <c r="F729" s="6" t="s">
        <v>43</v>
      </c>
      <c r="G729" s="6" t="s">
        <v>91</v>
      </c>
      <c r="H729" s="2">
        <v>2</v>
      </c>
      <c r="I729" s="2">
        <v>44501.83</v>
      </c>
      <c r="J729" s="2">
        <v>0.03</v>
      </c>
      <c r="K729" s="2">
        <v>86333.55</v>
      </c>
      <c r="L729" s="2">
        <v>62877.45</v>
      </c>
      <c r="M729" s="2">
        <v>23456.1</v>
      </c>
      <c r="N729" s="6" t="s">
        <v>58</v>
      </c>
      <c r="O729" s="6" t="s">
        <v>30</v>
      </c>
    </row>
    <row r="730" spans="1:15" x14ac:dyDescent="0.3">
      <c r="A730" s="2" t="s">
        <v>167</v>
      </c>
      <c r="B730" s="5">
        <v>45836</v>
      </c>
      <c r="C730" s="6" t="s">
        <v>54</v>
      </c>
      <c r="D730" s="6" t="s">
        <v>48</v>
      </c>
      <c r="E730" s="6" t="s">
        <v>18</v>
      </c>
      <c r="F730" s="6" t="s">
        <v>34</v>
      </c>
      <c r="G730" s="6" t="s">
        <v>39</v>
      </c>
      <c r="H730" s="2">
        <v>3</v>
      </c>
      <c r="I730" s="2">
        <v>29770.65</v>
      </c>
      <c r="J730" s="2">
        <v>0.03</v>
      </c>
      <c r="K730" s="2">
        <v>86632.58</v>
      </c>
      <c r="L730" s="2">
        <v>63119.24</v>
      </c>
      <c r="M730" s="2">
        <v>23513.34</v>
      </c>
      <c r="N730" s="6" t="s">
        <v>21</v>
      </c>
      <c r="O730" s="6" t="s">
        <v>30</v>
      </c>
    </row>
    <row r="731" spans="1:15" x14ac:dyDescent="0.3">
      <c r="A731" s="2" t="s">
        <v>242</v>
      </c>
      <c r="B731" s="5">
        <v>45801</v>
      </c>
      <c r="C731" s="6" t="s">
        <v>37</v>
      </c>
      <c r="D731" s="6" t="s">
        <v>68</v>
      </c>
      <c r="E731" s="6" t="s">
        <v>49</v>
      </c>
      <c r="F731" s="6" t="s">
        <v>34</v>
      </c>
      <c r="G731" s="6" t="s">
        <v>35</v>
      </c>
      <c r="H731" s="2">
        <v>6</v>
      </c>
      <c r="I731" s="2">
        <v>17445</v>
      </c>
      <c r="J731" s="2">
        <v>0.1</v>
      </c>
      <c r="K731" s="2">
        <v>94202.97</v>
      </c>
      <c r="L731" s="2">
        <v>70595.58</v>
      </c>
      <c r="M731" s="2">
        <v>23607.39</v>
      </c>
      <c r="N731" s="6" t="s">
        <v>21</v>
      </c>
      <c r="O731" s="6" t="s">
        <v>59</v>
      </c>
    </row>
    <row r="732" spans="1:15" x14ac:dyDescent="0.3">
      <c r="A732" s="2" t="s">
        <v>191</v>
      </c>
      <c r="B732" s="5">
        <v>45842</v>
      </c>
      <c r="C732" s="6" t="s">
        <v>16</v>
      </c>
      <c r="D732" s="6" t="s">
        <v>82</v>
      </c>
      <c r="E732" s="6" t="s">
        <v>69</v>
      </c>
      <c r="F732" s="6" t="s">
        <v>34</v>
      </c>
      <c r="G732" s="6" t="s">
        <v>35</v>
      </c>
      <c r="H732" s="2">
        <v>5</v>
      </c>
      <c r="I732" s="2">
        <v>18769.5</v>
      </c>
      <c r="J732" s="2">
        <v>0.05</v>
      </c>
      <c r="K732" s="2">
        <v>89155.14</v>
      </c>
      <c r="L732" s="2">
        <v>65544.2</v>
      </c>
      <c r="M732" s="2">
        <v>23610.94</v>
      </c>
      <c r="N732" s="6" t="s">
        <v>29</v>
      </c>
      <c r="O732" s="6" t="s">
        <v>40</v>
      </c>
    </row>
    <row r="733" spans="1:15" x14ac:dyDescent="0.3">
      <c r="A733" s="2" t="s">
        <v>1290</v>
      </c>
      <c r="B733" s="5">
        <v>45762</v>
      </c>
      <c r="C733" s="6" t="s">
        <v>37</v>
      </c>
      <c r="D733" s="6" t="s">
        <v>42</v>
      </c>
      <c r="E733" s="6" t="s">
        <v>74</v>
      </c>
      <c r="F733" s="6" t="s">
        <v>34</v>
      </c>
      <c r="G733" s="6" t="s">
        <v>70</v>
      </c>
      <c r="H733" s="2">
        <v>2</v>
      </c>
      <c r="I733" s="2">
        <v>61463.61</v>
      </c>
      <c r="J733" s="2">
        <v>0</v>
      </c>
      <c r="K733" s="2">
        <v>122927.23</v>
      </c>
      <c r="L733" s="2">
        <v>99288.52</v>
      </c>
      <c r="M733" s="2">
        <v>23638.71</v>
      </c>
      <c r="N733" s="6" t="s">
        <v>21</v>
      </c>
      <c r="O733" s="6" t="s">
        <v>40</v>
      </c>
    </row>
    <row r="734" spans="1:15" x14ac:dyDescent="0.3">
      <c r="A734" s="2" t="s">
        <v>622</v>
      </c>
      <c r="B734" s="5">
        <v>45731</v>
      </c>
      <c r="C734" s="6" t="s">
        <v>54</v>
      </c>
      <c r="D734" s="6" t="s">
        <v>124</v>
      </c>
      <c r="E734" s="6" t="s">
        <v>33</v>
      </c>
      <c r="F734" s="6" t="s">
        <v>27</v>
      </c>
      <c r="G734" s="6" t="s">
        <v>28</v>
      </c>
      <c r="H734" s="2">
        <v>3</v>
      </c>
      <c r="I734" s="2">
        <v>26836.18</v>
      </c>
      <c r="J734" s="2">
        <v>0.05</v>
      </c>
      <c r="K734" s="2">
        <v>76483.12</v>
      </c>
      <c r="L734" s="2">
        <v>52602.67</v>
      </c>
      <c r="M734" s="2">
        <v>23880.45</v>
      </c>
      <c r="N734" s="6" t="s">
        <v>29</v>
      </c>
      <c r="O734" s="6" t="s">
        <v>59</v>
      </c>
    </row>
    <row r="735" spans="1:15" x14ac:dyDescent="0.3">
      <c r="A735" s="2" t="s">
        <v>1256</v>
      </c>
      <c r="B735" s="5">
        <v>45826</v>
      </c>
      <c r="C735" s="6" t="s">
        <v>63</v>
      </c>
      <c r="D735" s="6" t="s">
        <v>88</v>
      </c>
      <c r="E735" s="6" t="s">
        <v>33</v>
      </c>
      <c r="F735" s="6" t="s">
        <v>43</v>
      </c>
      <c r="G735" s="6" t="s">
        <v>91</v>
      </c>
      <c r="H735" s="2">
        <v>2</v>
      </c>
      <c r="I735" s="2">
        <v>50431.65</v>
      </c>
      <c r="J735" s="2">
        <v>0.08</v>
      </c>
      <c r="K735" s="2">
        <v>92794.23</v>
      </c>
      <c r="L735" s="2">
        <v>68828.17</v>
      </c>
      <c r="M735" s="2">
        <v>23966.06</v>
      </c>
      <c r="N735" s="6" t="s">
        <v>58</v>
      </c>
      <c r="O735" s="6" t="s">
        <v>30</v>
      </c>
    </row>
    <row r="736" spans="1:15" x14ac:dyDescent="0.3">
      <c r="A736" s="2" t="s">
        <v>1058</v>
      </c>
      <c r="B736" s="5">
        <v>45829</v>
      </c>
      <c r="C736" s="6" t="s">
        <v>63</v>
      </c>
      <c r="D736" s="6" t="s">
        <v>95</v>
      </c>
      <c r="E736" s="6" t="s">
        <v>26</v>
      </c>
      <c r="F736" s="6" t="s">
        <v>19</v>
      </c>
      <c r="G736" s="6" t="s">
        <v>106</v>
      </c>
      <c r="H736" s="2">
        <v>7</v>
      </c>
      <c r="I736" s="2">
        <v>12905.51</v>
      </c>
      <c r="J736" s="2">
        <v>0.08</v>
      </c>
      <c r="K736" s="2">
        <v>83111.5</v>
      </c>
      <c r="L736" s="2">
        <v>59029.95</v>
      </c>
      <c r="M736" s="2">
        <v>24081.55</v>
      </c>
      <c r="N736" s="6" t="s">
        <v>29</v>
      </c>
      <c r="O736" s="6" t="s">
        <v>45</v>
      </c>
    </row>
    <row r="737" spans="1:15" x14ac:dyDescent="0.3">
      <c r="A737" s="2" t="s">
        <v>459</v>
      </c>
      <c r="B737" s="5">
        <v>45866</v>
      </c>
      <c r="C737" s="6" t="s">
        <v>63</v>
      </c>
      <c r="D737" s="6" t="s">
        <v>95</v>
      </c>
      <c r="E737" s="6" t="s">
        <v>26</v>
      </c>
      <c r="F737" s="6" t="s">
        <v>19</v>
      </c>
      <c r="G737" s="6" t="s">
        <v>108</v>
      </c>
      <c r="H737" s="2">
        <v>7</v>
      </c>
      <c r="I737" s="2">
        <v>14290</v>
      </c>
      <c r="J737" s="2">
        <v>0</v>
      </c>
      <c r="K737" s="2">
        <v>100030</v>
      </c>
      <c r="L737" s="2">
        <v>75936.2</v>
      </c>
      <c r="M737" s="2">
        <v>24093.8</v>
      </c>
      <c r="N737" s="6" t="s">
        <v>58</v>
      </c>
      <c r="O737" s="6" t="s">
        <v>59</v>
      </c>
    </row>
    <row r="738" spans="1:15" x14ac:dyDescent="0.3">
      <c r="A738" s="2" t="s">
        <v>526</v>
      </c>
      <c r="B738" s="5">
        <v>45746</v>
      </c>
      <c r="C738" s="6" t="s">
        <v>63</v>
      </c>
      <c r="D738" s="6" t="s">
        <v>95</v>
      </c>
      <c r="E738" s="6" t="s">
        <v>74</v>
      </c>
      <c r="F738" s="6" t="s">
        <v>34</v>
      </c>
      <c r="G738" s="6" t="s">
        <v>39</v>
      </c>
      <c r="H738" s="2">
        <v>3</v>
      </c>
      <c r="I738" s="2">
        <v>28144.52</v>
      </c>
      <c r="J738" s="2">
        <v>0.15</v>
      </c>
      <c r="K738" s="2">
        <v>71768.52</v>
      </c>
      <c r="L738" s="2">
        <v>47656.35</v>
      </c>
      <c r="M738" s="2">
        <v>24112.17</v>
      </c>
      <c r="N738" s="6" t="s">
        <v>58</v>
      </c>
      <c r="O738" s="6" t="s">
        <v>30</v>
      </c>
    </row>
    <row r="739" spans="1:15" x14ac:dyDescent="0.3">
      <c r="A739" s="2" t="s">
        <v>472</v>
      </c>
      <c r="B739" s="5">
        <v>45788</v>
      </c>
      <c r="C739" s="6" t="s">
        <v>54</v>
      </c>
      <c r="D739" s="6" t="s">
        <v>55</v>
      </c>
      <c r="E739" s="6" t="s">
        <v>56</v>
      </c>
      <c r="F739" s="6" t="s">
        <v>19</v>
      </c>
      <c r="G739" s="6" t="s">
        <v>106</v>
      </c>
      <c r="H739" s="2">
        <v>6</v>
      </c>
      <c r="I739" s="2">
        <v>13174.9</v>
      </c>
      <c r="J739" s="2">
        <v>0.1</v>
      </c>
      <c r="K739" s="2">
        <v>71144.479999999996</v>
      </c>
      <c r="L739" s="2">
        <v>46932.06</v>
      </c>
      <c r="M739" s="2">
        <v>24212.42</v>
      </c>
      <c r="N739" s="6" t="s">
        <v>21</v>
      </c>
      <c r="O739" s="6" t="s">
        <v>59</v>
      </c>
    </row>
    <row r="740" spans="1:15" x14ac:dyDescent="0.3">
      <c r="A740" s="2" t="s">
        <v>847</v>
      </c>
      <c r="B740" s="5">
        <v>45787</v>
      </c>
      <c r="C740" s="6" t="s">
        <v>16</v>
      </c>
      <c r="D740" s="6" t="s">
        <v>32</v>
      </c>
      <c r="E740" s="6" t="s">
        <v>65</v>
      </c>
      <c r="F740" s="6" t="s">
        <v>34</v>
      </c>
      <c r="G740" s="6" t="s">
        <v>35</v>
      </c>
      <c r="H740" s="2">
        <v>5</v>
      </c>
      <c r="I740" s="2">
        <v>17281.39</v>
      </c>
      <c r="J740" s="2">
        <v>0.1</v>
      </c>
      <c r="K740" s="2">
        <v>77766.259999999995</v>
      </c>
      <c r="L740" s="2">
        <v>53434.89</v>
      </c>
      <c r="M740" s="2">
        <v>24331.37</v>
      </c>
      <c r="N740" s="6" t="s">
        <v>58</v>
      </c>
      <c r="O740" s="6" t="s">
        <v>22</v>
      </c>
    </row>
    <row r="741" spans="1:15" x14ac:dyDescent="0.3">
      <c r="A741" s="2" t="s">
        <v>1249</v>
      </c>
      <c r="B741" s="5">
        <v>45722</v>
      </c>
      <c r="C741" s="6" t="s">
        <v>16</v>
      </c>
      <c r="D741" s="6" t="s">
        <v>82</v>
      </c>
      <c r="E741" s="6" t="s">
        <v>26</v>
      </c>
      <c r="F741" s="6" t="s">
        <v>34</v>
      </c>
      <c r="G741" s="6" t="s">
        <v>57</v>
      </c>
      <c r="H741" s="2">
        <v>4</v>
      </c>
      <c r="I741" s="2">
        <v>22460.34</v>
      </c>
      <c r="J741" s="2">
        <v>0.08</v>
      </c>
      <c r="K741" s="2">
        <v>82654.070000000007</v>
      </c>
      <c r="L741" s="2">
        <v>58258.86</v>
      </c>
      <c r="M741" s="2">
        <v>24395.21</v>
      </c>
      <c r="N741" s="6" t="s">
        <v>21</v>
      </c>
      <c r="O741" s="6" t="s">
        <v>30</v>
      </c>
    </row>
    <row r="742" spans="1:15" x14ac:dyDescent="0.3">
      <c r="A742" s="2" t="s">
        <v>266</v>
      </c>
      <c r="B742" s="5">
        <v>45790</v>
      </c>
      <c r="C742" s="6" t="s">
        <v>54</v>
      </c>
      <c r="D742" s="6" t="s">
        <v>48</v>
      </c>
      <c r="E742" s="6" t="s">
        <v>26</v>
      </c>
      <c r="F742" s="6" t="s">
        <v>34</v>
      </c>
      <c r="G742" s="6" t="s">
        <v>57</v>
      </c>
      <c r="H742" s="2">
        <v>4</v>
      </c>
      <c r="I742" s="2">
        <v>21935.35</v>
      </c>
      <c r="J742" s="2">
        <v>0.03</v>
      </c>
      <c r="K742" s="2">
        <v>85109.18</v>
      </c>
      <c r="L742" s="2">
        <v>60674.239999999998</v>
      </c>
      <c r="M742" s="2">
        <v>24434.94</v>
      </c>
      <c r="N742" s="6" t="s">
        <v>21</v>
      </c>
      <c r="O742" s="6" t="s">
        <v>59</v>
      </c>
    </row>
    <row r="743" spans="1:15" x14ac:dyDescent="0.3">
      <c r="A743" s="2" t="s">
        <v>1276</v>
      </c>
      <c r="B743" s="5">
        <v>45754</v>
      </c>
      <c r="C743" s="6" t="s">
        <v>37</v>
      </c>
      <c r="D743" s="6" t="s">
        <v>42</v>
      </c>
      <c r="E743" s="6" t="s">
        <v>49</v>
      </c>
      <c r="F743" s="6" t="s">
        <v>34</v>
      </c>
      <c r="G743" s="6" t="s">
        <v>57</v>
      </c>
      <c r="H743" s="2">
        <v>5</v>
      </c>
      <c r="I743" s="2">
        <v>20359.580000000002</v>
      </c>
      <c r="J743" s="2">
        <v>0.1</v>
      </c>
      <c r="K743" s="2">
        <v>91618.11</v>
      </c>
      <c r="L743" s="2">
        <v>67048.570000000007</v>
      </c>
      <c r="M743" s="2">
        <v>24569.54</v>
      </c>
      <c r="N743" s="6" t="s">
        <v>58</v>
      </c>
      <c r="O743" s="6" t="s">
        <v>22</v>
      </c>
    </row>
    <row r="744" spans="1:15" x14ac:dyDescent="0.3">
      <c r="A744" s="2" t="s">
        <v>272</v>
      </c>
      <c r="B744" s="5">
        <v>46001</v>
      </c>
      <c r="C744" s="6" t="s">
        <v>54</v>
      </c>
      <c r="D744" s="6" t="s">
        <v>55</v>
      </c>
      <c r="E744" s="6" t="s">
        <v>69</v>
      </c>
      <c r="F744" s="6" t="s">
        <v>43</v>
      </c>
      <c r="G744" s="6" t="s">
        <v>44</v>
      </c>
      <c r="H744" s="2">
        <v>6</v>
      </c>
      <c r="I744" s="2">
        <v>12262.41</v>
      </c>
      <c r="J744" s="2">
        <v>0.08</v>
      </c>
      <c r="K744" s="2">
        <v>67688.479999999996</v>
      </c>
      <c r="L744" s="2">
        <v>43049.64</v>
      </c>
      <c r="M744" s="2">
        <v>24638.84</v>
      </c>
      <c r="N744" s="6" t="s">
        <v>58</v>
      </c>
      <c r="O744" s="6" t="s">
        <v>45</v>
      </c>
    </row>
    <row r="745" spans="1:15" x14ac:dyDescent="0.3">
      <c r="A745" s="2" t="s">
        <v>159</v>
      </c>
      <c r="B745" s="5">
        <v>45672</v>
      </c>
      <c r="C745" s="6" t="s">
        <v>16</v>
      </c>
      <c r="D745" s="6" t="s">
        <v>82</v>
      </c>
      <c r="E745" s="6" t="s">
        <v>26</v>
      </c>
      <c r="F745" s="6" t="s">
        <v>19</v>
      </c>
      <c r="G745" s="6" t="s">
        <v>106</v>
      </c>
      <c r="H745" s="2">
        <v>6</v>
      </c>
      <c r="I745" s="2">
        <v>14985.22</v>
      </c>
      <c r="J745" s="2">
        <v>0.08</v>
      </c>
      <c r="K745" s="2">
        <v>82718.44</v>
      </c>
      <c r="L745" s="2">
        <v>57934.12</v>
      </c>
      <c r="M745" s="2">
        <v>24784.32</v>
      </c>
      <c r="N745" s="6" t="s">
        <v>58</v>
      </c>
      <c r="O745" s="6" t="s">
        <v>30</v>
      </c>
    </row>
    <row r="746" spans="1:15" x14ac:dyDescent="0.3">
      <c r="A746" s="2" t="s">
        <v>730</v>
      </c>
      <c r="B746" s="5">
        <v>45786</v>
      </c>
      <c r="C746" s="6" t="s">
        <v>63</v>
      </c>
      <c r="D746" s="6" t="s">
        <v>117</v>
      </c>
      <c r="E746" s="6" t="s">
        <v>18</v>
      </c>
      <c r="F746" s="6" t="s">
        <v>34</v>
      </c>
      <c r="G746" s="6" t="s">
        <v>35</v>
      </c>
      <c r="H746" s="2">
        <v>5</v>
      </c>
      <c r="I746" s="2">
        <v>19337.73</v>
      </c>
      <c r="J746" s="2">
        <v>0.03</v>
      </c>
      <c r="K746" s="2">
        <v>93787.97</v>
      </c>
      <c r="L746" s="2">
        <v>68944.479999999996</v>
      </c>
      <c r="M746" s="2">
        <v>24843.49</v>
      </c>
      <c r="N746" s="6" t="s">
        <v>29</v>
      </c>
      <c r="O746" s="6" t="s">
        <v>45</v>
      </c>
    </row>
    <row r="747" spans="1:15" x14ac:dyDescent="0.3">
      <c r="A747" s="2" t="s">
        <v>416</v>
      </c>
      <c r="B747" s="5">
        <v>45945</v>
      </c>
      <c r="C747" s="6" t="s">
        <v>63</v>
      </c>
      <c r="D747" s="6" t="s">
        <v>95</v>
      </c>
      <c r="E747" s="6" t="s">
        <v>56</v>
      </c>
      <c r="F747" s="6" t="s">
        <v>43</v>
      </c>
      <c r="G747" s="6" t="s">
        <v>84</v>
      </c>
      <c r="H747" s="2">
        <v>2</v>
      </c>
      <c r="I747" s="2">
        <v>41321.519999999997</v>
      </c>
      <c r="J747" s="2">
        <v>0.1</v>
      </c>
      <c r="K747" s="2">
        <v>74378.73</v>
      </c>
      <c r="L747" s="2">
        <v>49480.43</v>
      </c>
      <c r="M747" s="2">
        <v>24898.3</v>
      </c>
      <c r="N747" s="6" t="s">
        <v>21</v>
      </c>
      <c r="O747" s="6" t="s">
        <v>30</v>
      </c>
    </row>
    <row r="748" spans="1:15" x14ac:dyDescent="0.3">
      <c r="A748" s="2" t="s">
        <v>1165</v>
      </c>
      <c r="B748" s="5">
        <v>45725</v>
      </c>
      <c r="C748" s="6" t="s">
        <v>37</v>
      </c>
      <c r="D748" s="6" t="s">
        <v>42</v>
      </c>
      <c r="E748" s="6" t="s">
        <v>74</v>
      </c>
      <c r="F748" s="6" t="s">
        <v>19</v>
      </c>
      <c r="G748" s="6" t="s">
        <v>106</v>
      </c>
      <c r="H748" s="2">
        <v>7</v>
      </c>
      <c r="I748" s="2">
        <v>13590.24</v>
      </c>
      <c r="J748" s="2">
        <v>0.1</v>
      </c>
      <c r="K748" s="2">
        <v>85618.54</v>
      </c>
      <c r="L748" s="2">
        <v>60655.96</v>
      </c>
      <c r="M748" s="2">
        <v>24962.58</v>
      </c>
      <c r="N748" s="6" t="s">
        <v>58</v>
      </c>
      <c r="O748" s="6" t="s">
        <v>22</v>
      </c>
    </row>
    <row r="749" spans="1:15" x14ac:dyDescent="0.3">
      <c r="A749" s="2" t="s">
        <v>1285</v>
      </c>
      <c r="B749" s="5">
        <v>45847</v>
      </c>
      <c r="C749" s="6" t="s">
        <v>54</v>
      </c>
      <c r="D749" s="6" t="s">
        <v>124</v>
      </c>
      <c r="E749" s="6" t="s">
        <v>49</v>
      </c>
      <c r="F749" s="6" t="s">
        <v>34</v>
      </c>
      <c r="G749" s="6" t="s">
        <v>57</v>
      </c>
      <c r="H749" s="2">
        <v>7</v>
      </c>
      <c r="I749" s="2">
        <v>21347.1</v>
      </c>
      <c r="J749" s="2">
        <v>0.08</v>
      </c>
      <c r="K749" s="2">
        <v>137475.34</v>
      </c>
      <c r="L749" s="2">
        <v>112496.7</v>
      </c>
      <c r="M749" s="2">
        <v>24978.639999999999</v>
      </c>
      <c r="N749" s="6" t="s">
        <v>21</v>
      </c>
      <c r="O749" s="6" t="s">
        <v>40</v>
      </c>
    </row>
    <row r="750" spans="1:15" x14ac:dyDescent="0.3">
      <c r="A750" s="2" t="s">
        <v>491</v>
      </c>
      <c r="B750" s="5">
        <v>45675</v>
      </c>
      <c r="C750" s="6" t="s">
        <v>37</v>
      </c>
      <c r="D750" s="6" t="s">
        <v>68</v>
      </c>
      <c r="E750" s="6" t="s">
        <v>33</v>
      </c>
      <c r="F750" s="6" t="s">
        <v>43</v>
      </c>
      <c r="G750" s="6" t="s">
        <v>84</v>
      </c>
      <c r="H750" s="2">
        <v>3</v>
      </c>
      <c r="I750" s="2">
        <v>40951.4</v>
      </c>
      <c r="J750" s="2">
        <v>0.08</v>
      </c>
      <c r="K750" s="2">
        <v>113025.85</v>
      </c>
      <c r="L750" s="2">
        <v>87943.01</v>
      </c>
      <c r="M750" s="2">
        <v>25082.84</v>
      </c>
      <c r="N750" s="6" t="s">
        <v>21</v>
      </c>
      <c r="O750" s="6" t="s">
        <v>22</v>
      </c>
    </row>
    <row r="751" spans="1:15" x14ac:dyDescent="0.3">
      <c r="A751" s="2" t="s">
        <v>299</v>
      </c>
      <c r="B751" s="5">
        <v>45818</v>
      </c>
      <c r="C751" s="6" t="s">
        <v>37</v>
      </c>
      <c r="D751" s="6" t="s">
        <v>38</v>
      </c>
      <c r="E751" s="6" t="s">
        <v>33</v>
      </c>
      <c r="F751" s="6" t="s">
        <v>34</v>
      </c>
      <c r="G751" s="6" t="s">
        <v>70</v>
      </c>
      <c r="H751" s="2">
        <v>3</v>
      </c>
      <c r="I751" s="2">
        <v>63010.47</v>
      </c>
      <c r="J751" s="2">
        <v>0.1</v>
      </c>
      <c r="K751" s="2">
        <v>170128.26</v>
      </c>
      <c r="L751" s="2">
        <v>144977.43</v>
      </c>
      <c r="M751" s="2">
        <v>25150.83</v>
      </c>
      <c r="N751" s="6" t="s">
        <v>21</v>
      </c>
      <c r="O751" s="6" t="s">
        <v>40</v>
      </c>
    </row>
    <row r="752" spans="1:15" x14ac:dyDescent="0.3">
      <c r="A752" s="2" t="s">
        <v>1118</v>
      </c>
      <c r="B752" s="5">
        <v>45723</v>
      </c>
      <c r="C752" s="6" t="s">
        <v>37</v>
      </c>
      <c r="D752" s="6" t="s">
        <v>25</v>
      </c>
      <c r="E752" s="6" t="s">
        <v>33</v>
      </c>
      <c r="F752" s="6" t="s">
        <v>43</v>
      </c>
      <c r="G752" s="6" t="s">
        <v>44</v>
      </c>
      <c r="H752" s="2">
        <v>7</v>
      </c>
      <c r="I752" s="2">
        <v>12391.57</v>
      </c>
      <c r="J752" s="2">
        <v>0.05</v>
      </c>
      <c r="K752" s="2">
        <v>82403.929999999993</v>
      </c>
      <c r="L752" s="2">
        <v>57220.9</v>
      </c>
      <c r="M752" s="2">
        <v>25183.03</v>
      </c>
      <c r="N752" s="6" t="s">
        <v>21</v>
      </c>
      <c r="O752" s="6" t="s">
        <v>30</v>
      </c>
    </row>
    <row r="753" spans="1:15" x14ac:dyDescent="0.3">
      <c r="A753" s="2" t="s">
        <v>887</v>
      </c>
      <c r="B753" s="5">
        <v>45761</v>
      </c>
      <c r="C753" s="6" t="s">
        <v>16</v>
      </c>
      <c r="D753" s="6" t="s">
        <v>17</v>
      </c>
      <c r="E753" s="6" t="s">
        <v>18</v>
      </c>
      <c r="F753" s="6" t="s">
        <v>34</v>
      </c>
      <c r="G753" s="6" t="s">
        <v>35</v>
      </c>
      <c r="H753" s="2">
        <v>5</v>
      </c>
      <c r="I753" s="2">
        <v>18255.77</v>
      </c>
      <c r="J753" s="2">
        <v>0</v>
      </c>
      <c r="K753" s="2">
        <v>91278.87</v>
      </c>
      <c r="L753" s="2">
        <v>66034.41</v>
      </c>
      <c r="M753" s="2">
        <v>25244.46</v>
      </c>
      <c r="N753" s="6" t="s">
        <v>58</v>
      </c>
      <c r="O753" s="6" t="s">
        <v>45</v>
      </c>
    </row>
    <row r="754" spans="1:15" x14ac:dyDescent="0.3">
      <c r="A754" s="2" t="s">
        <v>1194</v>
      </c>
      <c r="B754" s="5">
        <v>45901</v>
      </c>
      <c r="C754" s="6" t="s">
        <v>54</v>
      </c>
      <c r="D754" s="6" t="s">
        <v>174</v>
      </c>
      <c r="E754" s="6" t="s">
        <v>56</v>
      </c>
      <c r="F754" s="6" t="s">
        <v>19</v>
      </c>
      <c r="G754" s="6" t="s">
        <v>108</v>
      </c>
      <c r="H754" s="2">
        <v>5</v>
      </c>
      <c r="I754" s="2">
        <v>16179.44</v>
      </c>
      <c r="J754" s="2">
        <v>0.08</v>
      </c>
      <c r="K754" s="2">
        <v>74425.41</v>
      </c>
      <c r="L754" s="2">
        <v>49073.69</v>
      </c>
      <c r="M754" s="2">
        <v>25351.72</v>
      </c>
      <c r="N754" s="6" t="s">
        <v>29</v>
      </c>
      <c r="O754" s="6" t="s">
        <v>22</v>
      </c>
    </row>
    <row r="755" spans="1:15" x14ac:dyDescent="0.3">
      <c r="A755" s="2" t="s">
        <v>1159</v>
      </c>
      <c r="B755" s="5">
        <v>45839</v>
      </c>
      <c r="C755" s="6" t="s">
        <v>63</v>
      </c>
      <c r="D755" s="6" t="s">
        <v>88</v>
      </c>
      <c r="E755" s="6" t="s">
        <v>65</v>
      </c>
      <c r="F755" s="6" t="s">
        <v>34</v>
      </c>
      <c r="G755" s="6" t="s">
        <v>35</v>
      </c>
      <c r="H755" s="2">
        <v>5</v>
      </c>
      <c r="I755" s="2">
        <v>17393.330000000002</v>
      </c>
      <c r="J755" s="2">
        <v>0.03</v>
      </c>
      <c r="K755" s="2">
        <v>84357.67</v>
      </c>
      <c r="L755" s="2">
        <v>59000.84</v>
      </c>
      <c r="M755" s="2">
        <v>25356.83</v>
      </c>
      <c r="N755" s="6" t="s">
        <v>58</v>
      </c>
      <c r="O755" s="6" t="s">
        <v>59</v>
      </c>
    </row>
    <row r="756" spans="1:15" x14ac:dyDescent="0.3">
      <c r="A756" s="2" t="s">
        <v>509</v>
      </c>
      <c r="B756" s="5">
        <v>45687</v>
      </c>
      <c r="C756" s="6" t="s">
        <v>37</v>
      </c>
      <c r="D756" s="6" t="s">
        <v>68</v>
      </c>
      <c r="E756" s="6" t="s">
        <v>56</v>
      </c>
      <c r="F756" s="6" t="s">
        <v>34</v>
      </c>
      <c r="G756" s="6" t="s">
        <v>57</v>
      </c>
      <c r="H756" s="2">
        <v>5</v>
      </c>
      <c r="I756" s="2">
        <v>21023.82</v>
      </c>
      <c r="J756" s="2">
        <v>0.03</v>
      </c>
      <c r="K756" s="2">
        <v>101965.53</v>
      </c>
      <c r="L756" s="2">
        <v>76591.41</v>
      </c>
      <c r="M756" s="2">
        <v>25374.12</v>
      </c>
      <c r="N756" s="6" t="s">
        <v>58</v>
      </c>
      <c r="O756" s="6" t="s">
        <v>59</v>
      </c>
    </row>
    <row r="757" spans="1:15" x14ac:dyDescent="0.3">
      <c r="A757" s="2" t="s">
        <v>984</v>
      </c>
      <c r="B757" s="5">
        <v>45718</v>
      </c>
      <c r="C757" s="6" t="s">
        <v>37</v>
      </c>
      <c r="D757" s="6" t="s">
        <v>68</v>
      </c>
      <c r="E757" s="6" t="s">
        <v>26</v>
      </c>
      <c r="F757" s="6" t="s">
        <v>27</v>
      </c>
      <c r="G757" s="6" t="s">
        <v>66</v>
      </c>
      <c r="H757" s="2">
        <v>7</v>
      </c>
      <c r="I757" s="2">
        <v>11546.24</v>
      </c>
      <c r="J757" s="2">
        <v>0.1</v>
      </c>
      <c r="K757" s="2">
        <v>72741.320000000007</v>
      </c>
      <c r="L757" s="2">
        <v>47326.69</v>
      </c>
      <c r="M757" s="2">
        <v>25414.63</v>
      </c>
      <c r="N757" s="6" t="s">
        <v>21</v>
      </c>
      <c r="O757" s="6" t="s">
        <v>45</v>
      </c>
    </row>
    <row r="758" spans="1:15" x14ac:dyDescent="0.3">
      <c r="A758" s="2" t="s">
        <v>893</v>
      </c>
      <c r="B758" s="5">
        <v>45786</v>
      </c>
      <c r="C758" s="6" t="s">
        <v>37</v>
      </c>
      <c r="D758" s="6" t="s">
        <v>68</v>
      </c>
      <c r="E758" s="6" t="s">
        <v>49</v>
      </c>
      <c r="F758" s="6" t="s">
        <v>43</v>
      </c>
      <c r="G758" s="6" t="s">
        <v>91</v>
      </c>
      <c r="H758" s="2">
        <v>3</v>
      </c>
      <c r="I758" s="2">
        <v>44583.24</v>
      </c>
      <c r="J758" s="2">
        <v>0.1</v>
      </c>
      <c r="K758" s="2">
        <v>120374.75</v>
      </c>
      <c r="L758" s="2">
        <v>94941.73</v>
      </c>
      <c r="M758" s="2">
        <v>25433.02</v>
      </c>
      <c r="N758" s="6" t="s">
        <v>29</v>
      </c>
      <c r="O758" s="6" t="s">
        <v>45</v>
      </c>
    </row>
    <row r="759" spans="1:15" x14ac:dyDescent="0.3">
      <c r="A759" s="2" t="s">
        <v>446</v>
      </c>
      <c r="B759" s="5">
        <v>45949</v>
      </c>
      <c r="C759" s="6" t="s">
        <v>37</v>
      </c>
      <c r="D759" s="6" t="s">
        <v>42</v>
      </c>
      <c r="E759" s="6" t="s">
        <v>74</v>
      </c>
      <c r="F759" s="6" t="s">
        <v>19</v>
      </c>
      <c r="G759" s="6" t="s">
        <v>108</v>
      </c>
      <c r="H759" s="2">
        <v>8</v>
      </c>
      <c r="I759" s="2">
        <v>15620.92</v>
      </c>
      <c r="J759" s="2">
        <v>0.08</v>
      </c>
      <c r="K759" s="2">
        <v>114969.95</v>
      </c>
      <c r="L759" s="2">
        <v>89330.71</v>
      </c>
      <c r="M759" s="2">
        <v>25639.24</v>
      </c>
      <c r="N759" s="6" t="s">
        <v>58</v>
      </c>
      <c r="O759" s="6" t="s">
        <v>45</v>
      </c>
    </row>
    <row r="760" spans="1:15" x14ac:dyDescent="0.3">
      <c r="A760" s="2" t="s">
        <v>950</v>
      </c>
      <c r="B760" s="5">
        <v>45954</v>
      </c>
      <c r="C760" s="6" t="s">
        <v>37</v>
      </c>
      <c r="D760" s="6" t="s">
        <v>68</v>
      </c>
      <c r="E760" s="6" t="s">
        <v>74</v>
      </c>
      <c r="F760" s="6" t="s">
        <v>34</v>
      </c>
      <c r="G760" s="6" t="s">
        <v>39</v>
      </c>
      <c r="H760" s="2">
        <v>3</v>
      </c>
      <c r="I760" s="2">
        <v>31991.32</v>
      </c>
      <c r="J760" s="2">
        <v>0.05</v>
      </c>
      <c r="K760" s="2">
        <v>91175.25</v>
      </c>
      <c r="L760" s="2">
        <v>65518</v>
      </c>
      <c r="M760" s="2">
        <v>25657.25</v>
      </c>
      <c r="N760" s="6" t="s">
        <v>58</v>
      </c>
      <c r="O760" s="6" t="s">
        <v>45</v>
      </c>
    </row>
    <row r="761" spans="1:15" x14ac:dyDescent="0.3">
      <c r="A761" s="2" t="s">
        <v>702</v>
      </c>
      <c r="B761" s="5">
        <v>45681</v>
      </c>
      <c r="C761" s="6" t="s">
        <v>37</v>
      </c>
      <c r="D761" s="6" t="s">
        <v>25</v>
      </c>
      <c r="E761" s="6" t="s">
        <v>56</v>
      </c>
      <c r="F761" s="6" t="s">
        <v>34</v>
      </c>
      <c r="G761" s="6" t="s">
        <v>57</v>
      </c>
      <c r="H761" s="2">
        <v>8</v>
      </c>
      <c r="I761" s="2">
        <v>21068.55</v>
      </c>
      <c r="J761" s="2">
        <v>0.05</v>
      </c>
      <c r="K761" s="2">
        <v>160120.97</v>
      </c>
      <c r="L761" s="2">
        <v>134431.22</v>
      </c>
      <c r="M761" s="2">
        <v>25689.75</v>
      </c>
      <c r="N761" s="6" t="s">
        <v>21</v>
      </c>
      <c r="O761" s="6" t="s">
        <v>22</v>
      </c>
    </row>
    <row r="762" spans="1:15" x14ac:dyDescent="0.3">
      <c r="A762" s="2" t="s">
        <v>1166</v>
      </c>
      <c r="B762" s="5">
        <v>45902</v>
      </c>
      <c r="C762" s="6" t="s">
        <v>63</v>
      </c>
      <c r="D762" s="6" t="s">
        <v>95</v>
      </c>
      <c r="E762" s="6" t="s">
        <v>26</v>
      </c>
      <c r="F762" s="6" t="s">
        <v>43</v>
      </c>
      <c r="G762" s="6" t="s">
        <v>75</v>
      </c>
      <c r="H762" s="2">
        <v>3</v>
      </c>
      <c r="I762" s="2">
        <v>36717.68</v>
      </c>
      <c r="J762" s="2">
        <v>0.05</v>
      </c>
      <c r="K762" s="2">
        <v>104645.39</v>
      </c>
      <c r="L762" s="2">
        <v>78949.740000000005</v>
      </c>
      <c r="M762" s="2">
        <v>25695.65</v>
      </c>
      <c r="N762" s="6" t="s">
        <v>21</v>
      </c>
      <c r="O762" s="6" t="s">
        <v>59</v>
      </c>
    </row>
    <row r="763" spans="1:15" x14ac:dyDescent="0.3">
      <c r="A763" s="2" t="s">
        <v>1251</v>
      </c>
      <c r="B763" s="5">
        <v>45730</v>
      </c>
      <c r="C763" s="6" t="s">
        <v>16</v>
      </c>
      <c r="D763" s="6" t="s">
        <v>52</v>
      </c>
      <c r="E763" s="6" t="s">
        <v>26</v>
      </c>
      <c r="F763" s="6" t="s">
        <v>43</v>
      </c>
      <c r="G763" s="6" t="s">
        <v>84</v>
      </c>
      <c r="H763" s="2">
        <v>3</v>
      </c>
      <c r="I763" s="2">
        <v>41064.22</v>
      </c>
      <c r="J763" s="2">
        <v>0.08</v>
      </c>
      <c r="K763" s="2">
        <v>113337.26</v>
      </c>
      <c r="L763" s="2">
        <v>87476.23</v>
      </c>
      <c r="M763" s="2">
        <v>25861.03</v>
      </c>
      <c r="N763" s="6" t="s">
        <v>21</v>
      </c>
      <c r="O763" s="6" t="s">
        <v>45</v>
      </c>
    </row>
    <row r="764" spans="1:15" x14ac:dyDescent="0.3">
      <c r="A764" s="2" t="s">
        <v>232</v>
      </c>
      <c r="B764" s="5">
        <v>45873</v>
      </c>
      <c r="C764" s="6" t="s">
        <v>16</v>
      </c>
      <c r="D764" s="6" t="s">
        <v>17</v>
      </c>
      <c r="E764" s="6" t="s">
        <v>69</v>
      </c>
      <c r="F764" s="6" t="s">
        <v>34</v>
      </c>
      <c r="G764" s="6" t="s">
        <v>70</v>
      </c>
      <c r="H764" s="2">
        <v>3</v>
      </c>
      <c r="I764" s="2">
        <v>60232.36</v>
      </c>
      <c r="J764" s="2">
        <v>0</v>
      </c>
      <c r="K764" s="2">
        <v>180697.07</v>
      </c>
      <c r="L764" s="2">
        <v>154819.66</v>
      </c>
      <c r="M764" s="2">
        <v>25877.41</v>
      </c>
      <c r="N764" s="6" t="s">
        <v>29</v>
      </c>
      <c r="O764" s="6" t="s">
        <v>59</v>
      </c>
    </row>
    <row r="765" spans="1:15" x14ac:dyDescent="0.3">
      <c r="A765" s="2" t="s">
        <v>1161</v>
      </c>
      <c r="B765" s="5">
        <v>45774</v>
      </c>
      <c r="C765" s="6" t="s">
        <v>54</v>
      </c>
      <c r="D765" s="6" t="s">
        <v>174</v>
      </c>
      <c r="E765" s="6" t="s">
        <v>65</v>
      </c>
      <c r="F765" s="6" t="s">
        <v>19</v>
      </c>
      <c r="G765" s="6" t="s">
        <v>106</v>
      </c>
      <c r="H765" s="2">
        <v>6</v>
      </c>
      <c r="I765" s="2">
        <v>14800.77</v>
      </c>
      <c r="J765" s="2">
        <v>0</v>
      </c>
      <c r="K765" s="2">
        <v>88804.6</v>
      </c>
      <c r="L765" s="2">
        <v>62783.39</v>
      </c>
      <c r="M765" s="2">
        <v>26021.21</v>
      </c>
      <c r="N765" s="6" t="s">
        <v>58</v>
      </c>
      <c r="O765" s="6" t="s">
        <v>59</v>
      </c>
    </row>
    <row r="766" spans="1:15" x14ac:dyDescent="0.3">
      <c r="A766" s="2" t="s">
        <v>200</v>
      </c>
      <c r="B766" s="5">
        <v>45697</v>
      </c>
      <c r="C766" s="6" t="s">
        <v>63</v>
      </c>
      <c r="D766" s="6" t="s">
        <v>117</v>
      </c>
      <c r="E766" s="6" t="s">
        <v>33</v>
      </c>
      <c r="F766" s="6" t="s">
        <v>34</v>
      </c>
      <c r="G766" s="6" t="s">
        <v>35</v>
      </c>
      <c r="H766" s="2">
        <v>8</v>
      </c>
      <c r="I766" s="2">
        <v>18527.79</v>
      </c>
      <c r="J766" s="2">
        <v>0</v>
      </c>
      <c r="K766" s="2">
        <v>148222.28</v>
      </c>
      <c r="L766" s="2">
        <v>122178.09</v>
      </c>
      <c r="M766" s="2">
        <v>26044.19</v>
      </c>
      <c r="N766" s="6" t="s">
        <v>58</v>
      </c>
      <c r="O766" s="6" t="s">
        <v>45</v>
      </c>
    </row>
    <row r="767" spans="1:15" x14ac:dyDescent="0.3">
      <c r="A767" s="2" t="s">
        <v>650</v>
      </c>
      <c r="B767" s="5">
        <v>45816</v>
      </c>
      <c r="C767" s="6" t="s">
        <v>37</v>
      </c>
      <c r="D767" s="6" t="s">
        <v>38</v>
      </c>
      <c r="E767" s="6" t="s">
        <v>18</v>
      </c>
      <c r="F767" s="6" t="s">
        <v>34</v>
      </c>
      <c r="G767" s="6" t="s">
        <v>57</v>
      </c>
      <c r="H767" s="2">
        <v>8</v>
      </c>
      <c r="I767" s="2">
        <v>21443.37</v>
      </c>
      <c r="J767" s="2">
        <v>0.15</v>
      </c>
      <c r="K767" s="2">
        <v>145814.9</v>
      </c>
      <c r="L767" s="2">
        <v>119752.84</v>
      </c>
      <c r="M767" s="2">
        <v>26062.06</v>
      </c>
      <c r="N767" s="6" t="s">
        <v>21</v>
      </c>
      <c r="O767" s="6" t="s">
        <v>30</v>
      </c>
    </row>
    <row r="768" spans="1:15" x14ac:dyDescent="0.3">
      <c r="A768" s="2" t="s">
        <v>1062</v>
      </c>
      <c r="B768" s="5">
        <v>45905</v>
      </c>
      <c r="C768" s="6" t="s">
        <v>63</v>
      </c>
      <c r="D768" s="6" t="s">
        <v>64</v>
      </c>
      <c r="E768" s="6" t="s">
        <v>69</v>
      </c>
      <c r="F768" s="6" t="s">
        <v>27</v>
      </c>
      <c r="G768" s="6" t="s">
        <v>50</v>
      </c>
      <c r="H768" s="2">
        <v>4</v>
      </c>
      <c r="I768" s="2">
        <v>28086.07</v>
      </c>
      <c r="J768" s="2">
        <v>0.1</v>
      </c>
      <c r="K768" s="2">
        <v>101109.86</v>
      </c>
      <c r="L768" s="2">
        <v>75006.61</v>
      </c>
      <c r="M768" s="2">
        <v>26103.25</v>
      </c>
      <c r="N768" s="6" t="s">
        <v>21</v>
      </c>
      <c r="O768" s="6" t="s">
        <v>45</v>
      </c>
    </row>
    <row r="769" spans="1:15" x14ac:dyDescent="0.3">
      <c r="A769" s="2" t="s">
        <v>788</v>
      </c>
      <c r="B769" s="5">
        <v>45975</v>
      </c>
      <c r="C769" s="6" t="s">
        <v>16</v>
      </c>
      <c r="D769" s="6" t="s">
        <v>32</v>
      </c>
      <c r="E769" s="6" t="s">
        <v>74</v>
      </c>
      <c r="F769" s="6" t="s">
        <v>43</v>
      </c>
      <c r="G769" s="6" t="s">
        <v>44</v>
      </c>
      <c r="H769" s="2">
        <v>6</v>
      </c>
      <c r="I769" s="2">
        <v>12199.53</v>
      </c>
      <c r="J769" s="2">
        <v>0</v>
      </c>
      <c r="K769" s="2">
        <v>73197.16</v>
      </c>
      <c r="L769" s="2">
        <v>47045.53</v>
      </c>
      <c r="M769" s="2">
        <v>26151.63</v>
      </c>
      <c r="N769" s="6" t="s">
        <v>29</v>
      </c>
      <c r="O769" s="6" t="s">
        <v>30</v>
      </c>
    </row>
    <row r="770" spans="1:15" x14ac:dyDescent="0.3">
      <c r="A770" s="2" t="s">
        <v>567</v>
      </c>
      <c r="B770" s="5">
        <v>45966</v>
      </c>
      <c r="C770" s="6" t="s">
        <v>16</v>
      </c>
      <c r="D770" s="6" t="s">
        <v>32</v>
      </c>
      <c r="E770" s="6" t="s">
        <v>49</v>
      </c>
      <c r="F770" s="6" t="s">
        <v>34</v>
      </c>
      <c r="G770" s="6" t="s">
        <v>39</v>
      </c>
      <c r="H770" s="2">
        <v>7</v>
      </c>
      <c r="I770" s="2">
        <v>29279.7</v>
      </c>
      <c r="J770" s="2">
        <v>0.1</v>
      </c>
      <c r="K770" s="2">
        <v>184462.12</v>
      </c>
      <c r="L770" s="2">
        <v>158306.04</v>
      </c>
      <c r="M770" s="2">
        <v>26156.080000000002</v>
      </c>
      <c r="N770" s="6" t="s">
        <v>29</v>
      </c>
      <c r="O770" s="6" t="s">
        <v>45</v>
      </c>
    </row>
    <row r="771" spans="1:15" x14ac:dyDescent="0.3">
      <c r="A771" s="2" t="s">
        <v>817</v>
      </c>
      <c r="B771" s="5">
        <v>45943</v>
      </c>
      <c r="C771" s="6" t="s">
        <v>54</v>
      </c>
      <c r="D771" s="6" t="s">
        <v>48</v>
      </c>
      <c r="E771" s="6" t="s">
        <v>65</v>
      </c>
      <c r="F771" s="6" t="s">
        <v>34</v>
      </c>
      <c r="G771" s="6" t="s">
        <v>39</v>
      </c>
      <c r="H771" s="2">
        <v>6</v>
      </c>
      <c r="I771" s="2">
        <v>29219.32</v>
      </c>
      <c r="J771" s="2">
        <v>0</v>
      </c>
      <c r="K771" s="2">
        <v>175315.94</v>
      </c>
      <c r="L771" s="2">
        <v>149153.63</v>
      </c>
      <c r="M771" s="2">
        <v>26162.31</v>
      </c>
      <c r="N771" s="6" t="s">
        <v>29</v>
      </c>
      <c r="O771" s="6" t="s">
        <v>40</v>
      </c>
    </row>
    <row r="772" spans="1:15" x14ac:dyDescent="0.3">
      <c r="A772" s="2" t="s">
        <v>1088</v>
      </c>
      <c r="B772" s="5">
        <v>46014</v>
      </c>
      <c r="C772" s="6" t="s">
        <v>54</v>
      </c>
      <c r="D772" s="6" t="s">
        <v>55</v>
      </c>
      <c r="E772" s="6" t="s">
        <v>49</v>
      </c>
      <c r="F772" s="6" t="s">
        <v>19</v>
      </c>
      <c r="G772" s="6" t="s">
        <v>108</v>
      </c>
      <c r="H772" s="2">
        <v>7</v>
      </c>
      <c r="I772" s="2">
        <v>16192.01</v>
      </c>
      <c r="J772" s="2">
        <v>0.1</v>
      </c>
      <c r="K772" s="2">
        <v>102009.69</v>
      </c>
      <c r="L772" s="2">
        <v>75814.759999999995</v>
      </c>
      <c r="M772" s="2">
        <v>26194.93</v>
      </c>
      <c r="N772" s="6" t="s">
        <v>58</v>
      </c>
      <c r="O772" s="6" t="s">
        <v>30</v>
      </c>
    </row>
    <row r="773" spans="1:15" x14ac:dyDescent="0.3">
      <c r="A773" s="2" t="s">
        <v>1320</v>
      </c>
      <c r="B773" s="5">
        <v>45809</v>
      </c>
      <c r="C773" s="6" t="s">
        <v>16</v>
      </c>
      <c r="D773" s="6" t="s">
        <v>52</v>
      </c>
      <c r="E773" s="6" t="s">
        <v>65</v>
      </c>
      <c r="F773" s="6" t="s">
        <v>34</v>
      </c>
      <c r="G773" s="6" t="s">
        <v>57</v>
      </c>
      <c r="H773" s="2">
        <v>5</v>
      </c>
      <c r="I773" s="2">
        <v>21028.12</v>
      </c>
      <c r="J773" s="2">
        <v>0.05</v>
      </c>
      <c r="K773" s="2">
        <v>99883.56</v>
      </c>
      <c r="L773" s="2">
        <v>73535.39</v>
      </c>
      <c r="M773" s="2">
        <v>26348.17</v>
      </c>
      <c r="N773" s="6" t="s">
        <v>58</v>
      </c>
      <c r="O773" s="6" t="s">
        <v>30</v>
      </c>
    </row>
    <row r="774" spans="1:15" x14ac:dyDescent="0.3">
      <c r="A774" s="2" t="s">
        <v>181</v>
      </c>
      <c r="B774" s="5">
        <v>45939</v>
      </c>
      <c r="C774" s="6" t="s">
        <v>16</v>
      </c>
      <c r="D774" s="6" t="s">
        <v>52</v>
      </c>
      <c r="E774" s="6" t="s">
        <v>74</v>
      </c>
      <c r="F774" s="6" t="s">
        <v>34</v>
      </c>
      <c r="G774" s="6" t="s">
        <v>35</v>
      </c>
      <c r="H774" s="2">
        <v>6</v>
      </c>
      <c r="I774" s="2">
        <v>18685.54</v>
      </c>
      <c r="J774" s="2">
        <v>0</v>
      </c>
      <c r="K774" s="2">
        <v>112113.22</v>
      </c>
      <c r="L774" s="2">
        <v>85739.31</v>
      </c>
      <c r="M774" s="2">
        <v>26373.91</v>
      </c>
      <c r="N774" s="6" t="s">
        <v>21</v>
      </c>
      <c r="O774" s="6" t="s">
        <v>22</v>
      </c>
    </row>
    <row r="775" spans="1:15" x14ac:dyDescent="0.3">
      <c r="A775" s="2" t="s">
        <v>954</v>
      </c>
      <c r="B775" s="5">
        <v>45688</v>
      </c>
      <c r="C775" s="6" t="s">
        <v>37</v>
      </c>
      <c r="D775" s="6" t="s">
        <v>25</v>
      </c>
      <c r="E775" s="6" t="s">
        <v>49</v>
      </c>
      <c r="F775" s="6" t="s">
        <v>27</v>
      </c>
      <c r="G775" s="6" t="s">
        <v>50</v>
      </c>
      <c r="H775" s="2">
        <v>3</v>
      </c>
      <c r="I775" s="2">
        <v>30106.21</v>
      </c>
      <c r="J775" s="2">
        <v>0.05</v>
      </c>
      <c r="K775" s="2">
        <v>85802.69</v>
      </c>
      <c r="L775" s="2">
        <v>59385.53</v>
      </c>
      <c r="M775" s="2">
        <v>26417.16</v>
      </c>
      <c r="N775" s="6" t="s">
        <v>21</v>
      </c>
      <c r="O775" s="6" t="s">
        <v>40</v>
      </c>
    </row>
    <row r="776" spans="1:15" x14ac:dyDescent="0.3">
      <c r="A776" s="2" t="s">
        <v>404</v>
      </c>
      <c r="B776" s="5">
        <v>45850</v>
      </c>
      <c r="C776" s="6" t="s">
        <v>16</v>
      </c>
      <c r="D776" s="6" t="s">
        <v>82</v>
      </c>
      <c r="E776" s="6" t="s">
        <v>26</v>
      </c>
      <c r="F776" s="6" t="s">
        <v>19</v>
      </c>
      <c r="G776" s="6" t="s">
        <v>106</v>
      </c>
      <c r="H776" s="2">
        <v>6</v>
      </c>
      <c r="I776" s="2">
        <v>14104</v>
      </c>
      <c r="J776" s="2">
        <v>0.15</v>
      </c>
      <c r="K776" s="2">
        <v>71930.42</v>
      </c>
      <c r="L776" s="2">
        <v>45488.83</v>
      </c>
      <c r="M776" s="2">
        <v>26441.59</v>
      </c>
      <c r="N776" s="6" t="s">
        <v>21</v>
      </c>
      <c r="O776" s="6" t="s">
        <v>45</v>
      </c>
    </row>
    <row r="777" spans="1:15" x14ac:dyDescent="0.3">
      <c r="A777" s="2" t="s">
        <v>315</v>
      </c>
      <c r="B777" s="5">
        <v>45678</v>
      </c>
      <c r="C777" s="6" t="s">
        <v>63</v>
      </c>
      <c r="D777" s="6" t="s">
        <v>95</v>
      </c>
      <c r="E777" s="6" t="s">
        <v>26</v>
      </c>
      <c r="F777" s="6" t="s">
        <v>34</v>
      </c>
      <c r="G777" s="6" t="s">
        <v>57</v>
      </c>
      <c r="H777" s="2">
        <v>4</v>
      </c>
      <c r="I777" s="2">
        <v>23289.68</v>
      </c>
      <c r="J777" s="2">
        <v>0.03</v>
      </c>
      <c r="K777" s="2">
        <v>90363.96</v>
      </c>
      <c r="L777" s="2">
        <v>63841.3</v>
      </c>
      <c r="M777" s="2">
        <v>26522.66</v>
      </c>
      <c r="N777" s="6" t="s">
        <v>21</v>
      </c>
      <c r="O777" s="6" t="s">
        <v>45</v>
      </c>
    </row>
    <row r="778" spans="1:15" x14ac:dyDescent="0.3">
      <c r="A778" s="2" t="s">
        <v>519</v>
      </c>
      <c r="B778" s="5">
        <v>45752</v>
      </c>
      <c r="C778" s="6" t="s">
        <v>63</v>
      </c>
      <c r="D778" s="6" t="s">
        <v>64</v>
      </c>
      <c r="E778" s="6" t="s">
        <v>65</v>
      </c>
      <c r="F778" s="6" t="s">
        <v>34</v>
      </c>
      <c r="G778" s="6" t="s">
        <v>35</v>
      </c>
      <c r="H778" s="2">
        <v>5</v>
      </c>
      <c r="I778" s="2">
        <v>19410.5</v>
      </c>
      <c r="J778" s="2">
        <v>0</v>
      </c>
      <c r="K778" s="2">
        <v>97052.49</v>
      </c>
      <c r="L778" s="2">
        <v>70526.759999999995</v>
      </c>
      <c r="M778" s="2">
        <v>26525.73</v>
      </c>
      <c r="N778" s="6" t="s">
        <v>58</v>
      </c>
      <c r="O778" s="6" t="s">
        <v>22</v>
      </c>
    </row>
    <row r="779" spans="1:15" x14ac:dyDescent="0.3">
      <c r="A779" s="2" t="s">
        <v>1147</v>
      </c>
      <c r="B779" s="5">
        <v>45897</v>
      </c>
      <c r="C779" s="6" t="s">
        <v>63</v>
      </c>
      <c r="D779" s="6" t="s">
        <v>88</v>
      </c>
      <c r="E779" s="6" t="s">
        <v>18</v>
      </c>
      <c r="F779" s="6" t="s">
        <v>43</v>
      </c>
      <c r="G779" s="6" t="s">
        <v>91</v>
      </c>
      <c r="H779" s="2">
        <v>3</v>
      </c>
      <c r="I779" s="2">
        <v>47813.41</v>
      </c>
      <c r="J779" s="2">
        <v>0.05</v>
      </c>
      <c r="K779" s="2">
        <v>136268.21</v>
      </c>
      <c r="L779" s="2">
        <v>109705.81</v>
      </c>
      <c r="M779" s="2">
        <v>26562.400000000001</v>
      </c>
      <c r="N779" s="6" t="s">
        <v>21</v>
      </c>
      <c r="O779" s="6" t="s">
        <v>40</v>
      </c>
    </row>
    <row r="780" spans="1:15" x14ac:dyDescent="0.3">
      <c r="A780" s="2" t="s">
        <v>1093</v>
      </c>
      <c r="B780" s="5">
        <v>45965</v>
      </c>
      <c r="C780" s="6" t="s">
        <v>63</v>
      </c>
      <c r="D780" s="6" t="s">
        <v>117</v>
      </c>
      <c r="E780" s="6" t="s">
        <v>49</v>
      </c>
      <c r="F780" s="6" t="s">
        <v>43</v>
      </c>
      <c r="G780" s="6" t="s">
        <v>44</v>
      </c>
      <c r="H780" s="2">
        <v>8</v>
      </c>
      <c r="I780" s="2">
        <v>12548.65</v>
      </c>
      <c r="J780" s="2">
        <v>0.1</v>
      </c>
      <c r="K780" s="2">
        <v>90350.25</v>
      </c>
      <c r="L780" s="2">
        <v>63733.34</v>
      </c>
      <c r="M780" s="2">
        <v>26616.91</v>
      </c>
      <c r="N780" s="6" t="s">
        <v>21</v>
      </c>
      <c r="O780" s="6" t="s">
        <v>59</v>
      </c>
    </row>
    <row r="781" spans="1:15" x14ac:dyDescent="0.3">
      <c r="A781" s="2" t="s">
        <v>504</v>
      </c>
      <c r="B781" s="5">
        <v>45943</v>
      </c>
      <c r="C781" s="6" t="s">
        <v>37</v>
      </c>
      <c r="D781" s="6" t="s">
        <v>38</v>
      </c>
      <c r="E781" s="6" t="s">
        <v>65</v>
      </c>
      <c r="F781" s="6" t="s">
        <v>27</v>
      </c>
      <c r="G781" s="6" t="s">
        <v>50</v>
      </c>
      <c r="H781" s="2">
        <v>3</v>
      </c>
      <c r="I781" s="2">
        <v>29422.16</v>
      </c>
      <c r="J781" s="2">
        <v>0.03</v>
      </c>
      <c r="K781" s="2">
        <v>85618.49</v>
      </c>
      <c r="L781" s="2">
        <v>58954.14</v>
      </c>
      <c r="M781" s="2">
        <v>26664.35</v>
      </c>
      <c r="N781" s="6" t="s">
        <v>58</v>
      </c>
      <c r="O781" s="6" t="s">
        <v>59</v>
      </c>
    </row>
    <row r="782" spans="1:15" x14ac:dyDescent="0.3">
      <c r="A782" s="2" t="s">
        <v>1044</v>
      </c>
      <c r="B782" s="5">
        <v>45840</v>
      </c>
      <c r="C782" s="6" t="s">
        <v>63</v>
      </c>
      <c r="D782" s="6" t="s">
        <v>64</v>
      </c>
      <c r="E782" s="6" t="s">
        <v>33</v>
      </c>
      <c r="F782" s="6" t="s">
        <v>19</v>
      </c>
      <c r="G782" s="6" t="s">
        <v>108</v>
      </c>
      <c r="H782" s="2">
        <v>8</v>
      </c>
      <c r="I782" s="2">
        <v>13907.71</v>
      </c>
      <c r="J782" s="2">
        <v>0.1</v>
      </c>
      <c r="K782" s="2">
        <v>100135.54</v>
      </c>
      <c r="L782" s="2">
        <v>73386.44</v>
      </c>
      <c r="M782" s="2">
        <v>26749.1</v>
      </c>
      <c r="N782" s="6" t="s">
        <v>21</v>
      </c>
      <c r="O782" s="6" t="s">
        <v>40</v>
      </c>
    </row>
    <row r="783" spans="1:15" x14ac:dyDescent="0.3">
      <c r="A783" s="2" t="s">
        <v>762</v>
      </c>
      <c r="B783" s="5">
        <v>45863</v>
      </c>
      <c r="C783" s="6" t="s">
        <v>37</v>
      </c>
      <c r="D783" s="6" t="s">
        <v>68</v>
      </c>
      <c r="E783" s="6" t="s">
        <v>33</v>
      </c>
      <c r="F783" s="6" t="s">
        <v>43</v>
      </c>
      <c r="G783" s="6" t="s">
        <v>75</v>
      </c>
      <c r="H783" s="2">
        <v>3</v>
      </c>
      <c r="I783" s="2">
        <v>37539.53</v>
      </c>
      <c r="J783" s="2">
        <v>0.1</v>
      </c>
      <c r="K783" s="2">
        <v>101356.73</v>
      </c>
      <c r="L783" s="2">
        <v>74607.25</v>
      </c>
      <c r="M783" s="2">
        <v>26749.48</v>
      </c>
      <c r="N783" s="6" t="s">
        <v>21</v>
      </c>
      <c r="O783" s="6" t="s">
        <v>59</v>
      </c>
    </row>
    <row r="784" spans="1:15" x14ac:dyDescent="0.3">
      <c r="A784" s="2" t="s">
        <v>211</v>
      </c>
      <c r="B784" s="5">
        <v>45931</v>
      </c>
      <c r="C784" s="6" t="s">
        <v>16</v>
      </c>
      <c r="D784" s="6" t="s">
        <v>32</v>
      </c>
      <c r="E784" s="6" t="s">
        <v>56</v>
      </c>
      <c r="F784" s="6" t="s">
        <v>34</v>
      </c>
      <c r="G784" s="6" t="s">
        <v>39</v>
      </c>
      <c r="H784" s="2">
        <v>5</v>
      </c>
      <c r="I784" s="2">
        <v>28561.72</v>
      </c>
      <c r="J784" s="2">
        <v>0.1</v>
      </c>
      <c r="K784" s="2">
        <v>128527.76</v>
      </c>
      <c r="L784" s="2">
        <v>101740.23</v>
      </c>
      <c r="M784" s="2">
        <v>26787.53</v>
      </c>
      <c r="N784" s="6" t="s">
        <v>58</v>
      </c>
      <c r="O784" s="6" t="s">
        <v>22</v>
      </c>
    </row>
    <row r="785" spans="1:15" x14ac:dyDescent="0.3">
      <c r="A785" s="2" t="s">
        <v>305</v>
      </c>
      <c r="B785" s="5">
        <v>45954</v>
      </c>
      <c r="C785" s="6" t="s">
        <v>16</v>
      </c>
      <c r="D785" s="6" t="s">
        <v>32</v>
      </c>
      <c r="E785" s="6" t="s">
        <v>69</v>
      </c>
      <c r="F785" s="6" t="s">
        <v>43</v>
      </c>
      <c r="G785" s="6" t="s">
        <v>44</v>
      </c>
      <c r="H785" s="2">
        <v>8</v>
      </c>
      <c r="I785" s="2">
        <v>11398.51</v>
      </c>
      <c r="J785" s="2">
        <v>0</v>
      </c>
      <c r="K785" s="2">
        <v>91188.07</v>
      </c>
      <c r="L785" s="2">
        <v>64342.400000000001</v>
      </c>
      <c r="M785" s="2">
        <v>26845.67</v>
      </c>
      <c r="N785" s="6" t="s">
        <v>29</v>
      </c>
      <c r="O785" s="6" t="s">
        <v>45</v>
      </c>
    </row>
    <row r="786" spans="1:15" x14ac:dyDescent="0.3">
      <c r="A786" s="2" t="s">
        <v>93</v>
      </c>
      <c r="B786" s="5">
        <v>45703</v>
      </c>
      <c r="C786" s="6" t="s">
        <v>37</v>
      </c>
      <c r="D786" s="6" t="s">
        <v>68</v>
      </c>
      <c r="E786" s="6" t="s">
        <v>26</v>
      </c>
      <c r="F786" s="6" t="s">
        <v>34</v>
      </c>
      <c r="G786" s="6" t="s">
        <v>57</v>
      </c>
      <c r="H786" s="2">
        <v>8</v>
      </c>
      <c r="I786" s="2">
        <v>22512.06</v>
      </c>
      <c r="J786" s="2">
        <v>0.03</v>
      </c>
      <c r="K786" s="2">
        <v>174693.6</v>
      </c>
      <c r="L786" s="2">
        <v>147740.13</v>
      </c>
      <c r="M786" s="2">
        <v>26953.47</v>
      </c>
      <c r="N786" s="6" t="s">
        <v>58</v>
      </c>
      <c r="O786" s="6" t="s">
        <v>22</v>
      </c>
    </row>
    <row r="787" spans="1:15" x14ac:dyDescent="0.3">
      <c r="A787" s="2" t="s">
        <v>371</v>
      </c>
      <c r="B787" s="5">
        <v>45813</v>
      </c>
      <c r="C787" s="6" t="s">
        <v>63</v>
      </c>
      <c r="D787" s="6" t="s">
        <v>88</v>
      </c>
      <c r="E787" s="6" t="s">
        <v>65</v>
      </c>
      <c r="F787" s="6" t="s">
        <v>43</v>
      </c>
      <c r="G787" s="6" t="s">
        <v>91</v>
      </c>
      <c r="H787" s="2">
        <v>2</v>
      </c>
      <c r="I787" s="2">
        <v>48146.17</v>
      </c>
      <c r="J787" s="2">
        <v>0.08</v>
      </c>
      <c r="K787" s="2">
        <v>88588.95</v>
      </c>
      <c r="L787" s="2">
        <v>61555.8</v>
      </c>
      <c r="M787" s="2">
        <v>27033.15</v>
      </c>
      <c r="N787" s="6" t="s">
        <v>21</v>
      </c>
      <c r="O787" s="6" t="s">
        <v>30</v>
      </c>
    </row>
    <row r="788" spans="1:15" x14ac:dyDescent="0.3">
      <c r="A788" s="2" t="s">
        <v>846</v>
      </c>
      <c r="B788" s="5">
        <v>45740</v>
      </c>
      <c r="C788" s="6" t="s">
        <v>16</v>
      </c>
      <c r="D788" s="6" t="s">
        <v>52</v>
      </c>
      <c r="E788" s="6" t="s">
        <v>56</v>
      </c>
      <c r="F788" s="6" t="s">
        <v>27</v>
      </c>
      <c r="G788" s="6" t="s">
        <v>89</v>
      </c>
      <c r="H788" s="2">
        <v>3</v>
      </c>
      <c r="I788" s="2">
        <v>32826.11</v>
      </c>
      <c r="J788" s="2">
        <v>0.05</v>
      </c>
      <c r="K788" s="2">
        <v>93554.42</v>
      </c>
      <c r="L788" s="2">
        <v>66282.25</v>
      </c>
      <c r="M788" s="2">
        <v>27272.17</v>
      </c>
      <c r="N788" s="6" t="s">
        <v>21</v>
      </c>
      <c r="O788" s="6" t="s">
        <v>45</v>
      </c>
    </row>
    <row r="789" spans="1:15" x14ac:dyDescent="0.3">
      <c r="A789" s="2" t="s">
        <v>560</v>
      </c>
      <c r="B789" s="5">
        <v>45692</v>
      </c>
      <c r="C789" s="6" t="s">
        <v>16</v>
      </c>
      <c r="D789" s="6" t="s">
        <v>52</v>
      </c>
      <c r="E789" s="6" t="s">
        <v>18</v>
      </c>
      <c r="F789" s="6" t="s">
        <v>19</v>
      </c>
      <c r="G789" s="6" t="s">
        <v>106</v>
      </c>
      <c r="H789" s="2">
        <v>7</v>
      </c>
      <c r="I789" s="2">
        <v>13200.23</v>
      </c>
      <c r="J789" s="2">
        <v>0.08</v>
      </c>
      <c r="K789" s="2">
        <v>85009.5</v>
      </c>
      <c r="L789" s="2">
        <v>57687.34</v>
      </c>
      <c r="M789" s="2">
        <v>27322.16</v>
      </c>
      <c r="N789" s="6" t="s">
        <v>21</v>
      </c>
      <c r="O789" s="6" t="s">
        <v>45</v>
      </c>
    </row>
    <row r="790" spans="1:15" x14ac:dyDescent="0.3">
      <c r="A790" s="2" t="s">
        <v>398</v>
      </c>
      <c r="B790" s="5">
        <v>45870</v>
      </c>
      <c r="C790" s="6" t="s">
        <v>63</v>
      </c>
      <c r="D790" s="6" t="s">
        <v>64</v>
      </c>
      <c r="E790" s="6" t="s">
        <v>69</v>
      </c>
      <c r="F790" s="6" t="s">
        <v>34</v>
      </c>
      <c r="G790" s="6" t="s">
        <v>57</v>
      </c>
      <c r="H790" s="2">
        <v>7</v>
      </c>
      <c r="I790" s="2">
        <v>23079.56</v>
      </c>
      <c r="J790" s="2">
        <v>0.15</v>
      </c>
      <c r="K790" s="2">
        <v>137323.39000000001</v>
      </c>
      <c r="L790" s="2">
        <v>109998.72</v>
      </c>
      <c r="M790" s="2">
        <v>27324.67</v>
      </c>
      <c r="N790" s="6" t="s">
        <v>29</v>
      </c>
      <c r="O790" s="6" t="s">
        <v>30</v>
      </c>
    </row>
    <row r="791" spans="1:15" x14ac:dyDescent="0.3">
      <c r="A791" s="2" t="s">
        <v>896</v>
      </c>
      <c r="B791" s="5">
        <v>45935</v>
      </c>
      <c r="C791" s="6" t="s">
        <v>37</v>
      </c>
      <c r="D791" s="6" t="s">
        <v>42</v>
      </c>
      <c r="E791" s="6" t="s">
        <v>69</v>
      </c>
      <c r="F791" s="6" t="s">
        <v>27</v>
      </c>
      <c r="G791" s="6" t="s">
        <v>50</v>
      </c>
      <c r="H791" s="2">
        <v>3</v>
      </c>
      <c r="I791" s="2">
        <v>29542.59</v>
      </c>
      <c r="J791" s="2">
        <v>0.03</v>
      </c>
      <c r="K791" s="2">
        <v>85968.93</v>
      </c>
      <c r="L791" s="2">
        <v>58605.279999999999</v>
      </c>
      <c r="M791" s="2">
        <v>27363.65</v>
      </c>
      <c r="N791" s="6" t="s">
        <v>21</v>
      </c>
      <c r="O791" s="6" t="s">
        <v>30</v>
      </c>
    </row>
    <row r="792" spans="1:15" x14ac:dyDescent="0.3">
      <c r="A792" s="2" t="s">
        <v>1010</v>
      </c>
      <c r="B792" s="5">
        <v>45800</v>
      </c>
      <c r="C792" s="6" t="s">
        <v>63</v>
      </c>
      <c r="D792" s="6" t="s">
        <v>64</v>
      </c>
      <c r="E792" s="6" t="s">
        <v>33</v>
      </c>
      <c r="F792" s="6" t="s">
        <v>43</v>
      </c>
      <c r="G792" s="6" t="s">
        <v>84</v>
      </c>
      <c r="H792" s="2">
        <v>3</v>
      </c>
      <c r="I792" s="2">
        <v>43890.71</v>
      </c>
      <c r="J792" s="2">
        <v>0.08</v>
      </c>
      <c r="K792" s="2">
        <v>121138.37</v>
      </c>
      <c r="L792" s="2">
        <v>93571.839999999997</v>
      </c>
      <c r="M792" s="2">
        <v>27566.53</v>
      </c>
      <c r="N792" s="6" t="s">
        <v>21</v>
      </c>
      <c r="O792" s="6" t="s">
        <v>30</v>
      </c>
    </row>
    <row r="793" spans="1:15" x14ac:dyDescent="0.3">
      <c r="A793" s="2" t="s">
        <v>823</v>
      </c>
      <c r="B793" s="5">
        <v>45767</v>
      </c>
      <c r="C793" s="6" t="s">
        <v>37</v>
      </c>
      <c r="D793" s="6" t="s">
        <v>68</v>
      </c>
      <c r="E793" s="6" t="s">
        <v>18</v>
      </c>
      <c r="F793" s="6" t="s">
        <v>43</v>
      </c>
      <c r="G793" s="6" t="s">
        <v>91</v>
      </c>
      <c r="H793" s="2">
        <v>4</v>
      </c>
      <c r="I793" s="2">
        <v>49760.57</v>
      </c>
      <c r="J793" s="2">
        <v>0.1</v>
      </c>
      <c r="K793" s="2">
        <v>179138.03</v>
      </c>
      <c r="L793" s="2">
        <v>151424.06</v>
      </c>
      <c r="M793" s="2">
        <v>27713.97</v>
      </c>
      <c r="N793" s="6" t="s">
        <v>58</v>
      </c>
      <c r="O793" s="6" t="s">
        <v>59</v>
      </c>
    </row>
    <row r="794" spans="1:15" x14ac:dyDescent="0.3">
      <c r="A794" s="2" t="s">
        <v>1001</v>
      </c>
      <c r="B794" s="5">
        <v>45762</v>
      </c>
      <c r="C794" s="6" t="s">
        <v>37</v>
      </c>
      <c r="D794" s="6" t="s">
        <v>38</v>
      </c>
      <c r="E794" s="6" t="s">
        <v>49</v>
      </c>
      <c r="F794" s="6" t="s">
        <v>34</v>
      </c>
      <c r="G794" s="6" t="s">
        <v>57</v>
      </c>
      <c r="H794" s="2">
        <v>4</v>
      </c>
      <c r="I794" s="2">
        <v>21697.02</v>
      </c>
      <c r="J794" s="2">
        <v>0.03</v>
      </c>
      <c r="K794" s="2">
        <v>84184.44</v>
      </c>
      <c r="L794" s="2">
        <v>56373.34</v>
      </c>
      <c r="M794" s="2">
        <v>27811.1</v>
      </c>
      <c r="N794" s="6" t="s">
        <v>29</v>
      </c>
      <c r="O794" s="6" t="s">
        <v>59</v>
      </c>
    </row>
    <row r="795" spans="1:15" x14ac:dyDescent="0.3">
      <c r="A795" s="2" t="s">
        <v>1305</v>
      </c>
      <c r="B795" s="5">
        <v>45900</v>
      </c>
      <c r="C795" s="6" t="s">
        <v>54</v>
      </c>
      <c r="D795" s="6" t="s">
        <v>174</v>
      </c>
      <c r="E795" s="6" t="s">
        <v>56</v>
      </c>
      <c r="F795" s="6" t="s">
        <v>43</v>
      </c>
      <c r="G795" s="6" t="s">
        <v>75</v>
      </c>
      <c r="H795" s="2">
        <v>4</v>
      </c>
      <c r="I795" s="2">
        <v>33790.47</v>
      </c>
      <c r="J795" s="2">
        <v>0</v>
      </c>
      <c r="K795" s="2">
        <v>135161.85999999999</v>
      </c>
      <c r="L795" s="2">
        <v>107303.62</v>
      </c>
      <c r="M795" s="2">
        <v>27858.240000000002</v>
      </c>
      <c r="N795" s="6" t="s">
        <v>21</v>
      </c>
      <c r="O795" s="6" t="s">
        <v>40</v>
      </c>
    </row>
    <row r="796" spans="1:15" x14ac:dyDescent="0.3">
      <c r="A796" s="2" t="s">
        <v>403</v>
      </c>
      <c r="B796" s="5">
        <v>45735</v>
      </c>
      <c r="C796" s="6" t="s">
        <v>16</v>
      </c>
      <c r="D796" s="6" t="s">
        <v>52</v>
      </c>
      <c r="E796" s="6" t="s">
        <v>18</v>
      </c>
      <c r="F796" s="6" t="s">
        <v>43</v>
      </c>
      <c r="G796" s="6" t="s">
        <v>91</v>
      </c>
      <c r="H796" s="2">
        <v>2</v>
      </c>
      <c r="I796" s="2">
        <v>44283.360000000001</v>
      </c>
      <c r="J796" s="2">
        <v>0.1</v>
      </c>
      <c r="K796" s="2">
        <v>79710.039999999994</v>
      </c>
      <c r="L796" s="2">
        <v>51799.72</v>
      </c>
      <c r="M796" s="2">
        <v>27910.32</v>
      </c>
      <c r="N796" s="6" t="s">
        <v>58</v>
      </c>
      <c r="O796" s="6" t="s">
        <v>59</v>
      </c>
    </row>
    <row r="797" spans="1:15" x14ac:dyDescent="0.3">
      <c r="A797" s="2" t="s">
        <v>380</v>
      </c>
      <c r="B797" s="5">
        <v>45867</v>
      </c>
      <c r="C797" s="6" t="s">
        <v>16</v>
      </c>
      <c r="D797" s="6" t="s">
        <v>52</v>
      </c>
      <c r="E797" s="6" t="s">
        <v>18</v>
      </c>
      <c r="F797" s="6" t="s">
        <v>43</v>
      </c>
      <c r="G797" s="6" t="s">
        <v>75</v>
      </c>
      <c r="H797" s="2">
        <v>5</v>
      </c>
      <c r="I797" s="2">
        <v>38662.910000000003</v>
      </c>
      <c r="J797" s="2">
        <v>0.08</v>
      </c>
      <c r="K797" s="2">
        <v>177849.37</v>
      </c>
      <c r="L797" s="2">
        <v>149905.4</v>
      </c>
      <c r="M797" s="2">
        <v>27943.97</v>
      </c>
      <c r="N797" s="6" t="s">
        <v>29</v>
      </c>
      <c r="O797" s="6" t="s">
        <v>45</v>
      </c>
    </row>
    <row r="798" spans="1:15" x14ac:dyDescent="0.3">
      <c r="A798" s="2" t="s">
        <v>814</v>
      </c>
      <c r="B798" s="5">
        <v>45994</v>
      </c>
      <c r="C798" s="6" t="s">
        <v>63</v>
      </c>
      <c r="D798" s="6" t="s">
        <v>117</v>
      </c>
      <c r="E798" s="6" t="s">
        <v>26</v>
      </c>
      <c r="F798" s="6" t="s">
        <v>43</v>
      </c>
      <c r="G798" s="6" t="s">
        <v>75</v>
      </c>
      <c r="H798" s="2">
        <v>3</v>
      </c>
      <c r="I798" s="2">
        <v>35187.08</v>
      </c>
      <c r="J798" s="2">
        <v>0.08</v>
      </c>
      <c r="K798" s="2">
        <v>97116.35</v>
      </c>
      <c r="L798" s="2">
        <v>69127.06</v>
      </c>
      <c r="M798" s="2">
        <v>27989.29</v>
      </c>
      <c r="N798" s="6" t="s">
        <v>29</v>
      </c>
      <c r="O798" s="6" t="s">
        <v>40</v>
      </c>
    </row>
    <row r="799" spans="1:15" x14ac:dyDescent="0.3">
      <c r="A799" s="2" t="s">
        <v>494</v>
      </c>
      <c r="B799" s="5">
        <v>45751</v>
      </c>
      <c r="C799" s="6" t="s">
        <v>16</v>
      </c>
      <c r="D799" s="6" t="s">
        <v>82</v>
      </c>
      <c r="E799" s="6" t="s">
        <v>18</v>
      </c>
      <c r="F799" s="6" t="s">
        <v>34</v>
      </c>
      <c r="G799" s="6" t="s">
        <v>57</v>
      </c>
      <c r="H799" s="2">
        <v>8</v>
      </c>
      <c r="I799" s="2">
        <v>21283.18</v>
      </c>
      <c r="J799" s="2">
        <v>0.1</v>
      </c>
      <c r="K799" s="2">
        <v>153238.89000000001</v>
      </c>
      <c r="L799" s="2">
        <v>125119.19</v>
      </c>
      <c r="M799" s="2">
        <v>28119.7</v>
      </c>
      <c r="N799" s="6" t="s">
        <v>21</v>
      </c>
      <c r="O799" s="6" t="s">
        <v>59</v>
      </c>
    </row>
    <row r="800" spans="1:15" x14ac:dyDescent="0.3">
      <c r="A800" s="2" t="s">
        <v>1132</v>
      </c>
      <c r="B800" s="5">
        <v>45678</v>
      </c>
      <c r="C800" s="6" t="s">
        <v>37</v>
      </c>
      <c r="D800" s="6" t="s">
        <v>42</v>
      </c>
      <c r="E800" s="6" t="s">
        <v>74</v>
      </c>
      <c r="F800" s="6" t="s">
        <v>19</v>
      </c>
      <c r="G800" s="6" t="s">
        <v>106</v>
      </c>
      <c r="H800" s="2">
        <v>6</v>
      </c>
      <c r="I800" s="2">
        <v>14443.69</v>
      </c>
      <c r="J800" s="2">
        <v>0.05</v>
      </c>
      <c r="K800" s="2">
        <v>82329.009999999995</v>
      </c>
      <c r="L800" s="2">
        <v>54203.71</v>
      </c>
      <c r="M800" s="2">
        <v>28125.3</v>
      </c>
      <c r="N800" s="6" t="s">
        <v>29</v>
      </c>
      <c r="O800" s="6" t="s">
        <v>59</v>
      </c>
    </row>
    <row r="801" spans="1:15" x14ac:dyDescent="0.3">
      <c r="A801" s="2" t="s">
        <v>1153</v>
      </c>
      <c r="B801" s="5">
        <v>45705</v>
      </c>
      <c r="C801" s="6" t="s">
        <v>54</v>
      </c>
      <c r="D801" s="6" t="s">
        <v>48</v>
      </c>
      <c r="E801" s="6" t="s">
        <v>18</v>
      </c>
      <c r="F801" s="6" t="s">
        <v>27</v>
      </c>
      <c r="G801" s="6" t="s">
        <v>66</v>
      </c>
      <c r="H801" s="2">
        <v>8</v>
      </c>
      <c r="I801" s="2">
        <v>10771.1</v>
      </c>
      <c r="J801" s="2">
        <v>0.03</v>
      </c>
      <c r="K801" s="2">
        <v>83583.75</v>
      </c>
      <c r="L801" s="2">
        <v>55440.52</v>
      </c>
      <c r="M801" s="2">
        <v>28143.23</v>
      </c>
      <c r="N801" s="6" t="s">
        <v>21</v>
      </c>
      <c r="O801" s="6" t="s">
        <v>45</v>
      </c>
    </row>
    <row r="802" spans="1:15" x14ac:dyDescent="0.3">
      <c r="A802" s="2" t="s">
        <v>1317</v>
      </c>
      <c r="B802" s="5">
        <v>45937</v>
      </c>
      <c r="C802" s="6" t="s">
        <v>16</v>
      </c>
      <c r="D802" s="6" t="s">
        <v>82</v>
      </c>
      <c r="E802" s="6" t="s">
        <v>33</v>
      </c>
      <c r="F802" s="6" t="s">
        <v>34</v>
      </c>
      <c r="G802" s="6" t="s">
        <v>35</v>
      </c>
      <c r="H802" s="2">
        <v>6</v>
      </c>
      <c r="I802" s="2">
        <v>16769.560000000001</v>
      </c>
      <c r="J802" s="2">
        <v>0</v>
      </c>
      <c r="K802" s="2">
        <v>100617.33</v>
      </c>
      <c r="L802" s="2">
        <v>72426.36</v>
      </c>
      <c r="M802" s="2">
        <v>28190.97</v>
      </c>
      <c r="N802" s="6" t="s">
        <v>29</v>
      </c>
      <c r="O802" s="6" t="s">
        <v>30</v>
      </c>
    </row>
    <row r="803" spans="1:15" x14ac:dyDescent="0.3">
      <c r="A803" s="2" t="s">
        <v>274</v>
      </c>
      <c r="B803" s="5">
        <v>45918</v>
      </c>
      <c r="C803" s="6" t="s">
        <v>63</v>
      </c>
      <c r="D803" s="6" t="s">
        <v>117</v>
      </c>
      <c r="E803" s="6" t="s">
        <v>18</v>
      </c>
      <c r="F803" s="6" t="s">
        <v>34</v>
      </c>
      <c r="G803" s="6" t="s">
        <v>57</v>
      </c>
      <c r="H803" s="2">
        <v>4</v>
      </c>
      <c r="I803" s="2">
        <v>22966.78</v>
      </c>
      <c r="J803" s="2">
        <v>0.08</v>
      </c>
      <c r="K803" s="2">
        <v>84517.75</v>
      </c>
      <c r="L803" s="2">
        <v>56157.56</v>
      </c>
      <c r="M803" s="2">
        <v>28360.19</v>
      </c>
      <c r="N803" s="6" t="s">
        <v>29</v>
      </c>
      <c r="O803" s="6" t="s">
        <v>59</v>
      </c>
    </row>
    <row r="804" spans="1:15" x14ac:dyDescent="0.3">
      <c r="A804" s="2" t="s">
        <v>663</v>
      </c>
      <c r="B804" s="5">
        <v>45963</v>
      </c>
      <c r="C804" s="6" t="s">
        <v>37</v>
      </c>
      <c r="D804" s="6" t="s">
        <v>68</v>
      </c>
      <c r="E804" s="6" t="s">
        <v>33</v>
      </c>
      <c r="F804" s="6" t="s">
        <v>34</v>
      </c>
      <c r="G804" s="6" t="s">
        <v>35</v>
      </c>
      <c r="H804" s="2">
        <v>5</v>
      </c>
      <c r="I804" s="2">
        <v>19255.18</v>
      </c>
      <c r="J804" s="2">
        <v>0.05</v>
      </c>
      <c r="K804" s="2">
        <v>91462.1</v>
      </c>
      <c r="L804" s="2">
        <v>63077.86</v>
      </c>
      <c r="M804" s="2">
        <v>28384.240000000002</v>
      </c>
      <c r="N804" s="6" t="s">
        <v>21</v>
      </c>
      <c r="O804" s="6" t="s">
        <v>30</v>
      </c>
    </row>
    <row r="805" spans="1:15" x14ac:dyDescent="0.3">
      <c r="A805" s="2" t="s">
        <v>687</v>
      </c>
      <c r="B805" s="5">
        <v>45967</v>
      </c>
      <c r="C805" s="6" t="s">
        <v>54</v>
      </c>
      <c r="D805" s="6" t="s">
        <v>174</v>
      </c>
      <c r="E805" s="6" t="s">
        <v>18</v>
      </c>
      <c r="F805" s="6" t="s">
        <v>34</v>
      </c>
      <c r="G805" s="6" t="s">
        <v>39</v>
      </c>
      <c r="H805" s="2">
        <v>3</v>
      </c>
      <c r="I805" s="2">
        <v>30919.89</v>
      </c>
      <c r="J805" s="2">
        <v>0.1</v>
      </c>
      <c r="K805" s="2">
        <v>83483.7</v>
      </c>
      <c r="L805" s="2">
        <v>55032.88</v>
      </c>
      <c r="M805" s="2">
        <v>28450.82</v>
      </c>
      <c r="N805" s="6" t="s">
        <v>29</v>
      </c>
      <c r="O805" s="6" t="s">
        <v>59</v>
      </c>
    </row>
    <row r="806" spans="1:15" x14ac:dyDescent="0.3">
      <c r="A806" s="2" t="s">
        <v>247</v>
      </c>
      <c r="B806" s="5">
        <v>45821</v>
      </c>
      <c r="C806" s="6" t="s">
        <v>37</v>
      </c>
      <c r="D806" s="6" t="s">
        <v>68</v>
      </c>
      <c r="E806" s="6" t="s">
        <v>49</v>
      </c>
      <c r="F806" s="6" t="s">
        <v>34</v>
      </c>
      <c r="G806" s="6" t="s">
        <v>57</v>
      </c>
      <c r="H806" s="2">
        <v>4</v>
      </c>
      <c r="I806" s="2">
        <v>21731.56</v>
      </c>
      <c r="J806" s="2">
        <v>0.08</v>
      </c>
      <c r="K806" s="2">
        <v>79972.14</v>
      </c>
      <c r="L806" s="2">
        <v>51416.37</v>
      </c>
      <c r="M806" s="2">
        <v>28555.77</v>
      </c>
      <c r="N806" s="6" t="s">
        <v>21</v>
      </c>
      <c r="O806" s="6" t="s">
        <v>59</v>
      </c>
    </row>
    <row r="807" spans="1:15" x14ac:dyDescent="0.3">
      <c r="A807" s="2" t="s">
        <v>99</v>
      </c>
      <c r="B807" s="5">
        <v>45970</v>
      </c>
      <c r="C807" s="6" t="s">
        <v>63</v>
      </c>
      <c r="D807" s="6" t="s">
        <v>88</v>
      </c>
      <c r="E807" s="6" t="s">
        <v>18</v>
      </c>
      <c r="F807" s="6" t="s">
        <v>34</v>
      </c>
      <c r="G807" s="6" t="s">
        <v>39</v>
      </c>
      <c r="H807" s="2">
        <v>3</v>
      </c>
      <c r="I807" s="2">
        <v>28829.79</v>
      </c>
      <c r="J807" s="2">
        <v>0.08</v>
      </c>
      <c r="K807" s="2">
        <v>79570.23</v>
      </c>
      <c r="L807" s="2">
        <v>50891.73</v>
      </c>
      <c r="M807" s="2">
        <v>28678.5</v>
      </c>
      <c r="N807" s="6" t="s">
        <v>29</v>
      </c>
      <c r="O807" s="6" t="s">
        <v>40</v>
      </c>
    </row>
    <row r="808" spans="1:15" x14ac:dyDescent="0.3">
      <c r="A808" s="2" t="s">
        <v>1121</v>
      </c>
      <c r="B808" s="5">
        <v>45722</v>
      </c>
      <c r="C808" s="6" t="s">
        <v>16</v>
      </c>
      <c r="D808" s="6" t="s">
        <v>17</v>
      </c>
      <c r="E808" s="6" t="s">
        <v>33</v>
      </c>
      <c r="F808" s="6" t="s">
        <v>27</v>
      </c>
      <c r="G808" s="6" t="s">
        <v>89</v>
      </c>
      <c r="H808" s="2">
        <v>3</v>
      </c>
      <c r="I808" s="2">
        <v>31034.240000000002</v>
      </c>
      <c r="J808" s="2">
        <v>0.1</v>
      </c>
      <c r="K808" s="2">
        <v>83792.45</v>
      </c>
      <c r="L808" s="2">
        <v>55086.11</v>
      </c>
      <c r="M808" s="2">
        <v>28706.34</v>
      </c>
      <c r="N808" s="6" t="s">
        <v>21</v>
      </c>
      <c r="O808" s="6" t="s">
        <v>59</v>
      </c>
    </row>
    <row r="809" spans="1:15" x14ac:dyDescent="0.3">
      <c r="A809" s="2" t="s">
        <v>142</v>
      </c>
      <c r="B809" s="5">
        <v>45718</v>
      </c>
      <c r="C809" s="6" t="s">
        <v>37</v>
      </c>
      <c r="D809" s="6" t="s">
        <v>42</v>
      </c>
      <c r="E809" s="6" t="s">
        <v>49</v>
      </c>
      <c r="F809" s="6" t="s">
        <v>34</v>
      </c>
      <c r="G809" s="6" t="s">
        <v>70</v>
      </c>
      <c r="H809" s="2">
        <v>3</v>
      </c>
      <c r="I809" s="2">
        <v>68892.899999999994</v>
      </c>
      <c r="J809" s="2">
        <v>0.05</v>
      </c>
      <c r="K809" s="2">
        <v>196344.77</v>
      </c>
      <c r="L809" s="2">
        <v>167589.39000000001</v>
      </c>
      <c r="M809" s="2">
        <v>28755.38</v>
      </c>
      <c r="N809" s="6" t="s">
        <v>21</v>
      </c>
      <c r="O809" s="6" t="s">
        <v>22</v>
      </c>
    </row>
    <row r="810" spans="1:15" x14ac:dyDescent="0.3">
      <c r="A810" s="2" t="s">
        <v>1079</v>
      </c>
      <c r="B810" s="5">
        <v>45791</v>
      </c>
      <c r="C810" s="6" t="s">
        <v>37</v>
      </c>
      <c r="D810" s="6" t="s">
        <v>68</v>
      </c>
      <c r="E810" s="6" t="s">
        <v>65</v>
      </c>
      <c r="F810" s="6" t="s">
        <v>27</v>
      </c>
      <c r="G810" s="6" t="s">
        <v>50</v>
      </c>
      <c r="H810" s="2">
        <v>4</v>
      </c>
      <c r="I810" s="2">
        <v>30262.07</v>
      </c>
      <c r="J810" s="2">
        <v>0.1</v>
      </c>
      <c r="K810" s="2">
        <v>108943.43</v>
      </c>
      <c r="L810" s="2">
        <v>80120.84</v>
      </c>
      <c r="M810" s="2">
        <v>28822.59</v>
      </c>
      <c r="N810" s="6" t="s">
        <v>21</v>
      </c>
      <c r="O810" s="6" t="s">
        <v>40</v>
      </c>
    </row>
    <row r="811" spans="1:15" x14ac:dyDescent="0.3">
      <c r="A811" s="2" t="s">
        <v>1098</v>
      </c>
      <c r="B811" s="5">
        <v>45921</v>
      </c>
      <c r="C811" s="6" t="s">
        <v>16</v>
      </c>
      <c r="D811" s="6" t="s">
        <v>32</v>
      </c>
      <c r="E811" s="6" t="s">
        <v>18</v>
      </c>
      <c r="F811" s="6" t="s">
        <v>34</v>
      </c>
      <c r="G811" s="6" t="s">
        <v>35</v>
      </c>
      <c r="H811" s="2">
        <v>5</v>
      </c>
      <c r="I811" s="2">
        <v>18829.78</v>
      </c>
      <c r="J811" s="2">
        <v>0.1</v>
      </c>
      <c r="K811" s="2">
        <v>84734.02</v>
      </c>
      <c r="L811" s="2">
        <v>55842.81</v>
      </c>
      <c r="M811" s="2">
        <v>28891.21</v>
      </c>
      <c r="N811" s="6" t="s">
        <v>58</v>
      </c>
      <c r="O811" s="6" t="s">
        <v>59</v>
      </c>
    </row>
    <row r="812" spans="1:15" x14ac:dyDescent="0.3">
      <c r="A812" s="2" t="s">
        <v>134</v>
      </c>
      <c r="B812" s="5">
        <v>45722</v>
      </c>
      <c r="C812" s="6" t="s">
        <v>63</v>
      </c>
      <c r="D812" s="6" t="s">
        <v>64</v>
      </c>
      <c r="E812" s="6" t="s">
        <v>56</v>
      </c>
      <c r="F812" s="6" t="s">
        <v>43</v>
      </c>
      <c r="G812" s="6" t="s">
        <v>75</v>
      </c>
      <c r="H812" s="2">
        <v>3</v>
      </c>
      <c r="I812" s="2">
        <v>33380.46</v>
      </c>
      <c r="J812" s="2">
        <v>0</v>
      </c>
      <c r="K812" s="2">
        <v>100141.38</v>
      </c>
      <c r="L812" s="2">
        <v>71135.55</v>
      </c>
      <c r="M812" s="2">
        <v>29005.83</v>
      </c>
      <c r="N812" s="6" t="s">
        <v>29</v>
      </c>
      <c r="O812" s="6" t="s">
        <v>30</v>
      </c>
    </row>
    <row r="813" spans="1:15" x14ac:dyDescent="0.3">
      <c r="A813" s="2" t="s">
        <v>439</v>
      </c>
      <c r="B813" s="5">
        <v>45996</v>
      </c>
      <c r="C813" s="6" t="s">
        <v>63</v>
      </c>
      <c r="D813" s="6" t="s">
        <v>88</v>
      </c>
      <c r="E813" s="6" t="s">
        <v>56</v>
      </c>
      <c r="F813" s="6" t="s">
        <v>43</v>
      </c>
      <c r="G813" s="6" t="s">
        <v>84</v>
      </c>
      <c r="H813" s="2">
        <v>3</v>
      </c>
      <c r="I813" s="2">
        <v>39496.04</v>
      </c>
      <c r="J813" s="2">
        <v>0.03</v>
      </c>
      <c r="K813" s="2">
        <v>114933.47</v>
      </c>
      <c r="L813" s="2">
        <v>85921.8</v>
      </c>
      <c r="M813" s="2">
        <v>29011.67</v>
      </c>
      <c r="N813" s="6" t="s">
        <v>58</v>
      </c>
      <c r="O813" s="6" t="s">
        <v>30</v>
      </c>
    </row>
    <row r="814" spans="1:15" x14ac:dyDescent="0.3">
      <c r="A814" s="2" t="s">
        <v>1172</v>
      </c>
      <c r="B814" s="5">
        <v>45973</v>
      </c>
      <c r="C814" s="6" t="s">
        <v>54</v>
      </c>
      <c r="D814" s="6" t="s">
        <v>174</v>
      </c>
      <c r="E814" s="6" t="s">
        <v>18</v>
      </c>
      <c r="F814" s="6" t="s">
        <v>34</v>
      </c>
      <c r="G814" s="6" t="s">
        <v>57</v>
      </c>
      <c r="H814" s="2">
        <v>7</v>
      </c>
      <c r="I814" s="2">
        <v>20440.080000000002</v>
      </c>
      <c r="J814" s="2">
        <v>0.15</v>
      </c>
      <c r="K814" s="2">
        <v>121618.47</v>
      </c>
      <c r="L814" s="2">
        <v>92578.9</v>
      </c>
      <c r="M814" s="2">
        <v>29039.57</v>
      </c>
      <c r="N814" s="6" t="s">
        <v>29</v>
      </c>
      <c r="O814" s="6" t="s">
        <v>30</v>
      </c>
    </row>
    <row r="815" spans="1:15" x14ac:dyDescent="0.3">
      <c r="A815" s="2" t="s">
        <v>122</v>
      </c>
      <c r="B815" s="5">
        <v>45896</v>
      </c>
      <c r="C815" s="6" t="s">
        <v>37</v>
      </c>
      <c r="D815" s="6" t="s">
        <v>68</v>
      </c>
      <c r="E815" s="6" t="s">
        <v>33</v>
      </c>
      <c r="F815" s="6" t="s">
        <v>27</v>
      </c>
      <c r="G815" s="6" t="s">
        <v>28</v>
      </c>
      <c r="H815" s="2">
        <v>5</v>
      </c>
      <c r="I815" s="2">
        <v>29061.919999999998</v>
      </c>
      <c r="J815" s="2">
        <v>0.05</v>
      </c>
      <c r="K815" s="2">
        <v>138044.12</v>
      </c>
      <c r="L815" s="2">
        <v>108971.97</v>
      </c>
      <c r="M815" s="2">
        <v>29072.15</v>
      </c>
      <c r="N815" s="6" t="s">
        <v>21</v>
      </c>
      <c r="O815" s="6" t="s">
        <v>59</v>
      </c>
    </row>
    <row r="816" spans="1:15" x14ac:dyDescent="0.3">
      <c r="A816" s="2" t="s">
        <v>1075</v>
      </c>
      <c r="B816" s="5">
        <v>45988</v>
      </c>
      <c r="C816" s="6" t="s">
        <v>16</v>
      </c>
      <c r="D816" s="6" t="s">
        <v>52</v>
      </c>
      <c r="E816" s="6" t="s">
        <v>18</v>
      </c>
      <c r="F816" s="6" t="s">
        <v>43</v>
      </c>
      <c r="G816" s="6" t="s">
        <v>91</v>
      </c>
      <c r="H816" s="2">
        <v>2</v>
      </c>
      <c r="I816" s="2">
        <v>45195.15</v>
      </c>
      <c r="J816" s="2">
        <v>0.05</v>
      </c>
      <c r="K816" s="2">
        <v>85870.79</v>
      </c>
      <c r="L816" s="2">
        <v>56724.95</v>
      </c>
      <c r="M816" s="2">
        <v>29145.84</v>
      </c>
      <c r="N816" s="6" t="s">
        <v>29</v>
      </c>
      <c r="O816" s="6" t="s">
        <v>45</v>
      </c>
    </row>
    <row r="817" spans="1:15" x14ac:dyDescent="0.3">
      <c r="A817" s="2" t="s">
        <v>516</v>
      </c>
      <c r="B817" s="5">
        <v>45821</v>
      </c>
      <c r="C817" s="6" t="s">
        <v>37</v>
      </c>
      <c r="D817" s="6" t="s">
        <v>25</v>
      </c>
      <c r="E817" s="6" t="s">
        <v>65</v>
      </c>
      <c r="F817" s="6" t="s">
        <v>19</v>
      </c>
      <c r="G817" s="6" t="s">
        <v>106</v>
      </c>
      <c r="H817" s="2">
        <v>7</v>
      </c>
      <c r="I817" s="2">
        <v>13224.74</v>
      </c>
      <c r="J817" s="2">
        <v>0</v>
      </c>
      <c r="K817" s="2">
        <v>92573.15</v>
      </c>
      <c r="L817" s="2">
        <v>63353.53</v>
      </c>
      <c r="M817" s="2">
        <v>29219.62</v>
      </c>
      <c r="N817" s="6" t="s">
        <v>21</v>
      </c>
      <c r="O817" s="6" t="s">
        <v>59</v>
      </c>
    </row>
    <row r="818" spans="1:15" x14ac:dyDescent="0.3">
      <c r="A818" s="2" t="s">
        <v>530</v>
      </c>
      <c r="B818" s="5">
        <v>46013</v>
      </c>
      <c r="C818" s="6" t="s">
        <v>37</v>
      </c>
      <c r="D818" s="6" t="s">
        <v>25</v>
      </c>
      <c r="E818" s="6" t="s">
        <v>26</v>
      </c>
      <c r="F818" s="6" t="s">
        <v>27</v>
      </c>
      <c r="G818" s="6" t="s">
        <v>50</v>
      </c>
      <c r="H818" s="2">
        <v>5</v>
      </c>
      <c r="I818" s="2">
        <v>29008.1</v>
      </c>
      <c r="J818" s="2">
        <v>0.05</v>
      </c>
      <c r="K818" s="2">
        <v>137788.46</v>
      </c>
      <c r="L818" s="2">
        <v>108505.64</v>
      </c>
      <c r="M818" s="2">
        <v>29282.82</v>
      </c>
      <c r="N818" s="6" t="s">
        <v>29</v>
      </c>
      <c r="O818" s="6" t="s">
        <v>30</v>
      </c>
    </row>
    <row r="819" spans="1:15" x14ac:dyDescent="0.3">
      <c r="A819" s="2" t="s">
        <v>1236</v>
      </c>
      <c r="B819" s="5">
        <v>45982</v>
      </c>
      <c r="C819" s="6" t="s">
        <v>16</v>
      </c>
      <c r="D819" s="6" t="s">
        <v>17</v>
      </c>
      <c r="E819" s="6" t="s">
        <v>26</v>
      </c>
      <c r="F819" s="6" t="s">
        <v>43</v>
      </c>
      <c r="G819" s="6" t="s">
        <v>75</v>
      </c>
      <c r="H819" s="2">
        <v>6</v>
      </c>
      <c r="I819" s="2">
        <v>38254.769999999997</v>
      </c>
      <c r="J819" s="2">
        <v>0.1</v>
      </c>
      <c r="K819" s="2">
        <v>206575.78</v>
      </c>
      <c r="L819" s="2">
        <v>177287.79</v>
      </c>
      <c r="M819" s="2">
        <v>29287.99</v>
      </c>
      <c r="N819" s="6" t="s">
        <v>21</v>
      </c>
      <c r="O819" s="6" t="s">
        <v>22</v>
      </c>
    </row>
    <row r="820" spans="1:15" x14ac:dyDescent="0.3">
      <c r="A820" s="2" t="s">
        <v>412</v>
      </c>
      <c r="B820" s="5">
        <v>45952</v>
      </c>
      <c r="C820" s="6" t="s">
        <v>37</v>
      </c>
      <c r="D820" s="6" t="s">
        <v>68</v>
      </c>
      <c r="E820" s="6" t="s">
        <v>69</v>
      </c>
      <c r="F820" s="6" t="s">
        <v>34</v>
      </c>
      <c r="G820" s="6" t="s">
        <v>35</v>
      </c>
      <c r="H820" s="2">
        <v>8</v>
      </c>
      <c r="I820" s="2">
        <v>18451.46</v>
      </c>
      <c r="J820" s="2">
        <v>0.15</v>
      </c>
      <c r="K820" s="2">
        <v>125469.91</v>
      </c>
      <c r="L820" s="2">
        <v>95968.54</v>
      </c>
      <c r="M820" s="2">
        <v>29501.37</v>
      </c>
      <c r="N820" s="6" t="s">
        <v>21</v>
      </c>
      <c r="O820" s="6" t="s">
        <v>40</v>
      </c>
    </row>
    <row r="821" spans="1:15" x14ac:dyDescent="0.3">
      <c r="A821" s="2" t="s">
        <v>843</v>
      </c>
      <c r="B821" s="5">
        <v>45732</v>
      </c>
      <c r="C821" s="6" t="s">
        <v>54</v>
      </c>
      <c r="D821" s="6" t="s">
        <v>174</v>
      </c>
      <c r="E821" s="6" t="s">
        <v>18</v>
      </c>
      <c r="F821" s="6" t="s">
        <v>34</v>
      </c>
      <c r="G821" s="6" t="s">
        <v>39</v>
      </c>
      <c r="H821" s="2">
        <v>6</v>
      </c>
      <c r="I821" s="2">
        <v>30369.91</v>
      </c>
      <c r="J821" s="2">
        <v>0.08</v>
      </c>
      <c r="K821" s="2">
        <v>167641.89000000001</v>
      </c>
      <c r="L821" s="2">
        <v>138130.57999999999</v>
      </c>
      <c r="M821" s="2">
        <v>29511.31</v>
      </c>
      <c r="N821" s="6" t="s">
        <v>21</v>
      </c>
      <c r="O821" s="6" t="s">
        <v>30</v>
      </c>
    </row>
    <row r="822" spans="1:15" x14ac:dyDescent="0.3">
      <c r="A822" s="2" t="s">
        <v>442</v>
      </c>
      <c r="B822" s="5">
        <v>45779</v>
      </c>
      <c r="C822" s="6" t="s">
        <v>63</v>
      </c>
      <c r="D822" s="6" t="s">
        <v>95</v>
      </c>
      <c r="E822" s="6" t="s">
        <v>69</v>
      </c>
      <c r="F822" s="6" t="s">
        <v>34</v>
      </c>
      <c r="G822" s="6" t="s">
        <v>57</v>
      </c>
      <c r="H822" s="2">
        <v>7</v>
      </c>
      <c r="I822" s="2">
        <v>21540.9</v>
      </c>
      <c r="J822" s="2">
        <v>0.05</v>
      </c>
      <c r="K822" s="2">
        <v>143246.99</v>
      </c>
      <c r="L822" s="2">
        <v>113660.34</v>
      </c>
      <c r="M822" s="2">
        <v>29586.65</v>
      </c>
      <c r="N822" s="6" t="s">
        <v>21</v>
      </c>
      <c r="O822" s="6" t="s">
        <v>22</v>
      </c>
    </row>
    <row r="823" spans="1:15" x14ac:dyDescent="0.3">
      <c r="A823" s="2" t="s">
        <v>397</v>
      </c>
      <c r="B823" s="5">
        <v>45971</v>
      </c>
      <c r="C823" s="6" t="s">
        <v>37</v>
      </c>
      <c r="D823" s="6" t="s">
        <v>42</v>
      </c>
      <c r="E823" s="6" t="s">
        <v>49</v>
      </c>
      <c r="F823" s="6" t="s">
        <v>34</v>
      </c>
      <c r="G823" s="6" t="s">
        <v>57</v>
      </c>
      <c r="H823" s="2">
        <v>7</v>
      </c>
      <c r="I823" s="2">
        <v>22495.040000000001</v>
      </c>
      <c r="J823" s="2">
        <v>0.05</v>
      </c>
      <c r="K823" s="2">
        <v>149592</v>
      </c>
      <c r="L823" s="2">
        <v>119999.19</v>
      </c>
      <c r="M823" s="2">
        <v>29592.81</v>
      </c>
      <c r="N823" s="6" t="s">
        <v>21</v>
      </c>
      <c r="O823" s="6" t="s">
        <v>45</v>
      </c>
    </row>
    <row r="824" spans="1:15" x14ac:dyDescent="0.3">
      <c r="A824" s="2" t="s">
        <v>769</v>
      </c>
      <c r="B824" s="5">
        <v>45879</v>
      </c>
      <c r="C824" s="6" t="s">
        <v>37</v>
      </c>
      <c r="D824" s="6" t="s">
        <v>25</v>
      </c>
      <c r="E824" s="6" t="s">
        <v>69</v>
      </c>
      <c r="F824" s="6" t="s">
        <v>27</v>
      </c>
      <c r="G824" s="6" t="s">
        <v>50</v>
      </c>
      <c r="H824" s="2">
        <v>6</v>
      </c>
      <c r="I824" s="2">
        <v>31745.07</v>
      </c>
      <c r="J824" s="2">
        <v>0.05</v>
      </c>
      <c r="K824" s="2">
        <v>180946.91</v>
      </c>
      <c r="L824" s="2">
        <v>151250.46</v>
      </c>
      <c r="M824" s="2">
        <v>29696.45</v>
      </c>
      <c r="N824" s="6" t="s">
        <v>29</v>
      </c>
      <c r="O824" s="6" t="s">
        <v>59</v>
      </c>
    </row>
    <row r="825" spans="1:15" x14ac:dyDescent="0.3">
      <c r="A825" s="2" t="s">
        <v>642</v>
      </c>
      <c r="B825" s="5">
        <v>45883</v>
      </c>
      <c r="C825" s="6" t="s">
        <v>37</v>
      </c>
      <c r="D825" s="6" t="s">
        <v>38</v>
      </c>
      <c r="E825" s="6" t="s">
        <v>33</v>
      </c>
      <c r="F825" s="6" t="s">
        <v>43</v>
      </c>
      <c r="G825" s="6" t="s">
        <v>91</v>
      </c>
      <c r="H825" s="2">
        <v>2</v>
      </c>
      <c r="I825" s="2">
        <v>44635.75</v>
      </c>
      <c r="J825" s="2">
        <v>0.05</v>
      </c>
      <c r="K825" s="2">
        <v>84807.92</v>
      </c>
      <c r="L825" s="2">
        <v>55007.31</v>
      </c>
      <c r="M825" s="2">
        <v>29800.61</v>
      </c>
      <c r="N825" s="6" t="s">
        <v>21</v>
      </c>
      <c r="O825" s="6" t="s">
        <v>45</v>
      </c>
    </row>
    <row r="826" spans="1:15" x14ac:dyDescent="0.3">
      <c r="A826" s="2" t="s">
        <v>812</v>
      </c>
      <c r="B826" s="5">
        <v>45683</v>
      </c>
      <c r="C826" s="6" t="s">
        <v>63</v>
      </c>
      <c r="D826" s="6" t="s">
        <v>88</v>
      </c>
      <c r="E826" s="6" t="s">
        <v>65</v>
      </c>
      <c r="F826" s="6" t="s">
        <v>34</v>
      </c>
      <c r="G826" s="6" t="s">
        <v>35</v>
      </c>
      <c r="H826" s="2">
        <v>7</v>
      </c>
      <c r="I826" s="2">
        <v>18205.439999999999</v>
      </c>
      <c r="J826" s="2">
        <v>0.08</v>
      </c>
      <c r="K826" s="2">
        <v>117243.03</v>
      </c>
      <c r="L826" s="2">
        <v>87411.47</v>
      </c>
      <c r="M826" s="2">
        <v>29831.56</v>
      </c>
      <c r="N826" s="6" t="s">
        <v>21</v>
      </c>
      <c r="O826" s="6" t="s">
        <v>30</v>
      </c>
    </row>
    <row r="827" spans="1:15" x14ac:dyDescent="0.3">
      <c r="A827" s="2" t="s">
        <v>704</v>
      </c>
      <c r="B827" s="5">
        <v>45872</v>
      </c>
      <c r="C827" s="6" t="s">
        <v>16</v>
      </c>
      <c r="D827" s="6" t="s">
        <v>32</v>
      </c>
      <c r="E827" s="6" t="s">
        <v>65</v>
      </c>
      <c r="F827" s="6" t="s">
        <v>43</v>
      </c>
      <c r="G827" s="6" t="s">
        <v>75</v>
      </c>
      <c r="H827" s="2">
        <v>3</v>
      </c>
      <c r="I827" s="2">
        <v>34803.35</v>
      </c>
      <c r="J827" s="2">
        <v>0.03</v>
      </c>
      <c r="K827" s="2">
        <v>101277.75999999999</v>
      </c>
      <c r="L827" s="2">
        <v>71410.09</v>
      </c>
      <c r="M827" s="2">
        <v>29867.67</v>
      </c>
      <c r="N827" s="6" t="s">
        <v>58</v>
      </c>
      <c r="O827" s="6" t="s">
        <v>22</v>
      </c>
    </row>
    <row r="828" spans="1:15" x14ac:dyDescent="0.3">
      <c r="A828" s="2" t="s">
        <v>478</v>
      </c>
      <c r="B828" s="5">
        <v>45751</v>
      </c>
      <c r="C828" s="6" t="s">
        <v>16</v>
      </c>
      <c r="D828" s="6" t="s">
        <v>52</v>
      </c>
      <c r="E828" s="6" t="s">
        <v>18</v>
      </c>
      <c r="F828" s="6" t="s">
        <v>27</v>
      </c>
      <c r="G828" s="6" t="s">
        <v>28</v>
      </c>
      <c r="H828" s="2">
        <v>5</v>
      </c>
      <c r="I828" s="2">
        <v>28932.39</v>
      </c>
      <c r="J828" s="2">
        <v>0.05</v>
      </c>
      <c r="K828" s="2">
        <v>137428.82999999999</v>
      </c>
      <c r="L828" s="2">
        <v>107449.54</v>
      </c>
      <c r="M828" s="2">
        <v>29979.29</v>
      </c>
      <c r="N828" s="6" t="s">
        <v>21</v>
      </c>
      <c r="O828" s="6" t="s">
        <v>30</v>
      </c>
    </row>
    <row r="829" spans="1:15" x14ac:dyDescent="0.3">
      <c r="A829" s="2" t="s">
        <v>845</v>
      </c>
      <c r="B829" s="5">
        <v>45927</v>
      </c>
      <c r="C829" s="6" t="s">
        <v>16</v>
      </c>
      <c r="D829" s="6" t="s">
        <v>82</v>
      </c>
      <c r="E829" s="6" t="s">
        <v>74</v>
      </c>
      <c r="F829" s="6" t="s">
        <v>34</v>
      </c>
      <c r="G829" s="6" t="s">
        <v>35</v>
      </c>
      <c r="H829" s="2">
        <v>5</v>
      </c>
      <c r="I829" s="2">
        <v>17253.25</v>
      </c>
      <c r="J829" s="2">
        <v>0.03</v>
      </c>
      <c r="K829" s="2">
        <v>83678.27</v>
      </c>
      <c r="L829" s="2">
        <v>53555.01</v>
      </c>
      <c r="M829" s="2">
        <v>30123.26</v>
      </c>
      <c r="N829" s="6" t="s">
        <v>58</v>
      </c>
      <c r="O829" s="6" t="s">
        <v>30</v>
      </c>
    </row>
    <row r="830" spans="1:15" x14ac:dyDescent="0.3">
      <c r="A830" s="2" t="s">
        <v>488</v>
      </c>
      <c r="B830" s="5">
        <v>45701</v>
      </c>
      <c r="C830" s="6" t="s">
        <v>37</v>
      </c>
      <c r="D830" s="6" t="s">
        <v>42</v>
      </c>
      <c r="E830" s="6" t="s">
        <v>65</v>
      </c>
      <c r="F830" s="6" t="s">
        <v>34</v>
      </c>
      <c r="G830" s="6" t="s">
        <v>57</v>
      </c>
      <c r="H830" s="2">
        <v>8</v>
      </c>
      <c r="I830" s="2">
        <v>23000.41</v>
      </c>
      <c r="J830" s="2">
        <v>0.05</v>
      </c>
      <c r="K830" s="2">
        <v>174803.08</v>
      </c>
      <c r="L830" s="2">
        <v>144665.46</v>
      </c>
      <c r="M830" s="2">
        <v>30137.62</v>
      </c>
      <c r="N830" s="6" t="s">
        <v>21</v>
      </c>
      <c r="O830" s="6" t="s">
        <v>59</v>
      </c>
    </row>
    <row r="831" spans="1:15" x14ac:dyDescent="0.3">
      <c r="A831" s="2" t="s">
        <v>202</v>
      </c>
      <c r="B831" s="5">
        <v>45664</v>
      </c>
      <c r="C831" s="6" t="s">
        <v>54</v>
      </c>
      <c r="D831" s="6" t="s">
        <v>124</v>
      </c>
      <c r="E831" s="6" t="s">
        <v>65</v>
      </c>
      <c r="F831" s="6" t="s">
        <v>27</v>
      </c>
      <c r="G831" s="6" t="s">
        <v>89</v>
      </c>
      <c r="H831" s="2">
        <v>5</v>
      </c>
      <c r="I831" s="2">
        <v>32922.32</v>
      </c>
      <c r="J831" s="2">
        <v>0.08</v>
      </c>
      <c r="K831" s="2">
        <v>151442.68</v>
      </c>
      <c r="L831" s="2">
        <v>121252.88</v>
      </c>
      <c r="M831" s="2">
        <v>30189.8</v>
      </c>
      <c r="N831" s="6" t="s">
        <v>58</v>
      </c>
      <c r="O831" s="6" t="s">
        <v>45</v>
      </c>
    </row>
    <row r="832" spans="1:15" x14ac:dyDescent="0.3">
      <c r="A832" s="2" t="s">
        <v>1184</v>
      </c>
      <c r="B832" s="5">
        <v>45708</v>
      </c>
      <c r="C832" s="6" t="s">
        <v>54</v>
      </c>
      <c r="D832" s="6" t="s">
        <v>124</v>
      </c>
      <c r="E832" s="6" t="s">
        <v>65</v>
      </c>
      <c r="F832" s="6" t="s">
        <v>19</v>
      </c>
      <c r="G832" s="6" t="s">
        <v>106</v>
      </c>
      <c r="H832" s="2">
        <v>7</v>
      </c>
      <c r="I832" s="2">
        <v>13404.6</v>
      </c>
      <c r="J832" s="2">
        <v>0.05</v>
      </c>
      <c r="K832" s="2">
        <v>89140.56</v>
      </c>
      <c r="L832" s="2">
        <v>58949.01</v>
      </c>
      <c r="M832" s="2">
        <v>30191.55</v>
      </c>
      <c r="N832" s="6" t="s">
        <v>21</v>
      </c>
      <c r="O832" s="6" t="s">
        <v>45</v>
      </c>
    </row>
    <row r="833" spans="1:15" x14ac:dyDescent="0.3">
      <c r="A833" s="2" t="s">
        <v>830</v>
      </c>
      <c r="B833" s="5">
        <v>45988</v>
      </c>
      <c r="C833" s="6" t="s">
        <v>16</v>
      </c>
      <c r="D833" s="6" t="s">
        <v>52</v>
      </c>
      <c r="E833" s="6" t="s">
        <v>1356</v>
      </c>
      <c r="F833" s="6" t="s">
        <v>27</v>
      </c>
      <c r="G833" s="6" t="s">
        <v>89</v>
      </c>
      <c r="H833" s="2">
        <v>3</v>
      </c>
      <c r="I833" s="2">
        <v>33440.21</v>
      </c>
      <c r="J833" s="2">
        <v>0</v>
      </c>
      <c r="K833" s="2">
        <v>100320.62</v>
      </c>
      <c r="L833" s="2">
        <v>70072.11</v>
      </c>
      <c r="M833" s="2">
        <v>30248.51</v>
      </c>
      <c r="N833" s="6" t="s">
        <v>58</v>
      </c>
      <c r="O833" s="6" t="s">
        <v>30</v>
      </c>
    </row>
    <row r="834" spans="1:15" x14ac:dyDescent="0.3">
      <c r="A834" s="2" t="s">
        <v>177</v>
      </c>
      <c r="B834" s="5">
        <v>45866</v>
      </c>
      <c r="C834" s="6" t="s">
        <v>54</v>
      </c>
      <c r="D834" s="6" t="s">
        <v>48</v>
      </c>
      <c r="E834" s="6" t="s">
        <v>49</v>
      </c>
      <c r="F834" s="6" t="s">
        <v>34</v>
      </c>
      <c r="G834" s="6" t="s">
        <v>39</v>
      </c>
      <c r="H834" s="2">
        <v>6</v>
      </c>
      <c r="I834" s="2">
        <v>29939.67</v>
      </c>
      <c r="J834" s="2">
        <v>0.1</v>
      </c>
      <c r="K834" s="2">
        <v>161674.22</v>
      </c>
      <c r="L834" s="2">
        <v>131273.85</v>
      </c>
      <c r="M834" s="2">
        <v>30400.37</v>
      </c>
      <c r="N834" s="6" t="s">
        <v>29</v>
      </c>
      <c r="O834" s="6" t="s">
        <v>30</v>
      </c>
    </row>
    <row r="835" spans="1:15" x14ac:dyDescent="0.3">
      <c r="A835" s="2" t="s">
        <v>801</v>
      </c>
      <c r="B835" s="5">
        <v>45746</v>
      </c>
      <c r="C835" s="6" t="s">
        <v>37</v>
      </c>
      <c r="D835" s="6" t="s">
        <v>38</v>
      </c>
      <c r="E835" s="6" t="s">
        <v>74</v>
      </c>
      <c r="F835" s="6" t="s">
        <v>34</v>
      </c>
      <c r="G835" s="6" t="s">
        <v>35</v>
      </c>
      <c r="H835" s="2">
        <v>6</v>
      </c>
      <c r="I835" s="2">
        <v>18567.400000000001</v>
      </c>
      <c r="J835" s="2">
        <v>0.05</v>
      </c>
      <c r="K835" s="2">
        <v>105834.17</v>
      </c>
      <c r="L835" s="2">
        <v>75433.41</v>
      </c>
      <c r="M835" s="2">
        <v>30400.76</v>
      </c>
      <c r="N835" s="6" t="s">
        <v>58</v>
      </c>
      <c r="O835" s="6" t="s">
        <v>40</v>
      </c>
    </row>
    <row r="836" spans="1:15" x14ac:dyDescent="0.3">
      <c r="A836" s="2" t="s">
        <v>304</v>
      </c>
      <c r="B836" s="5">
        <v>45824</v>
      </c>
      <c r="C836" s="6" t="s">
        <v>63</v>
      </c>
      <c r="D836" s="6" t="s">
        <v>117</v>
      </c>
      <c r="E836" s="6" t="s">
        <v>56</v>
      </c>
      <c r="F836" s="6" t="s">
        <v>34</v>
      </c>
      <c r="G836" s="6" t="s">
        <v>57</v>
      </c>
      <c r="H836" s="2">
        <v>8</v>
      </c>
      <c r="I836" s="2">
        <v>21234.16</v>
      </c>
      <c r="J836" s="2">
        <v>0.05</v>
      </c>
      <c r="K836" s="2">
        <v>161379.59</v>
      </c>
      <c r="L836" s="2">
        <v>130976.1</v>
      </c>
      <c r="M836" s="2">
        <v>30403.49</v>
      </c>
      <c r="N836" s="6" t="s">
        <v>29</v>
      </c>
      <c r="O836" s="6" t="s">
        <v>30</v>
      </c>
    </row>
    <row r="837" spans="1:15" x14ac:dyDescent="0.3">
      <c r="A837" s="2" t="s">
        <v>178</v>
      </c>
      <c r="B837" s="5">
        <v>45686</v>
      </c>
      <c r="C837" s="6" t="s">
        <v>37</v>
      </c>
      <c r="D837" s="6" t="s">
        <v>42</v>
      </c>
      <c r="E837" s="6" t="s">
        <v>33</v>
      </c>
      <c r="F837" s="6" t="s">
        <v>19</v>
      </c>
      <c r="G837" s="6" t="s">
        <v>108</v>
      </c>
      <c r="H837" s="2">
        <v>6</v>
      </c>
      <c r="I837" s="2">
        <v>15348.13</v>
      </c>
      <c r="J837" s="2">
        <v>0.05</v>
      </c>
      <c r="K837" s="2">
        <v>87484.34</v>
      </c>
      <c r="L837" s="2">
        <v>57017.59</v>
      </c>
      <c r="M837" s="2">
        <v>30466.75</v>
      </c>
      <c r="N837" s="6" t="s">
        <v>21</v>
      </c>
      <c r="O837" s="6" t="s">
        <v>45</v>
      </c>
    </row>
    <row r="838" spans="1:15" x14ac:dyDescent="0.3">
      <c r="A838" s="2" t="s">
        <v>985</v>
      </c>
      <c r="B838" s="5">
        <v>46012</v>
      </c>
      <c r="C838" s="6" t="s">
        <v>54</v>
      </c>
      <c r="D838" s="6" t="s">
        <v>124</v>
      </c>
      <c r="E838" s="6" t="s">
        <v>33</v>
      </c>
      <c r="F838" s="6" t="s">
        <v>43</v>
      </c>
      <c r="G838" s="6" t="s">
        <v>91</v>
      </c>
      <c r="H838" s="2">
        <v>4</v>
      </c>
      <c r="I838" s="2">
        <v>44876.53</v>
      </c>
      <c r="J838" s="2">
        <v>0.05</v>
      </c>
      <c r="K838" s="2">
        <v>170530.8</v>
      </c>
      <c r="L838" s="2">
        <v>139960.12</v>
      </c>
      <c r="M838" s="2">
        <v>30570.68</v>
      </c>
      <c r="N838" s="6" t="s">
        <v>58</v>
      </c>
      <c r="O838" s="6" t="s">
        <v>59</v>
      </c>
    </row>
    <row r="839" spans="1:15" x14ac:dyDescent="0.3">
      <c r="A839" s="2" t="s">
        <v>1268</v>
      </c>
      <c r="B839" s="5">
        <v>45666</v>
      </c>
      <c r="C839" s="6" t="s">
        <v>16</v>
      </c>
      <c r="D839" s="6" t="s">
        <v>17</v>
      </c>
      <c r="E839" s="6" t="s">
        <v>18</v>
      </c>
      <c r="F839" s="6" t="s">
        <v>34</v>
      </c>
      <c r="G839" s="6" t="s">
        <v>35</v>
      </c>
      <c r="H839" s="2">
        <v>8</v>
      </c>
      <c r="I839" s="2">
        <v>16634.32</v>
      </c>
      <c r="J839" s="2">
        <v>0</v>
      </c>
      <c r="K839" s="2">
        <v>133074.6</v>
      </c>
      <c r="L839" s="2">
        <v>102381.7</v>
      </c>
      <c r="M839" s="2">
        <v>30692.9</v>
      </c>
      <c r="N839" s="6" t="s">
        <v>21</v>
      </c>
      <c r="O839" s="6" t="s">
        <v>59</v>
      </c>
    </row>
    <row r="840" spans="1:15" x14ac:dyDescent="0.3">
      <c r="A840" s="2" t="s">
        <v>499</v>
      </c>
      <c r="B840" s="5">
        <v>45683</v>
      </c>
      <c r="C840" s="6" t="s">
        <v>54</v>
      </c>
      <c r="D840" s="6" t="s">
        <v>174</v>
      </c>
      <c r="E840" s="6" t="s">
        <v>65</v>
      </c>
      <c r="F840" s="6" t="s">
        <v>34</v>
      </c>
      <c r="G840" s="6" t="s">
        <v>35</v>
      </c>
      <c r="H840" s="2">
        <v>6</v>
      </c>
      <c r="I840" s="2">
        <v>18516.09</v>
      </c>
      <c r="J840" s="2">
        <v>0</v>
      </c>
      <c r="K840" s="2">
        <v>111096.56</v>
      </c>
      <c r="L840" s="2">
        <v>80098.7</v>
      </c>
      <c r="M840" s="2">
        <v>30997.86</v>
      </c>
      <c r="N840" s="6" t="s">
        <v>58</v>
      </c>
      <c r="O840" s="6" t="s">
        <v>59</v>
      </c>
    </row>
    <row r="841" spans="1:15" x14ac:dyDescent="0.3">
      <c r="A841" s="2" t="s">
        <v>818</v>
      </c>
      <c r="B841" s="5">
        <v>46001</v>
      </c>
      <c r="C841" s="6" t="s">
        <v>37</v>
      </c>
      <c r="D841" s="6" t="s">
        <v>68</v>
      </c>
      <c r="E841" s="6" t="s">
        <v>33</v>
      </c>
      <c r="F841" s="6" t="s">
        <v>34</v>
      </c>
      <c r="G841" s="6" t="s">
        <v>35</v>
      </c>
      <c r="H841" s="2">
        <v>5</v>
      </c>
      <c r="I841" s="2">
        <v>18181.91</v>
      </c>
      <c r="J841" s="2">
        <v>0.1</v>
      </c>
      <c r="K841" s="2">
        <v>81818.61</v>
      </c>
      <c r="L841" s="2">
        <v>50802.75</v>
      </c>
      <c r="M841" s="2">
        <v>31015.86</v>
      </c>
      <c r="N841" s="6" t="s">
        <v>58</v>
      </c>
      <c r="O841" s="6" t="s">
        <v>30</v>
      </c>
    </row>
    <row r="842" spans="1:15" x14ac:dyDescent="0.3">
      <c r="A842" s="2" t="s">
        <v>279</v>
      </c>
      <c r="B842" s="5">
        <v>45679</v>
      </c>
      <c r="C842" s="6" t="s">
        <v>63</v>
      </c>
      <c r="D842" s="6" t="s">
        <v>117</v>
      </c>
      <c r="E842" s="6" t="s">
        <v>65</v>
      </c>
      <c r="F842" s="6" t="s">
        <v>27</v>
      </c>
      <c r="G842" s="6" t="s">
        <v>50</v>
      </c>
      <c r="H842" s="2">
        <v>8</v>
      </c>
      <c r="I842" s="2">
        <v>28451.66</v>
      </c>
      <c r="J842" s="2">
        <v>0.05</v>
      </c>
      <c r="K842" s="2">
        <v>216232.6</v>
      </c>
      <c r="L842" s="2">
        <v>185164.46</v>
      </c>
      <c r="M842" s="2">
        <v>31068.14</v>
      </c>
      <c r="N842" s="6" t="s">
        <v>29</v>
      </c>
      <c r="O842" s="6" t="s">
        <v>45</v>
      </c>
    </row>
    <row r="843" spans="1:15" x14ac:dyDescent="0.3">
      <c r="A843" s="2" t="s">
        <v>1083</v>
      </c>
      <c r="B843" s="5">
        <v>45813</v>
      </c>
      <c r="C843" s="6" t="s">
        <v>54</v>
      </c>
      <c r="D843" s="6" t="s">
        <v>55</v>
      </c>
      <c r="E843" s="6" t="s">
        <v>69</v>
      </c>
      <c r="F843" s="6" t="s">
        <v>27</v>
      </c>
      <c r="G843" s="6" t="s">
        <v>50</v>
      </c>
      <c r="H843" s="2">
        <v>3</v>
      </c>
      <c r="I843" s="2">
        <v>31136.720000000001</v>
      </c>
      <c r="J843" s="2">
        <v>0.05</v>
      </c>
      <c r="K843" s="2">
        <v>88739.65</v>
      </c>
      <c r="L843" s="2">
        <v>57629.3</v>
      </c>
      <c r="M843" s="2">
        <v>31110.35</v>
      </c>
      <c r="N843" s="6" t="s">
        <v>21</v>
      </c>
      <c r="O843" s="6" t="s">
        <v>22</v>
      </c>
    </row>
    <row r="844" spans="1:15" x14ac:dyDescent="0.3">
      <c r="A844" s="2" t="s">
        <v>1189</v>
      </c>
      <c r="B844" s="5">
        <v>45979</v>
      </c>
      <c r="C844" s="6" t="s">
        <v>16</v>
      </c>
      <c r="D844" s="6" t="s">
        <v>32</v>
      </c>
      <c r="E844" s="6" t="s">
        <v>74</v>
      </c>
      <c r="F844" s="6" t="s">
        <v>43</v>
      </c>
      <c r="G844" s="6" t="s">
        <v>84</v>
      </c>
      <c r="H844" s="2">
        <v>4</v>
      </c>
      <c r="I844" s="2">
        <v>43680.41</v>
      </c>
      <c r="J844" s="2">
        <v>0</v>
      </c>
      <c r="K844" s="2">
        <v>174721.65</v>
      </c>
      <c r="L844" s="2">
        <v>143511.44</v>
      </c>
      <c r="M844" s="2">
        <v>31210.21</v>
      </c>
      <c r="N844" s="6" t="s">
        <v>29</v>
      </c>
      <c r="O844" s="6" t="s">
        <v>30</v>
      </c>
    </row>
    <row r="845" spans="1:15" x14ac:dyDescent="0.3">
      <c r="A845" s="2" t="s">
        <v>1188</v>
      </c>
      <c r="B845" s="5">
        <v>45763</v>
      </c>
      <c r="C845" s="6" t="s">
        <v>63</v>
      </c>
      <c r="D845" s="6" t="s">
        <v>64</v>
      </c>
      <c r="E845" s="6" t="s">
        <v>74</v>
      </c>
      <c r="F845" s="6" t="s">
        <v>27</v>
      </c>
      <c r="G845" s="6" t="s">
        <v>50</v>
      </c>
      <c r="H845" s="2">
        <v>3</v>
      </c>
      <c r="I845" s="2">
        <v>29265.83</v>
      </c>
      <c r="J845" s="2">
        <v>0.05</v>
      </c>
      <c r="K845" s="2">
        <v>83407.600000000006</v>
      </c>
      <c r="L845" s="2">
        <v>52051.44</v>
      </c>
      <c r="M845" s="2">
        <v>31356.16</v>
      </c>
      <c r="N845" s="6" t="s">
        <v>21</v>
      </c>
      <c r="O845" s="6" t="s">
        <v>40</v>
      </c>
    </row>
    <row r="846" spans="1:15" x14ac:dyDescent="0.3">
      <c r="A846" s="2" t="s">
        <v>972</v>
      </c>
      <c r="B846" s="5">
        <v>45849</v>
      </c>
      <c r="C846" s="6" t="s">
        <v>16</v>
      </c>
      <c r="D846" s="6" t="s">
        <v>82</v>
      </c>
      <c r="E846" s="6" t="s">
        <v>56</v>
      </c>
      <c r="F846" s="6" t="s">
        <v>34</v>
      </c>
      <c r="G846" s="6" t="s">
        <v>70</v>
      </c>
      <c r="H846" s="2">
        <v>3</v>
      </c>
      <c r="I846" s="2">
        <v>61194.84</v>
      </c>
      <c r="J846" s="2">
        <v>0</v>
      </c>
      <c r="K846" s="2">
        <v>183584.53</v>
      </c>
      <c r="L846" s="2">
        <v>152079.82</v>
      </c>
      <c r="M846" s="2">
        <v>31504.71</v>
      </c>
      <c r="N846" s="6" t="s">
        <v>21</v>
      </c>
      <c r="O846" s="6" t="s">
        <v>22</v>
      </c>
    </row>
    <row r="847" spans="1:15" x14ac:dyDescent="0.3">
      <c r="A847" s="2" t="s">
        <v>1232</v>
      </c>
      <c r="B847" s="5">
        <v>45967</v>
      </c>
      <c r="C847" s="6" t="s">
        <v>37</v>
      </c>
      <c r="D847" s="6" t="s">
        <v>68</v>
      </c>
      <c r="E847" s="6" t="s">
        <v>74</v>
      </c>
      <c r="F847" s="6" t="s">
        <v>34</v>
      </c>
      <c r="G847" s="6" t="s">
        <v>39</v>
      </c>
      <c r="H847" s="2">
        <v>7</v>
      </c>
      <c r="I847" s="2">
        <v>32032.25</v>
      </c>
      <c r="J847" s="2">
        <v>0.05</v>
      </c>
      <c r="K847" s="2">
        <v>213014.44</v>
      </c>
      <c r="L847" s="2">
        <v>181293.81</v>
      </c>
      <c r="M847" s="2">
        <v>31720.63</v>
      </c>
      <c r="N847" s="6" t="s">
        <v>58</v>
      </c>
      <c r="O847" s="6" t="s">
        <v>45</v>
      </c>
    </row>
    <row r="848" spans="1:15" x14ac:dyDescent="0.3">
      <c r="A848" s="2" t="s">
        <v>224</v>
      </c>
      <c r="B848" s="5">
        <v>45809</v>
      </c>
      <c r="C848" s="6" t="s">
        <v>37</v>
      </c>
      <c r="D848" s="6" t="s">
        <v>68</v>
      </c>
      <c r="E848" s="6" t="s">
        <v>18</v>
      </c>
      <c r="F848" s="6" t="s">
        <v>43</v>
      </c>
      <c r="G848" s="6" t="s">
        <v>91</v>
      </c>
      <c r="H848" s="2">
        <v>5</v>
      </c>
      <c r="I848" s="2">
        <v>46816.78</v>
      </c>
      <c r="J848" s="2">
        <v>0.05</v>
      </c>
      <c r="K848" s="2">
        <v>222379.71</v>
      </c>
      <c r="L848" s="2">
        <v>190587.39</v>
      </c>
      <c r="M848" s="2">
        <v>31792.32</v>
      </c>
      <c r="N848" s="6" t="s">
        <v>29</v>
      </c>
      <c r="O848" s="6" t="s">
        <v>22</v>
      </c>
    </row>
    <row r="849" spans="1:15" x14ac:dyDescent="0.3">
      <c r="A849" s="2" t="s">
        <v>31</v>
      </c>
      <c r="B849" s="5">
        <v>46021</v>
      </c>
      <c r="C849" s="6" t="s">
        <v>16</v>
      </c>
      <c r="D849" s="6" t="s">
        <v>32</v>
      </c>
      <c r="E849" s="6" t="s">
        <v>33</v>
      </c>
      <c r="F849" s="6" t="s">
        <v>34</v>
      </c>
      <c r="G849" s="6" t="s">
        <v>35</v>
      </c>
      <c r="H849" s="2">
        <v>8</v>
      </c>
      <c r="I849" s="2">
        <v>17230.38</v>
      </c>
      <c r="J849" s="2">
        <v>0</v>
      </c>
      <c r="K849" s="2">
        <v>137843.04999999999</v>
      </c>
      <c r="L849" s="2">
        <v>105920.34</v>
      </c>
      <c r="M849" s="2">
        <v>31922.71</v>
      </c>
      <c r="N849" s="6" t="s">
        <v>29</v>
      </c>
      <c r="O849" s="6" t="s">
        <v>30</v>
      </c>
    </row>
    <row r="850" spans="1:15" x14ac:dyDescent="0.3">
      <c r="A850" s="2" t="s">
        <v>391</v>
      </c>
      <c r="B850" s="5">
        <v>45935</v>
      </c>
      <c r="C850" s="6" t="s">
        <v>37</v>
      </c>
      <c r="D850" s="6" t="s">
        <v>68</v>
      </c>
      <c r="E850" s="6" t="s">
        <v>49</v>
      </c>
      <c r="F850" s="6" t="s">
        <v>34</v>
      </c>
      <c r="G850" s="6" t="s">
        <v>39</v>
      </c>
      <c r="H850" s="2">
        <v>3</v>
      </c>
      <c r="I850" s="2">
        <v>28660.09</v>
      </c>
      <c r="J850" s="2">
        <v>0</v>
      </c>
      <c r="K850" s="2">
        <v>85980.28</v>
      </c>
      <c r="L850" s="2">
        <v>54051.03</v>
      </c>
      <c r="M850" s="2">
        <v>31929.25</v>
      </c>
      <c r="N850" s="6" t="s">
        <v>58</v>
      </c>
      <c r="O850" s="6" t="s">
        <v>45</v>
      </c>
    </row>
    <row r="851" spans="1:15" x14ac:dyDescent="0.3">
      <c r="A851" s="2" t="s">
        <v>990</v>
      </c>
      <c r="B851" s="5">
        <v>45688</v>
      </c>
      <c r="C851" s="6" t="s">
        <v>16</v>
      </c>
      <c r="D851" s="6" t="s">
        <v>17</v>
      </c>
      <c r="E851" s="6" t="s">
        <v>56</v>
      </c>
      <c r="F851" s="6" t="s">
        <v>43</v>
      </c>
      <c r="G851" s="6" t="s">
        <v>91</v>
      </c>
      <c r="H851" s="2">
        <v>5</v>
      </c>
      <c r="I851" s="2">
        <v>45540.85</v>
      </c>
      <c r="J851" s="2">
        <v>0.05</v>
      </c>
      <c r="K851" s="2">
        <v>216319.02</v>
      </c>
      <c r="L851" s="2">
        <v>184376.79</v>
      </c>
      <c r="M851" s="2">
        <v>31942.23</v>
      </c>
      <c r="N851" s="6" t="s">
        <v>21</v>
      </c>
      <c r="O851" s="6" t="s">
        <v>40</v>
      </c>
    </row>
    <row r="852" spans="1:15" x14ac:dyDescent="0.3">
      <c r="A852" s="2" t="s">
        <v>969</v>
      </c>
      <c r="B852" s="5">
        <v>45789</v>
      </c>
      <c r="C852" s="6" t="s">
        <v>63</v>
      </c>
      <c r="D852" s="6" t="s">
        <v>117</v>
      </c>
      <c r="E852" s="6" t="s">
        <v>18</v>
      </c>
      <c r="F852" s="6" t="s">
        <v>34</v>
      </c>
      <c r="G852" s="6" t="s">
        <v>57</v>
      </c>
      <c r="H852" s="2">
        <v>7</v>
      </c>
      <c r="I852" s="2">
        <v>21528.04</v>
      </c>
      <c r="J852" s="2">
        <v>0.03</v>
      </c>
      <c r="K852" s="2">
        <v>146175.37</v>
      </c>
      <c r="L852" s="2">
        <v>114210.93</v>
      </c>
      <c r="M852" s="2">
        <v>31964.44</v>
      </c>
      <c r="N852" s="6" t="s">
        <v>21</v>
      </c>
      <c r="O852" s="6" t="s">
        <v>22</v>
      </c>
    </row>
    <row r="853" spans="1:15" x14ac:dyDescent="0.3">
      <c r="A853" s="2" t="s">
        <v>1344</v>
      </c>
      <c r="B853" s="5">
        <v>45862</v>
      </c>
      <c r="C853" s="6" t="s">
        <v>54</v>
      </c>
      <c r="D853" s="6" t="s">
        <v>48</v>
      </c>
      <c r="E853" s="6" t="s">
        <v>65</v>
      </c>
      <c r="F853" s="6" t="s">
        <v>34</v>
      </c>
      <c r="G853" s="6" t="s">
        <v>57</v>
      </c>
      <c r="H853" s="2">
        <v>4</v>
      </c>
      <c r="I853" s="2">
        <v>23172.36</v>
      </c>
      <c r="J853" s="2">
        <v>0.08</v>
      </c>
      <c r="K853" s="2">
        <v>85274.29</v>
      </c>
      <c r="L853" s="2">
        <v>53303.19</v>
      </c>
      <c r="M853" s="2">
        <v>31971.1</v>
      </c>
      <c r="N853" s="6" t="s">
        <v>21</v>
      </c>
      <c r="O853" s="6" t="s">
        <v>30</v>
      </c>
    </row>
    <row r="854" spans="1:15" x14ac:dyDescent="0.3">
      <c r="A854" s="2" t="s">
        <v>848</v>
      </c>
      <c r="B854" s="5">
        <v>45848</v>
      </c>
      <c r="C854" s="6" t="s">
        <v>54</v>
      </c>
      <c r="D854" s="6" t="s">
        <v>124</v>
      </c>
      <c r="E854" s="6" t="s">
        <v>65</v>
      </c>
      <c r="F854" s="6" t="s">
        <v>34</v>
      </c>
      <c r="G854" s="6" t="s">
        <v>57</v>
      </c>
      <c r="H854" s="2">
        <v>8</v>
      </c>
      <c r="I854" s="2">
        <v>22871.73</v>
      </c>
      <c r="J854" s="2">
        <v>0.05</v>
      </c>
      <c r="K854" s="2">
        <v>173825.18</v>
      </c>
      <c r="L854" s="2">
        <v>141846.63</v>
      </c>
      <c r="M854" s="2">
        <v>31978.55</v>
      </c>
      <c r="N854" s="6" t="s">
        <v>58</v>
      </c>
      <c r="O854" s="6" t="s">
        <v>45</v>
      </c>
    </row>
    <row r="855" spans="1:15" x14ac:dyDescent="0.3">
      <c r="A855" s="2" t="s">
        <v>1076</v>
      </c>
      <c r="B855" s="5">
        <v>45750</v>
      </c>
      <c r="C855" s="6" t="s">
        <v>16</v>
      </c>
      <c r="D855" s="6" t="s">
        <v>82</v>
      </c>
      <c r="E855" s="6" t="s">
        <v>1356</v>
      </c>
      <c r="F855" s="6" t="s">
        <v>43</v>
      </c>
      <c r="G855" s="6" t="s">
        <v>75</v>
      </c>
      <c r="H855" s="2">
        <v>6</v>
      </c>
      <c r="I855" s="2">
        <v>37550.42</v>
      </c>
      <c r="J855" s="2">
        <v>0.05</v>
      </c>
      <c r="K855" s="2">
        <v>214037.39</v>
      </c>
      <c r="L855" s="2">
        <v>182018.01</v>
      </c>
      <c r="M855" s="2">
        <v>32019.38</v>
      </c>
      <c r="N855" s="6" t="s">
        <v>21</v>
      </c>
      <c r="O855" s="6" t="s">
        <v>22</v>
      </c>
    </row>
    <row r="856" spans="1:15" x14ac:dyDescent="0.3">
      <c r="A856" s="2" t="s">
        <v>910</v>
      </c>
      <c r="B856" s="5">
        <v>45695</v>
      </c>
      <c r="C856" s="6" t="s">
        <v>37</v>
      </c>
      <c r="D856" s="6" t="s">
        <v>68</v>
      </c>
      <c r="E856" s="6" t="s">
        <v>18</v>
      </c>
      <c r="F856" s="6" t="s">
        <v>27</v>
      </c>
      <c r="G856" s="6" t="s">
        <v>28</v>
      </c>
      <c r="H856" s="2">
        <v>5</v>
      </c>
      <c r="I856" s="2">
        <v>28762.74</v>
      </c>
      <c r="J856" s="2">
        <v>0.03</v>
      </c>
      <c r="K856" s="2">
        <v>139499.28</v>
      </c>
      <c r="L856" s="2">
        <v>107407.6</v>
      </c>
      <c r="M856" s="2">
        <v>32091.68</v>
      </c>
      <c r="N856" s="6" t="s">
        <v>58</v>
      </c>
      <c r="O856" s="6" t="s">
        <v>22</v>
      </c>
    </row>
    <row r="857" spans="1:15" x14ac:dyDescent="0.3">
      <c r="A857" s="2" t="s">
        <v>690</v>
      </c>
      <c r="B857" s="5">
        <v>45668</v>
      </c>
      <c r="C857" s="6" t="s">
        <v>63</v>
      </c>
      <c r="D857" s="6" t="s">
        <v>95</v>
      </c>
      <c r="E857" s="6" t="s">
        <v>74</v>
      </c>
      <c r="F857" s="6" t="s">
        <v>19</v>
      </c>
      <c r="G857" s="6" t="s">
        <v>106</v>
      </c>
      <c r="H857" s="2">
        <v>7</v>
      </c>
      <c r="I857" s="2">
        <v>15114.79</v>
      </c>
      <c r="J857" s="2">
        <v>0.03</v>
      </c>
      <c r="K857" s="2">
        <v>102629.4</v>
      </c>
      <c r="L857" s="2">
        <v>70505.509999999995</v>
      </c>
      <c r="M857" s="2">
        <v>32123.89</v>
      </c>
      <c r="N857" s="6" t="s">
        <v>21</v>
      </c>
      <c r="O857" s="6" t="s">
        <v>59</v>
      </c>
    </row>
    <row r="858" spans="1:15" x14ac:dyDescent="0.3">
      <c r="A858" s="2" t="s">
        <v>1182</v>
      </c>
      <c r="B858" s="5">
        <v>45889</v>
      </c>
      <c r="C858" s="6" t="s">
        <v>37</v>
      </c>
      <c r="D858" s="6" t="s">
        <v>25</v>
      </c>
      <c r="E858" s="6" t="s">
        <v>18</v>
      </c>
      <c r="F858" s="6" t="s">
        <v>43</v>
      </c>
      <c r="G858" s="6" t="s">
        <v>75</v>
      </c>
      <c r="H858" s="2">
        <v>3</v>
      </c>
      <c r="I858" s="2">
        <v>35486.910000000003</v>
      </c>
      <c r="J858" s="2">
        <v>0.05</v>
      </c>
      <c r="K858" s="2">
        <v>101137.69</v>
      </c>
      <c r="L858" s="2">
        <v>68784.39</v>
      </c>
      <c r="M858" s="2">
        <v>32353.3</v>
      </c>
      <c r="N858" s="6" t="s">
        <v>21</v>
      </c>
      <c r="O858" s="6" t="s">
        <v>22</v>
      </c>
    </row>
    <row r="859" spans="1:15" x14ac:dyDescent="0.3">
      <c r="A859" s="2" t="s">
        <v>644</v>
      </c>
      <c r="B859" s="5">
        <v>45670</v>
      </c>
      <c r="C859" s="6" t="s">
        <v>54</v>
      </c>
      <c r="D859" s="6" t="s">
        <v>124</v>
      </c>
      <c r="E859" s="6" t="s">
        <v>33</v>
      </c>
      <c r="F859" s="6" t="s">
        <v>43</v>
      </c>
      <c r="G859" s="6" t="s">
        <v>84</v>
      </c>
      <c r="H859" s="2">
        <v>3</v>
      </c>
      <c r="I859" s="2">
        <v>44476.7</v>
      </c>
      <c r="J859" s="2">
        <v>0.05</v>
      </c>
      <c r="K859" s="2">
        <v>126758.6</v>
      </c>
      <c r="L859" s="2">
        <v>94307.21</v>
      </c>
      <c r="M859" s="2">
        <v>32451.39</v>
      </c>
      <c r="N859" s="6" t="s">
        <v>58</v>
      </c>
      <c r="O859" s="6" t="s">
        <v>40</v>
      </c>
    </row>
    <row r="860" spans="1:15" x14ac:dyDescent="0.3">
      <c r="A860" s="2" t="s">
        <v>559</v>
      </c>
      <c r="B860" s="5">
        <v>45710</v>
      </c>
      <c r="C860" s="6" t="s">
        <v>16</v>
      </c>
      <c r="D860" s="6" t="s">
        <v>32</v>
      </c>
      <c r="E860" s="6" t="s">
        <v>18</v>
      </c>
      <c r="F860" s="6" t="s">
        <v>43</v>
      </c>
      <c r="G860" s="6" t="s">
        <v>75</v>
      </c>
      <c r="H860" s="2">
        <v>5</v>
      </c>
      <c r="I860" s="2">
        <v>37840.949999999997</v>
      </c>
      <c r="J860" s="2">
        <v>0.1</v>
      </c>
      <c r="K860" s="2">
        <v>170284.28</v>
      </c>
      <c r="L860" s="2">
        <v>137769.88</v>
      </c>
      <c r="M860" s="2">
        <v>32514.400000000001</v>
      </c>
      <c r="N860" s="6" t="s">
        <v>29</v>
      </c>
      <c r="O860" s="6" t="s">
        <v>59</v>
      </c>
    </row>
    <row r="861" spans="1:15" x14ac:dyDescent="0.3">
      <c r="A861" s="2" t="s">
        <v>1326</v>
      </c>
      <c r="B861" s="5">
        <v>46020</v>
      </c>
      <c r="C861" s="6" t="s">
        <v>16</v>
      </c>
      <c r="D861" s="6" t="s">
        <v>82</v>
      </c>
      <c r="E861" s="6" t="s">
        <v>74</v>
      </c>
      <c r="F861" s="6" t="s">
        <v>34</v>
      </c>
      <c r="G861" s="6" t="s">
        <v>70</v>
      </c>
      <c r="H861" s="2">
        <v>2</v>
      </c>
      <c r="I861" s="2">
        <v>62615.63</v>
      </c>
      <c r="J861" s="2">
        <v>0.15</v>
      </c>
      <c r="K861" s="2">
        <v>106446.57</v>
      </c>
      <c r="L861" s="2">
        <v>73874.47</v>
      </c>
      <c r="M861" s="2">
        <v>32572.1</v>
      </c>
      <c r="N861" s="6" t="s">
        <v>21</v>
      </c>
      <c r="O861" s="6" t="s">
        <v>40</v>
      </c>
    </row>
    <row r="862" spans="1:15" x14ac:dyDescent="0.3">
      <c r="A862" s="2" t="s">
        <v>1334</v>
      </c>
      <c r="B862" s="5">
        <v>45704</v>
      </c>
      <c r="C862" s="6" t="s">
        <v>37</v>
      </c>
      <c r="D862" s="6" t="s">
        <v>38</v>
      </c>
      <c r="E862" s="6" t="s">
        <v>74</v>
      </c>
      <c r="F862" s="6" t="s">
        <v>34</v>
      </c>
      <c r="G862" s="6" t="s">
        <v>57</v>
      </c>
      <c r="H862" s="2">
        <v>5</v>
      </c>
      <c r="I862" s="2">
        <v>21449.85</v>
      </c>
      <c r="J862" s="2">
        <v>0.08</v>
      </c>
      <c r="K862" s="2">
        <v>98669.31</v>
      </c>
      <c r="L862" s="2">
        <v>65630.41</v>
      </c>
      <c r="M862" s="2">
        <v>33038.9</v>
      </c>
      <c r="N862" s="6" t="s">
        <v>58</v>
      </c>
      <c r="O862" s="6" t="s">
        <v>59</v>
      </c>
    </row>
    <row r="863" spans="1:15" x14ac:dyDescent="0.3">
      <c r="A863" s="2" t="s">
        <v>1108</v>
      </c>
      <c r="B863" s="5">
        <v>45678</v>
      </c>
      <c r="C863" s="6" t="s">
        <v>37</v>
      </c>
      <c r="D863" s="6" t="s">
        <v>25</v>
      </c>
      <c r="E863" s="6" t="s">
        <v>49</v>
      </c>
      <c r="F863" s="6" t="s">
        <v>19</v>
      </c>
      <c r="G863" s="6" t="s">
        <v>106</v>
      </c>
      <c r="H863" s="2">
        <v>8</v>
      </c>
      <c r="I863" s="2">
        <v>14805.13</v>
      </c>
      <c r="J863" s="2">
        <v>0.03</v>
      </c>
      <c r="K863" s="2">
        <v>114887.84</v>
      </c>
      <c r="L863" s="2">
        <v>81713.61</v>
      </c>
      <c r="M863" s="2">
        <v>33174.230000000003</v>
      </c>
      <c r="N863" s="6" t="s">
        <v>21</v>
      </c>
      <c r="O863" s="6" t="s">
        <v>30</v>
      </c>
    </row>
    <row r="864" spans="1:15" x14ac:dyDescent="0.3">
      <c r="A864" s="2" t="s">
        <v>240</v>
      </c>
      <c r="B864" s="5">
        <v>46021</v>
      </c>
      <c r="C864" s="6" t="s">
        <v>16</v>
      </c>
      <c r="D864" s="6" t="s">
        <v>52</v>
      </c>
      <c r="E864" s="6" t="s">
        <v>26</v>
      </c>
      <c r="F864" s="6" t="s">
        <v>43</v>
      </c>
      <c r="G864" s="6" t="s">
        <v>91</v>
      </c>
      <c r="H864" s="2">
        <v>4</v>
      </c>
      <c r="I864" s="2">
        <v>48828.71</v>
      </c>
      <c r="J864" s="2">
        <v>0.08</v>
      </c>
      <c r="K864" s="2">
        <v>179689.66</v>
      </c>
      <c r="L864" s="2">
        <v>146468.01999999999</v>
      </c>
      <c r="M864" s="2">
        <v>33221.64</v>
      </c>
      <c r="N864" s="6" t="s">
        <v>58</v>
      </c>
      <c r="O864" s="6" t="s">
        <v>45</v>
      </c>
    </row>
    <row r="865" spans="1:15" x14ac:dyDescent="0.3">
      <c r="A865" s="2" t="s">
        <v>466</v>
      </c>
      <c r="B865" s="5">
        <v>45783</v>
      </c>
      <c r="C865" s="6" t="s">
        <v>37</v>
      </c>
      <c r="D865" s="6" t="s">
        <v>38</v>
      </c>
      <c r="E865" s="6" t="s">
        <v>49</v>
      </c>
      <c r="F865" s="6" t="s">
        <v>34</v>
      </c>
      <c r="G865" s="6" t="s">
        <v>39</v>
      </c>
      <c r="H865" s="2">
        <v>8</v>
      </c>
      <c r="I865" s="2">
        <v>28403.96</v>
      </c>
      <c r="J865" s="2">
        <v>0</v>
      </c>
      <c r="K865" s="2">
        <v>227231.66</v>
      </c>
      <c r="L865" s="2">
        <v>193950.95</v>
      </c>
      <c r="M865" s="2">
        <v>33280.71</v>
      </c>
      <c r="N865" s="6" t="s">
        <v>21</v>
      </c>
      <c r="O865" s="6" t="s">
        <v>40</v>
      </c>
    </row>
    <row r="866" spans="1:15" x14ac:dyDescent="0.3">
      <c r="A866" s="2" t="s">
        <v>195</v>
      </c>
      <c r="B866" s="5">
        <v>45916</v>
      </c>
      <c r="C866" s="6" t="s">
        <v>63</v>
      </c>
      <c r="D866" s="6" t="s">
        <v>95</v>
      </c>
      <c r="E866" s="6" t="s">
        <v>69</v>
      </c>
      <c r="F866" s="6" t="s">
        <v>43</v>
      </c>
      <c r="G866" s="6" t="s">
        <v>75</v>
      </c>
      <c r="H866" s="2">
        <v>3</v>
      </c>
      <c r="I866" s="2">
        <v>34136.800000000003</v>
      </c>
      <c r="J866" s="2">
        <v>0.03</v>
      </c>
      <c r="K866" s="2">
        <v>99338.09</v>
      </c>
      <c r="L866" s="2">
        <v>66034.52</v>
      </c>
      <c r="M866" s="2">
        <v>33303.57</v>
      </c>
      <c r="N866" s="6" t="s">
        <v>58</v>
      </c>
      <c r="O866" s="6" t="s">
        <v>45</v>
      </c>
    </row>
    <row r="867" spans="1:15" x14ac:dyDescent="0.3">
      <c r="A867" s="2" t="s">
        <v>317</v>
      </c>
      <c r="B867" s="5">
        <v>45991</v>
      </c>
      <c r="C867" s="6" t="s">
        <v>37</v>
      </c>
      <c r="D867" s="6" t="s">
        <v>38</v>
      </c>
      <c r="E867" s="6" t="s">
        <v>69</v>
      </c>
      <c r="F867" s="6" t="s">
        <v>43</v>
      </c>
      <c r="G867" s="6" t="s">
        <v>91</v>
      </c>
      <c r="H867" s="2">
        <v>5</v>
      </c>
      <c r="I867" s="2">
        <v>48358.26</v>
      </c>
      <c r="J867" s="2">
        <v>0.05</v>
      </c>
      <c r="K867" s="2">
        <v>229701.73</v>
      </c>
      <c r="L867" s="2">
        <v>196264.53</v>
      </c>
      <c r="M867" s="2">
        <v>33437.199999999997</v>
      </c>
      <c r="N867" s="6" t="s">
        <v>29</v>
      </c>
      <c r="O867" s="6" t="s">
        <v>30</v>
      </c>
    </row>
    <row r="868" spans="1:15" x14ac:dyDescent="0.3">
      <c r="A868" s="2" t="s">
        <v>937</v>
      </c>
      <c r="B868" s="5">
        <v>46018</v>
      </c>
      <c r="C868" s="6" t="s">
        <v>63</v>
      </c>
      <c r="D868" s="6" t="s">
        <v>64</v>
      </c>
      <c r="E868" s="6" t="s">
        <v>49</v>
      </c>
      <c r="F868" s="6" t="s">
        <v>34</v>
      </c>
      <c r="G868" s="6" t="s">
        <v>57</v>
      </c>
      <c r="H868" s="2">
        <v>5</v>
      </c>
      <c r="I868" s="2">
        <v>21722.34</v>
      </c>
      <c r="J868" s="2">
        <v>0.05</v>
      </c>
      <c r="K868" s="2">
        <v>103181.11</v>
      </c>
      <c r="L868" s="2">
        <v>69701.279999999999</v>
      </c>
      <c r="M868" s="2">
        <v>33479.83</v>
      </c>
      <c r="N868" s="6" t="s">
        <v>58</v>
      </c>
      <c r="O868" s="6" t="s">
        <v>59</v>
      </c>
    </row>
    <row r="869" spans="1:15" x14ac:dyDescent="0.3">
      <c r="A869" s="2" t="s">
        <v>1343</v>
      </c>
      <c r="B869" s="5">
        <v>45816</v>
      </c>
      <c r="C869" s="6" t="s">
        <v>63</v>
      </c>
      <c r="D869" s="6" t="s">
        <v>95</v>
      </c>
      <c r="E869" s="6" t="s">
        <v>33</v>
      </c>
      <c r="F869" s="6" t="s">
        <v>34</v>
      </c>
      <c r="G869" s="6" t="s">
        <v>70</v>
      </c>
      <c r="H869" s="2">
        <v>2</v>
      </c>
      <c r="I869" s="2">
        <v>64541.61</v>
      </c>
      <c r="J869" s="2">
        <v>0.1</v>
      </c>
      <c r="K869" s="2">
        <v>116174.91</v>
      </c>
      <c r="L869" s="2">
        <v>82642.990000000005</v>
      </c>
      <c r="M869" s="2">
        <v>33531.919999999998</v>
      </c>
      <c r="N869" s="6" t="s">
        <v>58</v>
      </c>
      <c r="O869" s="6" t="s">
        <v>22</v>
      </c>
    </row>
    <row r="870" spans="1:15" x14ac:dyDescent="0.3">
      <c r="A870" s="2" t="s">
        <v>231</v>
      </c>
      <c r="B870" s="5">
        <v>45939</v>
      </c>
      <c r="C870" s="6" t="s">
        <v>54</v>
      </c>
      <c r="D870" s="6" t="s">
        <v>48</v>
      </c>
      <c r="E870" s="6" t="s">
        <v>49</v>
      </c>
      <c r="F870" s="6" t="s">
        <v>43</v>
      </c>
      <c r="G870" s="6" t="s">
        <v>91</v>
      </c>
      <c r="H870" s="2">
        <v>2</v>
      </c>
      <c r="I870" s="2">
        <v>51737.8</v>
      </c>
      <c r="J870" s="2">
        <v>0</v>
      </c>
      <c r="K870" s="2">
        <v>103475.6</v>
      </c>
      <c r="L870" s="2">
        <v>69894.81</v>
      </c>
      <c r="M870" s="2">
        <v>33580.79</v>
      </c>
      <c r="N870" s="6" t="s">
        <v>21</v>
      </c>
      <c r="O870" s="6" t="s">
        <v>22</v>
      </c>
    </row>
    <row r="871" spans="1:15" x14ac:dyDescent="0.3">
      <c r="A871" s="2" t="s">
        <v>147</v>
      </c>
      <c r="B871" s="5">
        <v>45725</v>
      </c>
      <c r="C871" s="6" t="s">
        <v>37</v>
      </c>
      <c r="D871" s="6" t="s">
        <v>38</v>
      </c>
      <c r="E871" s="6" t="s">
        <v>56</v>
      </c>
      <c r="F871" s="6" t="s">
        <v>27</v>
      </c>
      <c r="G871" s="6" t="s">
        <v>28</v>
      </c>
      <c r="H871" s="2">
        <v>6</v>
      </c>
      <c r="I871" s="2">
        <v>26296.53</v>
      </c>
      <c r="J871" s="2">
        <v>0.1</v>
      </c>
      <c r="K871" s="2">
        <v>142001.29</v>
      </c>
      <c r="L871" s="2">
        <v>108270.61</v>
      </c>
      <c r="M871" s="2">
        <v>33730.68</v>
      </c>
      <c r="N871" s="6" t="s">
        <v>21</v>
      </c>
      <c r="O871" s="6" t="s">
        <v>30</v>
      </c>
    </row>
    <row r="872" spans="1:15" x14ac:dyDescent="0.3">
      <c r="A872" s="2" t="s">
        <v>632</v>
      </c>
      <c r="B872" s="5">
        <v>45680</v>
      </c>
      <c r="C872" s="6" t="s">
        <v>16</v>
      </c>
      <c r="D872" s="6" t="s">
        <v>32</v>
      </c>
      <c r="E872" s="6" t="s">
        <v>65</v>
      </c>
      <c r="F872" s="6" t="s">
        <v>34</v>
      </c>
      <c r="G872" s="6" t="s">
        <v>57</v>
      </c>
      <c r="H872" s="2">
        <v>5</v>
      </c>
      <c r="I872" s="2">
        <v>20880</v>
      </c>
      <c r="J872" s="2">
        <v>0.05</v>
      </c>
      <c r="K872" s="2">
        <v>99179.99</v>
      </c>
      <c r="L872" s="2">
        <v>65431.02</v>
      </c>
      <c r="M872" s="2">
        <v>33748.97</v>
      </c>
      <c r="N872" s="6" t="s">
        <v>58</v>
      </c>
      <c r="O872" s="6" t="s">
        <v>30</v>
      </c>
    </row>
    <row r="873" spans="1:15" x14ac:dyDescent="0.3">
      <c r="A873" s="2" t="s">
        <v>1128</v>
      </c>
      <c r="B873" s="5">
        <v>45806</v>
      </c>
      <c r="C873" s="6" t="s">
        <v>63</v>
      </c>
      <c r="D873" s="6" t="s">
        <v>88</v>
      </c>
      <c r="E873" s="6" t="s">
        <v>33</v>
      </c>
      <c r="F873" s="6" t="s">
        <v>19</v>
      </c>
      <c r="G873" s="6" t="s">
        <v>108</v>
      </c>
      <c r="H873" s="2">
        <v>8</v>
      </c>
      <c r="I873" s="2">
        <v>14571.99</v>
      </c>
      <c r="J873" s="2">
        <v>0</v>
      </c>
      <c r="K873" s="2">
        <v>116575.92</v>
      </c>
      <c r="L873" s="2">
        <v>82807.72</v>
      </c>
      <c r="M873" s="2">
        <v>33768.199999999997</v>
      </c>
      <c r="N873" s="6" t="s">
        <v>21</v>
      </c>
      <c r="O873" s="6" t="s">
        <v>22</v>
      </c>
    </row>
    <row r="874" spans="1:15" x14ac:dyDescent="0.3">
      <c r="A874" s="2" t="s">
        <v>1264</v>
      </c>
      <c r="B874" s="5">
        <v>45837</v>
      </c>
      <c r="C874" s="6" t="s">
        <v>37</v>
      </c>
      <c r="D874" s="6" t="s">
        <v>68</v>
      </c>
      <c r="E874" s="6" t="s">
        <v>33</v>
      </c>
      <c r="F874" s="6" t="s">
        <v>34</v>
      </c>
      <c r="G874" s="6" t="s">
        <v>57</v>
      </c>
      <c r="H874" s="2">
        <v>7</v>
      </c>
      <c r="I874" s="2">
        <v>21339.67</v>
      </c>
      <c r="J874" s="2">
        <v>0.05</v>
      </c>
      <c r="K874" s="2">
        <v>141908.79999999999</v>
      </c>
      <c r="L874" s="2">
        <v>108035.49</v>
      </c>
      <c r="M874" s="2">
        <v>33873.31</v>
      </c>
      <c r="N874" s="6" t="s">
        <v>29</v>
      </c>
      <c r="O874" s="6" t="s">
        <v>40</v>
      </c>
    </row>
    <row r="875" spans="1:15" x14ac:dyDescent="0.3">
      <c r="A875" s="2" t="s">
        <v>481</v>
      </c>
      <c r="B875" s="5">
        <v>45998</v>
      </c>
      <c r="C875" s="6" t="s">
        <v>63</v>
      </c>
      <c r="D875" s="6" t="s">
        <v>117</v>
      </c>
      <c r="E875" s="6" t="s">
        <v>74</v>
      </c>
      <c r="F875" s="6" t="s">
        <v>34</v>
      </c>
      <c r="G875" s="6" t="s">
        <v>57</v>
      </c>
      <c r="H875" s="2">
        <v>7</v>
      </c>
      <c r="I875" s="2">
        <v>22960.16</v>
      </c>
      <c r="J875" s="2">
        <v>0.03</v>
      </c>
      <c r="K875" s="2">
        <v>155899.46</v>
      </c>
      <c r="L875" s="2">
        <v>122002.92</v>
      </c>
      <c r="M875" s="2">
        <v>33896.54</v>
      </c>
      <c r="N875" s="6" t="s">
        <v>58</v>
      </c>
      <c r="O875" s="6" t="s">
        <v>59</v>
      </c>
    </row>
    <row r="876" spans="1:15" x14ac:dyDescent="0.3">
      <c r="A876" s="2" t="s">
        <v>913</v>
      </c>
      <c r="B876" s="5">
        <v>45894</v>
      </c>
      <c r="C876" s="6" t="s">
        <v>16</v>
      </c>
      <c r="D876" s="6" t="s">
        <v>17</v>
      </c>
      <c r="E876" s="6" t="s">
        <v>26</v>
      </c>
      <c r="F876" s="6" t="s">
        <v>34</v>
      </c>
      <c r="G876" s="6" t="s">
        <v>57</v>
      </c>
      <c r="H876" s="2">
        <v>5</v>
      </c>
      <c r="I876" s="2">
        <v>22589.08</v>
      </c>
      <c r="J876" s="2">
        <v>0</v>
      </c>
      <c r="K876" s="2">
        <v>112945.38</v>
      </c>
      <c r="L876" s="2">
        <v>78879.839999999997</v>
      </c>
      <c r="M876" s="2">
        <v>34065.54</v>
      </c>
      <c r="N876" s="6" t="s">
        <v>21</v>
      </c>
      <c r="O876" s="6" t="s">
        <v>22</v>
      </c>
    </row>
    <row r="877" spans="1:15" x14ac:dyDescent="0.3">
      <c r="A877" s="2" t="s">
        <v>1099</v>
      </c>
      <c r="B877" s="5">
        <v>45763</v>
      </c>
      <c r="C877" s="6" t="s">
        <v>16</v>
      </c>
      <c r="D877" s="6" t="s">
        <v>32</v>
      </c>
      <c r="E877" s="6" t="s">
        <v>56</v>
      </c>
      <c r="F877" s="6" t="s">
        <v>43</v>
      </c>
      <c r="G877" s="6" t="s">
        <v>91</v>
      </c>
      <c r="H877" s="2">
        <v>4</v>
      </c>
      <c r="I877" s="2">
        <v>48039.66</v>
      </c>
      <c r="J877" s="2">
        <v>0.05</v>
      </c>
      <c r="K877" s="2">
        <v>182550.71</v>
      </c>
      <c r="L877" s="2">
        <v>148475.68</v>
      </c>
      <c r="M877" s="2">
        <v>34075.03</v>
      </c>
      <c r="N877" s="6" t="s">
        <v>29</v>
      </c>
      <c r="O877" s="6" t="s">
        <v>59</v>
      </c>
    </row>
    <row r="878" spans="1:15" x14ac:dyDescent="0.3">
      <c r="A878" s="2" t="s">
        <v>931</v>
      </c>
      <c r="B878" s="5">
        <v>45973</v>
      </c>
      <c r="C878" s="6" t="s">
        <v>16</v>
      </c>
      <c r="D878" s="6" t="s">
        <v>32</v>
      </c>
      <c r="E878" s="6" t="s">
        <v>49</v>
      </c>
      <c r="F878" s="6" t="s">
        <v>34</v>
      </c>
      <c r="G878" s="6" t="s">
        <v>39</v>
      </c>
      <c r="H878" s="2">
        <v>4</v>
      </c>
      <c r="I878" s="2">
        <v>31653.13</v>
      </c>
      <c r="J878" s="2">
        <v>0.03</v>
      </c>
      <c r="K878" s="2">
        <v>122814.15</v>
      </c>
      <c r="L878" s="2">
        <v>88383.360000000001</v>
      </c>
      <c r="M878" s="2">
        <v>34430.79</v>
      </c>
      <c r="N878" s="6" t="s">
        <v>29</v>
      </c>
      <c r="O878" s="6" t="s">
        <v>30</v>
      </c>
    </row>
    <row r="879" spans="1:15" x14ac:dyDescent="0.3">
      <c r="A879" s="2" t="s">
        <v>387</v>
      </c>
      <c r="B879" s="5">
        <v>45798</v>
      </c>
      <c r="C879" s="6" t="s">
        <v>37</v>
      </c>
      <c r="D879" s="6" t="s">
        <v>25</v>
      </c>
      <c r="E879" s="6" t="s">
        <v>49</v>
      </c>
      <c r="F879" s="6" t="s">
        <v>34</v>
      </c>
      <c r="G879" s="6" t="s">
        <v>57</v>
      </c>
      <c r="H879" s="2">
        <v>6</v>
      </c>
      <c r="I879" s="2">
        <v>21749.03</v>
      </c>
      <c r="J879" s="2">
        <v>0</v>
      </c>
      <c r="K879" s="2">
        <v>130494.19</v>
      </c>
      <c r="L879" s="2">
        <v>95967.21</v>
      </c>
      <c r="M879" s="2">
        <v>34526.980000000003</v>
      </c>
      <c r="N879" s="6" t="s">
        <v>21</v>
      </c>
      <c r="O879" s="6" t="s">
        <v>40</v>
      </c>
    </row>
    <row r="880" spans="1:15" x14ac:dyDescent="0.3">
      <c r="A880" s="2" t="s">
        <v>375</v>
      </c>
      <c r="B880" s="5">
        <v>45852</v>
      </c>
      <c r="C880" s="6" t="s">
        <v>37</v>
      </c>
      <c r="D880" s="6" t="s">
        <v>38</v>
      </c>
      <c r="E880" s="6" t="s">
        <v>26</v>
      </c>
      <c r="F880" s="6" t="s">
        <v>19</v>
      </c>
      <c r="G880" s="6" t="s">
        <v>108</v>
      </c>
      <c r="H880" s="2">
        <v>8</v>
      </c>
      <c r="I880" s="2">
        <v>14899.19</v>
      </c>
      <c r="J880" s="2">
        <v>0.05</v>
      </c>
      <c r="K880" s="2">
        <v>113233.84</v>
      </c>
      <c r="L880" s="2">
        <v>78437.06</v>
      </c>
      <c r="M880" s="2">
        <v>34796.78</v>
      </c>
      <c r="N880" s="6" t="s">
        <v>58</v>
      </c>
      <c r="O880" s="6" t="s">
        <v>45</v>
      </c>
    </row>
    <row r="881" spans="1:15" x14ac:dyDescent="0.3">
      <c r="A881" s="2" t="s">
        <v>619</v>
      </c>
      <c r="B881" s="5">
        <v>45844</v>
      </c>
      <c r="C881" s="6" t="s">
        <v>37</v>
      </c>
      <c r="D881" s="6" t="s">
        <v>25</v>
      </c>
      <c r="E881" s="6" t="s">
        <v>69</v>
      </c>
      <c r="F881" s="6" t="s">
        <v>19</v>
      </c>
      <c r="G881" s="6" t="s">
        <v>108</v>
      </c>
      <c r="H881" s="2">
        <v>8</v>
      </c>
      <c r="I881" s="2">
        <v>14670</v>
      </c>
      <c r="J881" s="2">
        <v>0.1</v>
      </c>
      <c r="K881" s="2">
        <v>105624.03</v>
      </c>
      <c r="L881" s="2">
        <v>70660.47</v>
      </c>
      <c r="M881" s="2">
        <v>34963.56</v>
      </c>
      <c r="N881" s="6" t="s">
        <v>58</v>
      </c>
      <c r="O881" s="6" t="s">
        <v>59</v>
      </c>
    </row>
    <row r="882" spans="1:15" x14ac:dyDescent="0.3">
      <c r="A882" s="2" t="s">
        <v>810</v>
      </c>
      <c r="B882" s="5">
        <v>45790</v>
      </c>
      <c r="C882" s="6" t="s">
        <v>16</v>
      </c>
      <c r="D882" s="6" t="s">
        <v>17</v>
      </c>
      <c r="E882" s="6" t="s">
        <v>26</v>
      </c>
      <c r="F882" s="6" t="s">
        <v>43</v>
      </c>
      <c r="G882" s="6" t="s">
        <v>91</v>
      </c>
      <c r="H882" s="2">
        <v>2</v>
      </c>
      <c r="I882" s="2">
        <v>48162.61</v>
      </c>
      <c r="J882" s="2">
        <v>0</v>
      </c>
      <c r="K882" s="2">
        <v>96325.23</v>
      </c>
      <c r="L882" s="2">
        <v>61237.7</v>
      </c>
      <c r="M882" s="2">
        <v>35087.53</v>
      </c>
      <c r="N882" s="6" t="s">
        <v>21</v>
      </c>
      <c r="O882" s="6" t="s">
        <v>59</v>
      </c>
    </row>
    <row r="883" spans="1:15" x14ac:dyDescent="0.3">
      <c r="A883" s="2" t="s">
        <v>36</v>
      </c>
      <c r="B883" s="5">
        <v>46003</v>
      </c>
      <c r="C883" s="6" t="s">
        <v>37</v>
      </c>
      <c r="D883" s="6" t="s">
        <v>38</v>
      </c>
      <c r="E883" s="6" t="s">
        <v>18</v>
      </c>
      <c r="F883" s="6" t="s">
        <v>34</v>
      </c>
      <c r="G883" s="6" t="s">
        <v>39</v>
      </c>
      <c r="H883" s="2">
        <v>4</v>
      </c>
      <c r="I883" s="2">
        <v>32122.57</v>
      </c>
      <c r="J883" s="2">
        <v>0.05</v>
      </c>
      <c r="K883" s="2">
        <v>122065.76</v>
      </c>
      <c r="L883" s="2">
        <v>86971.85</v>
      </c>
      <c r="M883" s="2">
        <v>35093.910000000003</v>
      </c>
      <c r="N883" s="6" t="s">
        <v>21</v>
      </c>
      <c r="O883" s="6" t="s">
        <v>40</v>
      </c>
    </row>
    <row r="884" spans="1:15" x14ac:dyDescent="0.3">
      <c r="A884" s="2" t="s">
        <v>1037</v>
      </c>
      <c r="B884" s="5">
        <v>45913</v>
      </c>
      <c r="C884" s="6" t="s">
        <v>37</v>
      </c>
      <c r="D884" s="6" t="s">
        <v>38</v>
      </c>
      <c r="E884" s="6" t="s">
        <v>65</v>
      </c>
      <c r="F884" s="6" t="s">
        <v>34</v>
      </c>
      <c r="G884" s="6" t="s">
        <v>39</v>
      </c>
      <c r="H884" s="2">
        <v>5</v>
      </c>
      <c r="I884" s="2">
        <v>32230.19</v>
      </c>
      <c r="J884" s="2">
        <v>0.05</v>
      </c>
      <c r="K884" s="2">
        <v>153093.4</v>
      </c>
      <c r="L884" s="2">
        <v>117975.83</v>
      </c>
      <c r="M884" s="2">
        <v>35117.57</v>
      </c>
      <c r="N884" s="6" t="s">
        <v>29</v>
      </c>
      <c r="O884" s="6" t="s">
        <v>59</v>
      </c>
    </row>
    <row r="885" spans="1:15" x14ac:dyDescent="0.3">
      <c r="A885" s="2" t="s">
        <v>1187</v>
      </c>
      <c r="B885" s="5">
        <v>45870</v>
      </c>
      <c r="C885" s="6" t="s">
        <v>54</v>
      </c>
      <c r="D885" s="6" t="s">
        <v>124</v>
      </c>
      <c r="E885" s="6" t="s">
        <v>65</v>
      </c>
      <c r="F885" s="6" t="s">
        <v>43</v>
      </c>
      <c r="G885" s="6" t="s">
        <v>84</v>
      </c>
      <c r="H885" s="2">
        <v>3</v>
      </c>
      <c r="I885" s="2">
        <v>42720.58</v>
      </c>
      <c r="J885" s="2">
        <v>0.05</v>
      </c>
      <c r="K885" s="2">
        <v>121753.66</v>
      </c>
      <c r="L885" s="2">
        <v>86580.42</v>
      </c>
      <c r="M885" s="2">
        <v>35173.24</v>
      </c>
      <c r="N885" s="6" t="s">
        <v>21</v>
      </c>
      <c r="O885" s="6" t="s">
        <v>22</v>
      </c>
    </row>
    <row r="886" spans="1:15" x14ac:dyDescent="0.3">
      <c r="A886" s="2" t="s">
        <v>1109</v>
      </c>
      <c r="B886" s="5">
        <v>45772</v>
      </c>
      <c r="C886" s="6" t="s">
        <v>16</v>
      </c>
      <c r="D886" s="6" t="s">
        <v>52</v>
      </c>
      <c r="E886" s="6" t="s">
        <v>33</v>
      </c>
      <c r="F886" s="6" t="s">
        <v>34</v>
      </c>
      <c r="G886" s="6" t="s">
        <v>70</v>
      </c>
      <c r="H886" s="2">
        <v>4</v>
      </c>
      <c r="I886" s="2">
        <v>64864.97</v>
      </c>
      <c r="J886" s="2">
        <v>0.1</v>
      </c>
      <c r="K886" s="2">
        <v>233513.88</v>
      </c>
      <c r="L886" s="2">
        <v>198279.67999999999</v>
      </c>
      <c r="M886" s="2">
        <v>35234.199999999997</v>
      </c>
      <c r="N886" s="6" t="s">
        <v>58</v>
      </c>
      <c r="O886" s="6" t="s">
        <v>45</v>
      </c>
    </row>
    <row r="887" spans="1:15" x14ac:dyDescent="0.3">
      <c r="A887" s="2" t="s">
        <v>768</v>
      </c>
      <c r="B887" s="5">
        <v>45996</v>
      </c>
      <c r="C887" s="6" t="s">
        <v>37</v>
      </c>
      <c r="D887" s="6" t="s">
        <v>38</v>
      </c>
      <c r="E887" s="6" t="s">
        <v>49</v>
      </c>
      <c r="F887" s="6" t="s">
        <v>43</v>
      </c>
      <c r="G887" s="6" t="s">
        <v>91</v>
      </c>
      <c r="H887" s="2">
        <v>5</v>
      </c>
      <c r="I887" s="2">
        <v>49329.5</v>
      </c>
      <c r="J887" s="2">
        <v>0.15</v>
      </c>
      <c r="K887" s="2">
        <v>209650.35</v>
      </c>
      <c r="L887" s="2">
        <v>174403.42</v>
      </c>
      <c r="M887" s="2">
        <v>35246.93</v>
      </c>
      <c r="N887" s="6" t="s">
        <v>58</v>
      </c>
      <c r="O887" s="6" t="s">
        <v>22</v>
      </c>
    </row>
    <row r="888" spans="1:15" x14ac:dyDescent="0.3">
      <c r="A888" s="2" t="s">
        <v>77</v>
      </c>
      <c r="B888" s="5">
        <v>45738</v>
      </c>
      <c r="C888" s="6" t="s">
        <v>16</v>
      </c>
      <c r="D888" s="6" t="s">
        <v>52</v>
      </c>
      <c r="E888" s="6" t="s">
        <v>56</v>
      </c>
      <c r="F888" s="6" t="s">
        <v>34</v>
      </c>
      <c r="G888" s="6" t="s">
        <v>35</v>
      </c>
      <c r="H888" s="2">
        <v>6</v>
      </c>
      <c r="I888" s="2">
        <v>18565.36</v>
      </c>
      <c r="J888" s="2">
        <v>0.08</v>
      </c>
      <c r="K888" s="2">
        <v>102480.77</v>
      </c>
      <c r="L888" s="2">
        <v>67180.33</v>
      </c>
      <c r="M888" s="2">
        <v>35300.44</v>
      </c>
      <c r="N888" s="6" t="s">
        <v>21</v>
      </c>
      <c r="O888" s="6" t="s">
        <v>59</v>
      </c>
    </row>
    <row r="889" spans="1:15" x14ac:dyDescent="0.3">
      <c r="A889" s="2" t="s">
        <v>263</v>
      </c>
      <c r="B889" s="5">
        <v>45847</v>
      </c>
      <c r="C889" s="6" t="s">
        <v>37</v>
      </c>
      <c r="D889" s="6" t="s">
        <v>25</v>
      </c>
      <c r="E889" s="6" t="s">
        <v>69</v>
      </c>
      <c r="F889" s="6" t="s">
        <v>19</v>
      </c>
      <c r="G889" s="6" t="s">
        <v>108</v>
      </c>
      <c r="H889" s="2">
        <v>7</v>
      </c>
      <c r="I889" s="2">
        <v>14374.03</v>
      </c>
      <c r="J889" s="2">
        <v>0</v>
      </c>
      <c r="K889" s="2">
        <v>100618.23</v>
      </c>
      <c r="L889" s="2">
        <v>65314.55</v>
      </c>
      <c r="M889" s="2">
        <v>35303.68</v>
      </c>
      <c r="N889" s="6" t="s">
        <v>21</v>
      </c>
      <c r="O889" s="6" t="s">
        <v>40</v>
      </c>
    </row>
    <row r="890" spans="1:15" x14ac:dyDescent="0.3">
      <c r="A890" s="2" t="s">
        <v>1278</v>
      </c>
      <c r="B890" s="5">
        <v>45943</v>
      </c>
      <c r="C890" s="6" t="s">
        <v>16</v>
      </c>
      <c r="D890" s="6" t="s">
        <v>17</v>
      </c>
      <c r="E890" s="6" t="s">
        <v>18</v>
      </c>
      <c r="F890" s="6" t="s">
        <v>34</v>
      </c>
      <c r="G890" s="6" t="s">
        <v>39</v>
      </c>
      <c r="H890" s="2">
        <v>4</v>
      </c>
      <c r="I890" s="2">
        <v>28011.02</v>
      </c>
      <c r="J890" s="2">
        <v>0</v>
      </c>
      <c r="K890" s="2">
        <v>112044.08</v>
      </c>
      <c r="L890" s="2">
        <v>76655.98</v>
      </c>
      <c r="M890" s="2">
        <v>35388.1</v>
      </c>
      <c r="N890" s="6" t="s">
        <v>21</v>
      </c>
      <c r="O890" s="6" t="s">
        <v>40</v>
      </c>
    </row>
    <row r="891" spans="1:15" x14ac:dyDescent="0.3">
      <c r="A891" s="2" t="s">
        <v>718</v>
      </c>
      <c r="B891" s="5">
        <v>45888</v>
      </c>
      <c r="C891" s="6" t="s">
        <v>37</v>
      </c>
      <c r="D891" s="6" t="s">
        <v>68</v>
      </c>
      <c r="E891" s="6" t="s">
        <v>74</v>
      </c>
      <c r="F891" s="6" t="s">
        <v>34</v>
      </c>
      <c r="G891" s="6" t="s">
        <v>39</v>
      </c>
      <c r="H891" s="2">
        <v>6</v>
      </c>
      <c r="I891" s="2">
        <v>29610.86</v>
      </c>
      <c r="J891" s="2">
        <v>0.05</v>
      </c>
      <c r="K891" s="2">
        <v>168781.9</v>
      </c>
      <c r="L891" s="2">
        <v>133363.26</v>
      </c>
      <c r="M891" s="2">
        <v>35418.639999999999</v>
      </c>
      <c r="N891" s="6" t="s">
        <v>58</v>
      </c>
      <c r="O891" s="6" t="s">
        <v>30</v>
      </c>
    </row>
    <row r="892" spans="1:15" x14ac:dyDescent="0.3">
      <c r="A892" s="2" t="s">
        <v>870</v>
      </c>
      <c r="B892" s="5">
        <v>45813</v>
      </c>
      <c r="C892" s="6" t="s">
        <v>63</v>
      </c>
      <c r="D892" s="6" t="s">
        <v>88</v>
      </c>
      <c r="E892" s="6" t="s">
        <v>33</v>
      </c>
      <c r="F892" s="6" t="s">
        <v>43</v>
      </c>
      <c r="G892" s="6" t="s">
        <v>84</v>
      </c>
      <c r="H892" s="2">
        <v>5</v>
      </c>
      <c r="I892" s="2">
        <v>43778.400000000001</v>
      </c>
      <c r="J892" s="2">
        <v>0.03</v>
      </c>
      <c r="K892" s="2">
        <v>212325.26</v>
      </c>
      <c r="L892" s="2">
        <v>176872.46</v>
      </c>
      <c r="M892" s="2">
        <v>35452.800000000003</v>
      </c>
      <c r="N892" s="6" t="s">
        <v>29</v>
      </c>
      <c r="O892" s="6" t="s">
        <v>22</v>
      </c>
    </row>
    <row r="893" spans="1:15" x14ac:dyDescent="0.3">
      <c r="A893" s="2" t="s">
        <v>600</v>
      </c>
      <c r="B893" s="5">
        <v>45878</v>
      </c>
      <c r="C893" s="6" t="s">
        <v>16</v>
      </c>
      <c r="D893" s="6" t="s">
        <v>17</v>
      </c>
      <c r="E893" s="6" t="s">
        <v>33</v>
      </c>
      <c r="F893" s="6" t="s">
        <v>34</v>
      </c>
      <c r="G893" s="6" t="s">
        <v>35</v>
      </c>
      <c r="H893" s="2">
        <v>6</v>
      </c>
      <c r="I893" s="2">
        <v>18990.37</v>
      </c>
      <c r="J893" s="2">
        <v>0.08</v>
      </c>
      <c r="K893" s="2">
        <v>104826.86</v>
      </c>
      <c r="L893" s="2">
        <v>69214.61</v>
      </c>
      <c r="M893" s="2">
        <v>35612.25</v>
      </c>
      <c r="N893" s="6" t="s">
        <v>21</v>
      </c>
      <c r="O893" s="6" t="s">
        <v>59</v>
      </c>
    </row>
    <row r="894" spans="1:15" x14ac:dyDescent="0.3">
      <c r="A894" s="2" t="s">
        <v>983</v>
      </c>
      <c r="B894" s="5">
        <v>45752</v>
      </c>
      <c r="C894" s="6" t="s">
        <v>16</v>
      </c>
      <c r="D894" s="6" t="s">
        <v>52</v>
      </c>
      <c r="E894" s="6" t="s">
        <v>69</v>
      </c>
      <c r="F894" s="6" t="s">
        <v>34</v>
      </c>
      <c r="G894" s="6" t="s">
        <v>39</v>
      </c>
      <c r="H894" s="2">
        <v>5</v>
      </c>
      <c r="I894" s="2">
        <v>30099.15</v>
      </c>
      <c r="J894" s="2">
        <v>0.08</v>
      </c>
      <c r="K894" s="2">
        <v>138456.07</v>
      </c>
      <c r="L894" s="2">
        <v>102781</v>
      </c>
      <c r="M894" s="2">
        <v>35675.07</v>
      </c>
      <c r="N894" s="6" t="s">
        <v>21</v>
      </c>
      <c r="O894" s="6" t="s">
        <v>45</v>
      </c>
    </row>
    <row r="895" spans="1:15" x14ac:dyDescent="0.3">
      <c r="A895" s="2" t="s">
        <v>640</v>
      </c>
      <c r="B895" s="5">
        <v>45802</v>
      </c>
      <c r="C895" s="6" t="s">
        <v>16</v>
      </c>
      <c r="D895" s="6" t="s">
        <v>52</v>
      </c>
      <c r="E895" s="6" t="s">
        <v>74</v>
      </c>
      <c r="F895" s="6" t="s">
        <v>34</v>
      </c>
      <c r="G895" s="6" t="s">
        <v>35</v>
      </c>
      <c r="H895" s="2">
        <v>6</v>
      </c>
      <c r="I895" s="2">
        <v>17528.61</v>
      </c>
      <c r="J895" s="2">
        <v>0.1</v>
      </c>
      <c r="K895" s="2">
        <v>94654.5</v>
      </c>
      <c r="L895" s="2">
        <v>58958.46</v>
      </c>
      <c r="M895" s="2">
        <v>35696.04</v>
      </c>
      <c r="N895" s="6" t="s">
        <v>29</v>
      </c>
      <c r="O895" s="6" t="s">
        <v>22</v>
      </c>
    </row>
    <row r="896" spans="1:15" x14ac:dyDescent="0.3">
      <c r="A896" s="2" t="s">
        <v>684</v>
      </c>
      <c r="B896" s="5">
        <v>45677</v>
      </c>
      <c r="C896" s="6" t="s">
        <v>1356</v>
      </c>
      <c r="D896" s="6" t="s">
        <v>117</v>
      </c>
      <c r="E896" s="6" t="s">
        <v>69</v>
      </c>
      <c r="F896" s="6" t="s">
        <v>34</v>
      </c>
      <c r="G896" s="6" t="s">
        <v>57</v>
      </c>
      <c r="H896" s="2">
        <v>5</v>
      </c>
      <c r="I896" s="2">
        <v>21971.85</v>
      </c>
      <c r="J896" s="2">
        <v>0.03</v>
      </c>
      <c r="K896" s="2">
        <v>106563.45</v>
      </c>
      <c r="L896" s="2">
        <v>70717.98</v>
      </c>
      <c r="M896" s="2">
        <v>35845.47</v>
      </c>
      <c r="N896" s="6" t="s">
        <v>21</v>
      </c>
      <c r="O896" s="6" t="s">
        <v>59</v>
      </c>
    </row>
    <row r="897" spans="1:15" x14ac:dyDescent="0.3">
      <c r="A897" s="2" t="s">
        <v>765</v>
      </c>
      <c r="B897" s="5">
        <v>45920</v>
      </c>
      <c r="C897" s="6" t="s">
        <v>37</v>
      </c>
      <c r="D897" s="6" t="s">
        <v>42</v>
      </c>
      <c r="E897" s="6" t="s">
        <v>18</v>
      </c>
      <c r="F897" s="6" t="s">
        <v>43</v>
      </c>
      <c r="G897" s="6" t="s">
        <v>75</v>
      </c>
      <c r="H897" s="2">
        <v>4</v>
      </c>
      <c r="I897" s="2">
        <v>34036.76</v>
      </c>
      <c r="J897" s="2">
        <v>0.05</v>
      </c>
      <c r="K897" s="2">
        <v>129339.67</v>
      </c>
      <c r="L897" s="2">
        <v>93211.94</v>
      </c>
      <c r="M897" s="2">
        <v>36127.730000000003</v>
      </c>
      <c r="N897" s="6" t="s">
        <v>29</v>
      </c>
      <c r="O897" s="6" t="s">
        <v>59</v>
      </c>
    </row>
    <row r="898" spans="1:15" x14ac:dyDescent="0.3">
      <c r="A898" s="2" t="s">
        <v>468</v>
      </c>
      <c r="B898" s="5">
        <v>45849</v>
      </c>
      <c r="C898" s="6" t="s">
        <v>37</v>
      </c>
      <c r="D898" s="6" t="s">
        <v>25</v>
      </c>
      <c r="E898" s="6" t="s">
        <v>49</v>
      </c>
      <c r="F898" s="6" t="s">
        <v>34</v>
      </c>
      <c r="G898" s="6" t="s">
        <v>39</v>
      </c>
      <c r="H898" s="2">
        <v>7</v>
      </c>
      <c r="I898" s="2">
        <v>29051.61</v>
      </c>
      <c r="J898" s="2">
        <v>0.05</v>
      </c>
      <c r="K898" s="2">
        <v>193193.23</v>
      </c>
      <c r="L898" s="2">
        <v>157049.32</v>
      </c>
      <c r="M898" s="2">
        <v>36143.910000000003</v>
      </c>
      <c r="N898" s="6" t="s">
        <v>29</v>
      </c>
      <c r="O898" s="6" t="s">
        <v>22</v>
      </c>
    </row>
    <row r="899" spans="1:15" x14ac:dyDescent="0.3">
      <c r="A899" s="2" t="s">
        <v>676</v>
      </c>
      <c r="B899" s="5">
        <v>45909</v>
      </c>
      <c r="C899" s="6" t="s">
        <v>54</v>
      </c>
      <c r="D899" s="6" t="s">
        <v>48</v>
      </c>
      <c r="E899" s="6" t="s">
        <v>33</v>
      </c>
      <c r="F899" s="6" t="s">
        <v>43</v>
      </c>
      <c r="G899" s="6" t="s">
        <v>91</v>
      </c>
      <c r="H899" s="2">
        <v>2</v>
      </c>
      <c r="I899" s="2">
        <v>50199.03</v>
      </c>
      <c r="J899" s="2">
        <v>0.05</v>
      </c>
      <c r="K899" s="2">
        <v>95378.15</v>
      </c>
      <c r="L899" s="2">
        <v>59196.44</v>
      </c>
      <c r="M899" s="2">
        <v>36181.71</v>
      </c>
      <c r="N899" s="6" t="s">
        <v>21</v>
      </c>
      <c r="O899" s="6" t="s">
        <v>59</v>
      </c>
    </row>
    <row r="900" spans="1:15" x14ac:dyDescent="0.3">
      <c r="A900" s="2" t="s">
        <v>1155</v>
      </c>
      <c r="B900" s="5">
        <v>45714</v>
      </c>
      <c r="C900" s="6" t="s">
        <v>63</v>
      </c>
      <c r="D900" s="6" t="s">
        <v>95</v>
      </c>
      <c r="E900" s="6" t="s">
        <v>18</v>
      </c>
      <c r="F900" s="6" t="s">
        <v>43</v>
      </c>
      <c r="G900" s="6" t="s">
        <v>91</v>
      </c>
      <c r="H900" s="2">
        <v>5</v>
      </c>
      <c r="I900" s="2">
        <v>51301.96</v>
      </c>
      <c r="J900" s="2">
        <v>0.05</v>
      </c>
      <c r="K900" s="2">
        <v>243684.29</v>
      </c>
      <c r="L900" s="2">
        <v>207432.9</v>
      </c>
      <c r="M900" s="2">
        <v>36251.39</v>
      </c>
      <c r="N900" s="6" t="s">
        <v>21</v>
      </c>
      <c r="O900" s="6" t="s">
        <v>40</v>
      </c>
    </row>
    <row r="901" spans="1:15" x14ac:dyDescent="0.3">
      <c r="A901" s="2" t="s">
        <v>924</v>
      </c>
      <c r="B901" s="5">
        <v>45957</v>
      </c>
      <c r="C901" s="6" t="s">
        <v>16</v>
      </c>
      <c r="D901" s="6" t="s">
        <v>32</v>
      </c>
      <c r="E901" s="6" t="s">
        <v>74</v>
      </c>
      <c r="F901" s="6" t="s">
        <v>43</v>
      </c>
      <c r="G901" s="6" t="s">
        <v>75</v>
      </c>
      <c r="H901" s="2">
        <v>3</v>
      </c>
      <c r="I901" s="2">
        <v>37307.39</v>
      </c>
      <c r="J901" s="2">
        <v>0.05</v>
      </c>
      <c r="K901" s="2">
        <v>106326.07</v>
      </c>
      <c r="L901" s="2">
        <v>70069.279999999999</v>
      </c>
      <c r="M901" s="2">
        <v>36256.79</v>
      </c>
      <c r="N901" s="6" t="s">
        <v>21</v>
      </c>
      <c r="O901" s="6" t="s">
        <v>59</v>
      </c>
    </row>
    <row r="902" spans="1:15" x14ac:dyDescent="0.3">
      <c r="A902" s="2" t="s">
        <v>1024</v>
      </c>
      <c r="B902" s="5">
        <v>45731</v>
      </c>
      <c r="C902" s="6" t="s">
        <v>54</v>
      </c>
      <c r="D902" s="6" t="s">
        <v>55</v>
      </c>
      <c r="E902" s="6" t="s">
        <v>33</v>
      </c>
      <c r="F902" s="6" t="s">
        <v>34</v>
      </c>
      <c r="G902" s="6" t="s">
        <v>35</v>
      </c>
      <c r="H902" s="2">
        <v>7</v>
      </c>
      <c r="I902" s="2">
        <v>17176.830000000002</v>
      </c>
      <c r="J902" s="2">
        <v>0</v>
      </c>
      <c r="K902" s="2">
        <v>120237.79</v>
      </c>
      <c r="L902" s="2">
        <v>83940.5</v>
      </c>
      <c r="M902" s="2">
        <v>36297.29</v>
      </c>
      <c r="N902" s="6" t="s">
        <v>29</v>
      </c>
      <c r="O902" s="6" t="s">
        <v>30</v>
      </c>
    </row>
    <row r="903" spans="1:15" x14ac:dyDescent="0.3">
      <c r="A903" s="2" t="s">
        <v>1208</v>
      </c>
      <c r="B903" s="5">
        <v>45826</v>
      </c>
      <c r="C903" s="6" t="s">
        <v>54</v>
      </c>
      <c r="D903" s="6" t="s">
        <v>124</v>
      </c>
      <c r="E903" s="6" t="s">
        <v>18</v>
      </c>
      <c r="F903" s="6" t="s">
        <v>43</v>
      </c>
      <c r="G903" s="6" t="s">
        <v>75</v>
      </c>
      <c r="H903" s="2">
        <v>5</v>
      </c>
      <c r="I903" s="2">
        <v>36261.29</v>
      </c>
      <c r="J903" s="2">
        <v>0</v>
      </c>
      <c r="K903" s="2">
        <v>181306.45</v>
      </c>
      <c r="L903" s="2">
        <v>144849.48000000001</v>
      </c>
      <c r="M903" s="2">
        <v>36456.97</v>
      </c>
      <c r="N903" s="6" t="s">
        <v>21</v>
      </c>
      <c r="O903" s="6" t="s">
        <v>30</v>
      </c>
    </row>
    <row r="904" spans="1:15" x14ac:dyDescent="0.3">
      <c r="A904" s="2" t="s">
        <v>853</v>
      </c>
      <c r="B904" s="5">
        <v>45985</v>
      </c>
      <c r="C904" s="6" t="s">
        <v>16</v>
      </c>
      <c r="D904" s="6" t="s">
        <v>82</v>
      </c>
      <c r="E904" s="6" t="s">
        <v>74</v>
      </c>
      <c r="F904" s="6" t="s">
        <v>19</v>
      </c>
      <c r="G904" s="6" t="s">
        <v>106</v>
      </c>
      <c r="H904" s="2">
        <v>8</v>
      </c>
      <c r="I904" s="2">
        <v>13994.55</v>
      </c>
      <c r="J904" s="2">
        <v>0.03</v>
      </c>
      <c r="K904" s="2">
        <v>108597.69</v>
      </c>
      <c r="L904" s="2">
        <v>72098.17</v>
      </c>
      <c r="M904" s="2">
        <v>36499.519999999997</v>
      </c>
      <c r="N904" s="6" t="s">
        <v>29</v>
      </c>
      <c r="O904" s="6" t="s">
        <v>40</v>
      </c>
    </row>
    <row r="905" spans="1:15" x14ac:dyDescent="0.3">
      <c r="A905" s="2" t="s">
        <v>951</v>
      </c>
      <c r="B905" s="5">
        <v>45921</v>
      </c>
      <c r="C905" s="6" t="s">
        <v>37</v>
      </c>
      <c r="D905" s="6" t="s">
        <v>38</v>
      </c>
      <c r="E905" s="6" t="s">
        <v>69</v>
      </c>
      <c r="F905" s="6" t="s">
        <v>34</v>
      </c>
      <c r="G905" s="6" t="s">
        <v>35</v>
      </c>
      <c r="H905" s="2">
        <v>8</v>
      </c>
      <c r="I905" s="2">
        <v>18812.169999999998</v>
      </c>
      <c r="J905" s="2">
        <v>0.1</v>
      </c>
      <c r="K905" s="2">
        <v>135447.59</v>
      </c>
      <c r="L905" s="2">
        <v>98711.88</v>
      </c>
      <c r="M905" s="2">
        <v>36735.71</v>
      </c>
      <c r="N905" s="6" t="s">
        <v>58</v>
      </c>
      <c r="O905" s="6" t="s">
        <v>30</v>
      </c>
    </row>
    <row r="906" spans="1:15" x14ac:dyDescent="0.3">
      <c r="A906" s="2" t="s">
        <v>946</v>
      </c>
      <c r="B906" s="5">
        <v>45864</v>
      </c>
      <c r="C906" s="6" t="s">
        <v>54</v>
      </c>
      <c r="D906" s="6" t="s">
        <v>124</v>
      </c>
      <c r="E906" s="6" t="s">
        <v>18</v>
      </c>
      <c r="F906" s="6" t="s">
        <v>43</v>
      </c>
      <c r="G906" s="6" t="s">
        <v>84</v>
      </c>
      <c r="H906" s="2">
        <v>7</v>
      </c>
      <c r="I906" s="2">
        <v>39400.269999999997</v>
      </c>
      <c r="J906" s="2">
        <v>0.05</v>
      </c>
      <c r="K906" s="2">
        <v>262011.82</v>
      </c>
      <c r="L906" s="2">
        <v>225218.39</v>
      </c>
      <c r="M906" s="2">
        <v>36793.43</v>
      </c>
      <c r="N906" s="6" t="s">
        <v>29</v>
      </c>
      <c r="O906" s="6" t="s">
        <v>59</v>
      </c>
    </row>
    <row r="907" spans="1:15" x14ac:dyDescent="0.3">
      <c r="A907" s="2" t="s">
        <v>86</v>
      </c>
      <c r="B907" s="5">
        <v>45770</v>
      </c>
      <c r="C907" s="6" t="s">
        <v>37</v>
      </c>
      <c r="D907" s="6" t="s">
        <v>38</v>
      </c>
      <c r="E907" s="6" t="s">
        <v>26</v>
      </c>
      <c r="F907" s="6" t="s">
        <v>27</v>
      </c>
      <c r="G907" s="6" t="s">
        <v>50</v>
      </c>
      <c r="H907" s="2">
        <v>8</v>
      </c>
      <c r="I907" s="2">
        <v>29541.64</v>
      </c>
      <c r="J907" s="2">
        <v>0.1</v>
      </c>
      <c r="K907" s="2">
        <v>212699.8</v>
      </c>
      <c r="L907" s="2">
        <v>175312.03</v>
      </c>
      <c r="M907" s="2">
        <v>37387.769999999997</v>
      </c>
      <c r="N907" s="6" t="s">
        <v>21</v>
      </c>
      <c r="O907" s="6" t="s">
        <v>40</v>
      </c>
    </row>
    <row r="908" spans="1:15" x14ac:dyDescent="0.3">
      <c r="A908" s="2" t="s">
        <v>630</v>
      </c>
      <c r="B908" s="5">
        <v>45979</v>
      </c>
      <c r="C908" s="6" t="s">
        <v>63</v>
      </c>
      <c r="D908" s="6" t="s">
        <v>117</v>
      </c>
      <c r="E908" s="6" t="s">
        <v>26</v>
      </c>
      <c r="F908" s="6" t="s">
        <v>43</v>
      </c>
      <c r="G908" s="6" t="s">
        <v>91</v>
      </c>
      <c r="H908" s="2">
        <v>4</v>
      </c>
      <c r="I908" s="2">
        <v>49751.93</v>
      </c>
      <c r="J908" s="2">
        <v>0.08</v>
      </c>
      <c r="K908" s="2">
        <v>183087.12</v>
      </c>
      <c r="L908" s="2">
        <v>145645.82999999999</v>
      </c>
      <c r="M908" s="2">
        <v>37441.29</v>
      </c>
      <c r="N908" s="6" t="s">
        <v>58</v>
      </c>
      <c r="O908" s="6" t="s">
        <v>22</v>
      </c>
    </row>
    <row r="909" spans="1:15" x14ac:dyDescent="0.3">
      <c r="A909" s="2" t="s">
        <v>320</v>
      </c>
      <c r="B909" s="5">
        <v>45943</v>
      </c>
      <c r="C909" s="6" t="s">
        <v>16</v>
      </c>
      <c r="D909" s="6" t="s">
        <v>32</v>
      </c>
      <c r="E909" s="6" t="s">
        <v>56</v>
      </c>
      <c r="F909" s="6" t="s">
        <v>34</v>
      </c>
      <c r="G909" s="6" t="s">
        <v>35</v>
      </c>
      <c r="H909" s="2">
        <v>6</v>
      </c>
      <c r="I909" s="2">
        <v>17189.12</v>
      </c>
      <c r="J909" s="2">
        <v>0</v>
      </c>
      <c r="K909" s="2">
        <v>103134.7</v>
      </c>
      <c r="L909" s="2">
        <v>65635.11</v>
      </c>
      <c r="M909" s="2">
        <v>37499.589999999997</v>
      </c>
      <c r="N909" s="6" t="s">
        <v>21</v>
      </c>
      <c r="O909" s="6" t="s">
        <v>30</v>
      </c>
    </row>
    <row r="910" spans="1:15" x14ac:dyDescent="0.3">
      <c r="A910" s="2" t="s">
        <v>234</v>
      </c>
      <c r="B910" s="5">
        <v>45743</v>
      </c>
      <c r="C910" s="6" t="s">
        <v>37</v>
      </c>
      <c r="D910" s="6" t="s">
        <v>38</v>
      </c>
      <c r="E910" s="6" t="s">
        <v>26</v>
      </c>
      <c r="F910" s="6" t="s">
        <v>27</v>
      </c>
      <c r="G910" s="6" t="s">
        <v>89</v>
      </c>
      <c r="H910" s="2">
        <v>7</v>
      </c>
      <c r="I910" s="2">
        <v>32883.72</v>
      </c>
      <c r="J910" s="2">
        <v>0.05</v>
      </c>
      <c r="K910" s="2">
        <v>218676.76</v>
      </c>
      <c r="L910" s="2">
        <v>181141.8</v>
      </c>
      <c r="M910" s="2">
        <v>37534.959999999999</v>
      </c>
      <c r="N910" s="6" t="s">
        <v>21</v>
      </c>
      <c r="O910" s="6" t="s">
        <v>30</v>
      </c>
    </row>
    <row r="911" spans="1:15" x14ac:dyDescent="0.3">
      <c r="A911" s="2" t="s">
        <v>1244</v>
      </c>
      <c r="B911" s="5">
        <v>45907</v>
      </c>
      <c r="C911" s="6" t="s">
        <v>63</v>
      </c>
      <c r="D911" s="6" t="s">
        <v>117</v>
      </c>
      <c r="E911" s="6" t="s">
        <v>26</v>
      </c>
      <c r="F911" s="6" t="s">
        <v>34</v>
      </c>
      <c r="G911" s="6" t="s">
        <v>70</v>
      </c>
      <c r="H911" s="2">
        <v>4</v>
      </c>
      <c r="I911" s="2">
        <v>65816.22</v>
      </c>
      <c r="J911" s="2">
        <v>0.05</v>
      </c>
      <c r="K911" s="2">
        <v>250101.62</v>
      </c>
      <c r="L911" s="2">
        <v>212062.29</v>
      </c>
      <c r="M911" s="2">
        <v>38039.33</v>
      </c>
      <c r="N911" s="6" t="s">
        <v>21</v>
      </c>
      <c r="O911" s="6" t="s">
        <v>45</v>
      </c>
    </row>
    <row r="912" spans="1:15" x14ac:dyDescent="0.3">
      <c r="A912" s="2" t="s">
        <v>190</v>
      </c>
      <c r="B912" s="5">
        <v>45908</v>
      </c>
      <c r="C912" s="6" t="s">
        <v>63</v>
      </c>
      <c r="D912" s="6" t="s">
        <v>95</v>
      </c>
      <c r="E912" s="6" t="s">
        <v>26</v>
      </c>
      <c r="F912" s="6" t="s">
        <v>43</v>
      </c>
      <c r="G912" s="6" t="s">
        <v>91</v>
      </c>
      <c r="H912" s="2">
        <v>6</v>
      </c>
      <c r="I912" s="2">
        <v>47366.45</v>
      </c>
      <c r="J912" s="2">
        <v>0.05</v>
      </c>
      <c r="K912" s="2">
        <v>269988.75</v>
      </c>
      <c r="L912" s="2">
        <v>231564.47</v>
      </c>
      <c r="M912" s="2">
        <v>38424.28</v>
      </c>
      <c r="N912" s="6" t="s">
        <v>58</v>
      </c>
      <c r="O912" s="6" t="s">
        <v>45</v>
      </c>
    </row>
    <row r="913" spans="1:15" x14ac:dyDescent="0.3">
      <c r="A913" s="2" t="s">
        <v>1239</v>
      </c>
      <c r="B913" s="5">
        <v>45953</v>
      </c>
      <c r="C913" s="6" t="s">
        <v>37</v>
      </c>
      <c r="D913" s="6" t="s">
        <v>68</v>
      </c>
      <c r="E913" s="6" t="s">
        <v>56</v>
      </c>
      <c r="F913" s="6" t="s">
        <v>34</v>
      </c>
      <c r="G913" s="6" t="s">
        <v>57</v>
      </c>
      <c r="H913" s="2">
        <v>8</v>
      </c>
      <c r="I913" s="2">
        <v>22956.76</v>
      </c>
      <c r="J913" s="2">
        <v>0.1</v>
      </c>
      <c r="K913" s="2">
        <v>165288.64000000001</v>
      </c>
      <c r="L913" s="2">
        <v>126842.35</v>
      </c>
      <c r="M913" s="2">
        <v>38446.29</v>
      </c>
      <c r="N913" s="6" t="s">
        <v>21</v>
      </c>
      <c r="O913" s="6" t="s">
        <v>30</v>
      </c>
    </row>
    <row r="914" spans="1:15" x14ac:dyDescent="0.3">
      <c r="A914" s="2" t="s">
        <v>1143</v>
      </c>
      <c r="B914" s="5">
        <v>45971</v>
      </c>
      <c r="C914" s="6" t="s">
        <v>63</v>
      </c>
      <c r="D914" s="6" t="s">
        <v>64</v>
      </c>
      <c r="E914" s="6" t="s">
        <v>18</v>
      </c>
      <c r="F914" s="6" t="s">
        <v>43</v>
      </c>
      <c r="G914" s="6" t="s">
        <v>91</v>
      </c>
      <c r="H914" s="2">
        <v>5</v>
      </c>
      <c r="I914" s="2">
        <v>47310.87</v>
      </c>
      <c r="J914" s="2">
        <v>0</v>
      </c>
      <c r="K914" s="2">
        <v>236554.33</v>
      </c>
      <c r="L914" s="2">
        <v>198099.44</v>
      </c>
      <c r="M914" s="2">
        <v>38454.89</v>
      </c>
      <c r="N914" s="6" t="s">
        <v>29</v>
      </c>
      <c r="O914" s="6" t="s">
        <v>30</v>
      </c>
    </row>
    <row r="915" spans="1:15" x14ac:dyDescent="0.3">
      <c r="A915" s="2" t="s">
        <v>316</v>
      </c>
      <c r="B915" s="5">
        <v>45772</v>
      </c>
      <c r="C915" s="6" t="s">
        <v>16</v>
      </c>
      <c r="D915" s="6" t="s">
        <v>82</v>
      </c>
      <c r="E915" s="6" t="s">
        <v>74</v>
      </c>
      <c r="F915" s="6" t="s">
        <v>27</v>
      </c>
      <c r="G915" s="6" t="s">
        <v>89</v>
      </c>
      <c r="H915" s="2">
        <v>7</v>
      </c>
      <c r="I915" s="2">
        <v>33573.870000000003</v>
      </c>
      <c r="J915" s="2">
        <v>0</v>
      </c>
      <c r="K915" s="2">
        <v>235017.07</v>
      </c>
      <c r="L915" s="2">
        <v>196409.26</v>
      </c>
      <c r="M915" s="2">
        <v>38607.81</v>
      </c>
      <c r="N915" s="6" t="s">
        <v>58</v>
      </c>
      <c r="O915" s="6" t="s">
        <v>22</v>
      </c>
    </row>
    <row r="916" spans="1:15" x14ac:dyDescent="0.3">
      <c r="A916" s="2" t="s">
        <v>674</v>
      </c>
      <c r="B916" s="5">
        <v>45892</v>
      </c>
      <c r="C916" s="6" t="s">
        <v>54</v>
      </c>
      <c r="D916" s="6" t="s">
        <v>124</v>
      </c>
      <c r="E916" s="6" t="s">
        <v>74</v>
      </c>
      <c r="F916" s="6" t="s">
        <v>34</v>
      </c>
      <c r="G916" s="6" t="s">
        <v>35</v>
      </c>
      <c r="H916" s="2">
        <v>7</v>
      </c>
      <c r="I916" s="2">
        <v>19343.87</v>
      </c>
      <c r="J916" s="2">
        <v>0.05</v>
      </c>
      <c r="K916" s="2">
        <v>128636.75</v>
      </c>
      <c r="L916" s="2">
        <v>89664.87</v>
      </c>
      <c r="M916" s="2">
        <v>38971.879999999997</v>
      </c>
      <c r="N916" s="6" t="s">
        <v>21</v>
      </c>
      <c r="O916" s="6" t="s">
        <v>40</v>
      </c>
    </row>
    <row r="917" spans="1:15" x14ac:dyDescent="0.3">
      <c r="A917" s="2" t="s">
        <v>110</v>
      </c>
      <c r="B917" s="5">
        <v>45696</v>
      </c>
      <c r="C917" s="6" t="s">
        <v>37</v>
      </c>
      <c r="D917" s="6" t="s">
        <v>68</v>
      </c>
      <c r="E917" s="6" t="s">
        <v>74</v>
      </c>
      <c r="F917" s="6" t="s">
        <v>27</v>
      </c>
      <c r="G917" s="6" t="s">
        <v>50</v>
      </c>
      <c r="H917" s="2">
        <v>5</v>
      </c>
      <c r="I917" s="2">
        <v>29876.03</v>
      </c>
      <c r="J917" s="2">
        <v>0</v>
      </c>
      <c r="K917" s="2">
        <v>149380.17000000001</v>
      </c>
      <c r="L917" s="2">
        <v>110240.74</v>
      </c>
      <c r="M917" s="2">
        <v>39139.43</v>
      </c>
      <c r="N917" s="6" t="s">
        <v>21</v>
      </c>
      <c r="O917" s="6" t="s">
        <v>45</v>
      </c>
    </row>
    <row r="918" spans="1:15" x14ac:dyDescent="0.3">
      <c r="A918" s="2" t="s">
        <v>1095</v>
      </c>
      <c r="B918" s="5">
        <v>45960</v>
      </c>
      <c r="C918" s="6" t="s">
        <v>54</v>
      </c>
      <c r="D918" s="6" t="s">
        <v>174</v>
      </c>
      <c r="E918" s="6" t="s">
        <v>69</v>
      </c>
      <c r="F918" s="6" t="s">
        <v>34</v>
      </c>
      <c r="G918" s="6" t="s">
        <v>57</v>
      </c>
      <c r="H918" s="2">
        <v>7</v>
      </c>
      <c r="I918" s="2">
        <v>20867.439999999999</v>
      </c>
      <c r="J918" s="2">
        <v>0.1</v>
      </c>
      <c r="K918" s="2">
        <v>131464.88</v>
      </c>
      <c r="L918" s="2">
        <v>92256.8</v>
      </c>
      <c r="M918" s="2">
        <v>39208.080000000002</v>
      </c>
      <c r="N918" s="6" t="s">
        <v>58</v>
      </c>
      <c r="O918" s="6" t="s">
        <v>22</v>
      </c>
    </row>
    <row r="919" spans="1:15" x14ac:dyDescent="0.3">
      <c r="A919" s="2" t="s">
        <v>87</v>
      </c>
      <c r="B919" s="5">
        <v>45820</v>
      </c>
      <c r="C919" s="6" t="s">
        <v>63</v>
      </c>
      <c r="D919" s="6" t="s">
        <v>88</v>
      </c>
      <c r="E919" s="6" t="s">
        <v>74</v>
      </c>
      <c r="F919" s="6" t="s">
        <v>27</v>
      </c>
      <c r="G919" s="6" t="s">
        <v>89</v>
      </c>
      <c r="H919" s="2">
        <v>5</v>
      </c>
      <c r="I919" s="2">
        <v>30893.68</v>
      </c>
      <c r="J919" s="2">
        <v>0.03</v>
      </c>
      <c r="K919" s="2">
        <v>149834.32999999999</v>
      </c>
      <c r="L919" s="2">
        <v>110360.07</v>
      </c>
      <c r="M919" s="2">
        <v>39474.26</v>
      </c>
      <c r="N919" s="6" t="s">
        <v>29</v>
      </c>
      <c r="O919" s="6" t="s">
        <v>30</v>
      </c>
    </row>
    <row r="920" spans="1:15" x14ac:dyDescent="0.3">
      <c r="A920" s="2" t="s">
        <v>87</v>
      </c>
      <c r="B920" s="5">
        <v>45820</v>
      </c>
      <c r="C920" s="6" t="s">
        <v>63</v>
      </c>
      <c r="D920" s="6" t="s">
        <v>88</v>
      </c>
      <c r="E920" s="6" t="s">
        <v>74</v>
      </c>
      <c r="F920" s="6" t="s">
        <v>27</v>
      </c>
      <c r="G920" s="6" t="s">
        <v>89</v>
      </c>
      <c r="H920" s="2">
        <v>5</v>
      </c>
      <c r="I920" s="2">
        <v>30893.68</v>
      </c>
      <c r="J920" s="2">
        <v>0.03</v>
      </c>
      <c r="K920" s="2">
        <v>149834.32999999999</v>
      </c>
      <c r="L920" s="2">
        <v>110360.07</v>
      </c>
      <c r="M920" s="2">
        <v>39474.26</v>
      </c>
      <c r="N920" s="6" t="s">
        <v>29</v>
      </c>
      <c r="O920" s="6" t="s">
        <v>30</v>
      </c>
    </row>
    <row r="921" spans="1:15" x14ac:dyDescent="0.3">
      <c r="A921" s="2" t="s">
        <v>503</v>
      </c>
      <c r="B921" s="5">
        <v>45793</v>
      </c>
      <c r="C921" s="6" t="s">
        <v>37</v>
      </c>
      <c r="D921" s="6" t="s">
        <v>42</v>
      </c>
      <c r="E921" s="6" t="s">
        <v>74</v>
      </c>
      <c r="F921" s="6" t="s">
        <v>34</v>
      </c>
      <c r="G921" s="6" t="s">
        <v>39</v>
      </c>
      <c r="H921" s="2">
        <v>4</v>
      </c>
      <c r="I921" s="2">
        <v>30087.73</v>
      </c>
      <c r="J921" s="2">
        <v>0.08</v>
      </c>
      <c r="K921" s="2">
        <v>110722.83</v>
      </c>
      <c r="L921" s="2">
        <v>71192.009999999995</v>
      </c>
      <c r="M921" s="2">
        <v>39530.82</v>
      </c>
      <c r="N921" s="6" t="s">
        <v>29</v>
      </c>
      <c r="O921" s="6" t="s">
        <v>22</v>
      </c>
    </row>
    <row r="922" spans="1:15" x14ac:dyDescent="0.3">
      <c r="A922" s="2" t="s">
        <v>858</v>
      </c>
      <c r="B922" s="5">
        <v>45936</v>
      </c>
      <c r="C922" s="6" t="s">
        <v>16</v>
      </c>
      <c r="D922" s="6" t="s">
        <v>32</v>
      </c>
      <c r="E922" s="6" t="s">
        <v>65</v>
      </c>
      <c r="F922" s="6" t="s">
        <v>43</v>
      </c>
      <c r="G922" s="6" t="s">
        <v>91</v>
      </c>
      <c r="H922" s="2">
        <v>4</v>
      </c>
      <c r="I922" s="2">
        <v>46670.54</v>
      </c>
      <c r="J922" s="2">
        <v>0</v>
      </c>
      <c r="K922" s="2">
        <v>186682.16</v>
      </c>
      <c r="L922" s="2">
        <v>147150.85</v>
      </c>
      <c r="M922" s="2">
        <v>39531.31</v>
      </c>
      <c r="N922" s="6" t="s">
        <v>58</v>
      </c>
      <c r="O922" s="6" t="s">
        <v>45</v>
      </c>
    </row>
    <row r="923" spans="1:15" x14ac:dyDescent="0.3">
      <c r="A923" s="2" t="s">
        <v>713</v>
      </c>
      <c r="B923" s="5">
        <v>45828</v>
      </c>
      <c r="C923" s="6" t="s">
        <v>54</v>
      </c>
      <c r="D923" s="6" t="s">
        <v>55</v>
      </c>
      <c r="E923" s="6" t="s">
        <v>49</v>
      </c>
      <c r="F923" s="6" t="s">
        <v>43</v>
      </c>
      <c r="G923" s="6" t="s">
        <v>91</v>
      </c>
      <c r="H923" s="2">
        <v>3</v>
      </c>
      <c r="I923" s="2">
        <v>48563.96</v>
      </c>
      <c r="J923" s="2">
        <v>0</v>
      </c>
      <c r="K923" s="2">
        <v>145691.87</v>
      </c>
      <c r="L923" s="2">
        <v>106038.32</v>
      </c>
      <c r="M923" s="2">
        <v>39653.550000000003</v>
      </c>
      <c r="N923" s="6" t="s">
        <v>21</v>
      </c>
      <c r="O923" s="6" t="s">
        <v>45</v>
      </c>
    </row>
    <row r="924" spans="1:15" x14ac:dyDescent="0.3">
      <c r="A924" s="2" t="s">
        <v>750</v>
      </c>
      <c r="B924" s="5">
        <v>45972</v>
      </c>
      <c r="C924" s="6" t="s">
        <v>63</v>
      </c>
      <c r="D924" s="6" t="s">
        <v>64</v>
      </c>
      <c r="E924" s="6" t="s">
        <v>65</v>
      </c>
      <c r="F924" s="6" t="s">
        <v>27</v>
      </c>
      <c r="G924" s="6" t="s">
        <v>28</v>
      </c>
      <c r="H924" s="2">
        <v>6</v>
      </c>
      <c r="I924" s="2">
        <v>26582.37</v>
      </c>
      <c r="J924" s="2">
        <v>0.1</v>
      </c>
      <c r="K924" s="2">
        <v>143544.78</v>
      </c>
      <c r="L924" s="2">
        <v>103773.15</v>
      </c>
      <c r="M924" s="2">
        <v>39771.629999999997</v>
      </c>
      <c r="N924" s="6" t="s">
        <v>58</v>
      </c>
      <c r="O924" s="6" t="s">
        <v>59</v>
      </c>
    </row>
    <row r="925" spans="1:15" x14ac:dyDescent="0.3">
      <c r="A925" s="2" t="s">
        <v>735</v>
      </c>
      <c r="B925" s="5">
        <v>45815</v>
      </c>
      <c r="C925" s="6" t="s">
        <v>54</v>
      </c>
      <c r="D925" s="6" t="s">
        <v>55</v>
      </c>
      <c r="E925" s="6" t="s">
        <v>33</v>
      </c>
      <c r="F925" s="6" t="s">
        <v>27</v>
      </c>
      <c r="G925" s="6" t="s">
        <v>50</v>
      </c>
      <c r="H925" s="2">
        <v>7</v>
      </c>
      <c r="I925" s="2">
        <v>31398.29</v>
      </c>
      <c r="J925" s="2">
        <v>0.03</v>
      </c>
      <c r="K925" s="2">
        <v>213194.4</v>
      </c>
      <c r="L925" s="2">
        <v>173375.79</v>
      </c>
      <c r="M925" s="2">
        <v>39818.61</v>
      </c>
      <c r="N925" s="6" t="s">
        <v>21</v>
      </c>
      <c r="O925" s="6" t="s">
        <v>45</v>
      </c>
    </row>
    <row r="926" spans="1:15" x14ac:dyDescent="0.3">
      <c r="A926" s="2" t="s">
        <v>505</v>
      </c>
      <c r="B926" s="5">
        <v>45779</v>
      </c>
      <c r="C926" s="6" t="s">
        <v>37</v>
      </c>
      <c r="D926" s="6" t="s">
        <v>68</v>
      </c>
      <c r="E926" s="6" t="s">
        <v>65</v>
      </c>
      <c r="F926" s="6" t="s">
        <v>43</v>
      </c>
      <c r="G926" s="6" t="s">
        <v>75</v>
      </c>
      <c r="H926" s="2">
        <v>3</v>
      </c>
      <c r="I926" s="2">
        <v>38267.1</v>
      </c>
      <c r="J926" s="2">
        <v>0.08</v>
      </c>
      <c r="K926" s="2">
        <v>105617.21</v>
      </c>
      <c r="L926" s="2">
        <v>65686.95</v>
      </c>
      <c r="M926" s="2">
        <v>39930.26</v>
      </c>
      <c r="N926" s="6" t="s">
        <v>21</v>
      </c>
      <c r="O926" s="6" t="s">
        <v>40</v>
      </c>
    </row>
    <row r="927" spans="1:15" x14ac:dyDescent="0.3">
      <c r="A927" s="2" t="s">
        <v>557</v>
      </c>
      <c r="B927" s="5">
        <v>45742</v>
      </c>
      <c r="C927" s="6" t="s">
        <v>37</v>
      </c>
      <c r="D927" s="6" t="s">
        <v>42</v>
      </c>
      <c r="E927" s="6" t="s">
        <v>56</v>
      </c>
      <c r="F927" s="6" t="s">
        <v>43</v>
      </c>
      <c r="G927" s="6" t="s">
        <v>75</v>
      </c>
      <c r="H927" s="2">
        <v>4</v>
      </c>
      <c r="I927" s="2">
        <v>38507.78</v>
      </c>
      <c r="J927" s="2">
        <v>0.05</v>
      </c>
      <c r="K927" s="2">
        <v>146329.56</v>
      </c>
      <c r="L927" s="2">
        <v>106365.9</v>
      </c>
      <c r="M927" s="2">
        <v>39963.660000000003</v>
      </c>
      <c r="N927" s="6" t="s">
        <v>21</v>
      </c>
      <c r="O927" s="6" t="s">
        <v>40</v>
      </c>
    </row>
    <row r="928" spans="1:15" x14ac:dyDescent="0.3">
      <c r="A928" s="2" t="s">
        <v>1041</v>
      </c>
      <c r="B928" s="5">
        <v>45975</v>
      </c>
      <c r="C928" s="6" t="s">
        <v>16</v>
      </c>
      <c r="D928" s="6" t="s">
        <v>82</v>
      </c>
      <c r="E928" s="6" t="s">
        <v>65</v>
      </c>
      <c r="F928" s="6" t="s">
        <v>43</v>
      </c>
      <c r="G928" s="6" t="s">
        <v>84</v>
      </c>
      <c r="H928" s="2">
        <v>5</v>
      </c>
      <c r="I928" s="2">
        <v>40945.26</v>
      </c>
      <c r="J928" s="2">
        <v>0.05</v>
      </c>
      <c r="K928" s="2">
        <v>194489.96</v>
      </c>
      <c r="L928" s="2">
        <v>154211.06</v>
      </c>
      <c r="M928" s="2">
        <v>40278.9</v>
      </c>
      <c r="N928" s="6" t="s">
        <v>58</v>
      </c>
      <c r="O928" s="6" t="s">
        <v>45</v>
      </c>
    </row>
    <row r="929" spans="1:15" x14ac:dyDescent="0.3">
      <c r="A929" s="2" t="s">
        <v>732</v>
      </c>
      <c r="B929" s="5">
        <v>45900</v>
      </c>
      <c r="C929" s="6" t="s">
        <v>63</v>
      </c>
      <c r="D929" s="6" t="s">
        <v>64</v>
      </c>
      <c r="E929" s="6" t="s">
        <v>49</v>
      </c>
      <c r="F929" s="6" t="s">
        <v>34</v>
      </c>
      <c r="G929" s="6" t="s">
        <v>70</v>
      </c>
      <c r="H929" s="2">
        <v>3</v>
      </c>
      <c r="I929" s="2">
        <v>63607.58</v>
      </c>
      <c r="J929" s="2">
        <v>0</v>
      </c>
      <c r="K929" s="2">
        <v>190822.73</v>
      </c>
      <c r="L929" s="2">
        <v>150478.47</v>
      </c>
      <c r="M929" s="2">
        <v>40344.26</v>
      </c>
      <c r="N929" s="6" t="s">
        <v>21</v>
      </c>
      <c r="O929" s="6" t="s">
        <v>59</v>
      </c>
    </row>
    <row r="930" spans="1:15" x14ac:dyDescent="0.3">
      <c r="A930" s="2" t="s">
        <v>257</v>
      </c>
      <c r="B930" s="5">
        <v>45973</v>
      </c>
      <c r="C930" s="6" t="s">
        <v>54</v>
      </c>
      <c r="D930" s="6" t="s">
        <v>48</v>
      </c>
      <c r="E930" s="6" t="s">
        <v>18</v>
      </c>
      <c r="F930" s="6" t="s">
        <v>27</v>
      </c>
      <c r="G930" s="6" t="s">
        <v>28</v>
      </c>
      <c r="H930" s="2">
        <v>7</v>
      </c>
      <c r="I930" s="2">
        <v>26484.7</v>
      </c>
      <c r="J930" s="2">
        <v>0.1</v>
      </c>
      <c r="K930" s="2">
        <v>166853.63</v>
      </c>
      <c r="L930" s="2">
        <v>126458.53</v>
      </c>
      <c r="M930" s="2">
        <v>40395.1</v>
      </c>
      <c r="N930" s="6" t="s">
        <v>58</v>
      </c>
      <c r="O930" s="6" t="s">
        <v>59</v>
      </c>
    </row>
    <row r="931" spans="1:15" x14ac:dyDescent="0.3">
      <c r="A931" s="2" t="s">
        <v>1287</v>
      </c>
      <c r="B931" s="5">
        <v>45766</v>
      </c>
      <c r="C931" s="6" t="s">
        <v>37</v>
      </c>
      <c r="D931" s="6" t="s">
        <v>42</v>
      </c>
      <c r="E931" s="6" t="s">
        <v>69</v>
      </c>
      <c r="F931" s="6" t="s">
        <v>43</v>
      </c>
      <c r="G931" s="6" t="s">
        <v>84</v>
      </c>
      <c r="H931" s="2">
        <v>4</v>
      </c>
      <c r="I931" s="2">
        <v>44530.79</v>
      </c>
      <c r="J931" s="2">
        <v>0.1</v>
      </c>
      <c r="K931" s="2">
        <v>160310.82999999999</v>
      </c>
      <c r="L931" s="2">
        <v>119738.28</v>
      </c>
      <c r="M931" s="2">
        <v>40572.550000000003</v>
      </c>
      <c r="N931" s="6" t="s">
        <v>29</v>
      </c>
      <c r="O931" s="6" t="s">
        <v>40</v>
      </c>
    </row>
    <row r="932" spans="1:15" x14ac:dyDescent="0.3">
      <c r="A932" s="2" t="s">
        <v>456</v>
      </c>
      <c r="B932" s="5">
        <v>45796</v>
      </c>
      <c r="C932" s="6" t="s">
        <v>54</v>
      </c>
      <c r="D932" s="6" t="s">
        <v>174</v>
      </c>
      <c r="E932" s="6" t="s">
        <v>69</v>
      </c>
      <c r="F932" s="6" t="s">
        <v>43</v>
      </c>
      <c r="G932" s="6" t="s">
        <v>75</v>
      </c>
      <c r="H932" s="2">
        <v>5</v>
      </c>
      <c r="I932" s="2">
        <v>35361.97</v>
      </c>
      <c r="J932" s="2">
        <v>0.03</v>
      </c>
      <c r="K932" s="2">
        <v>171505.54</v>
      </c>
      <c r="L932" s="2">
        <v>130900.65</v>
      </c>
      <c r="M932" s="2">
        <v>40604.89</v>
      </c>
      <c r="N932" s="6" t="s">
        <v>58</v>
      </c>
      <c r="O932" s="6" t="s">
        <v>40</v>
      </c>
    </row>
    <row r="933" spans="1:15" x14ac:dyDescent="0.3">
      <c r="A933" s="2" t="s">
        <v>180</v>
      </c>
      <c r="B933" s="5">
        <v>45830</v>
      </c>
      <c r="C933" s="6" t="s">
        <v>37</v>
      </c>
      <c r="D933" s="6" t="s">
        <v>38</v>
      </c>
      <c r="E933" s="6" t="s">
        <v>56</v>
      </c>
      <c r="F933" s="6" t="s">
        <v>34</v>
      </c>
      <c r="G933" s="6" t="s">
        <v>57</v>
      </c>
      <c r="H933" s="2">
        <v>8</v>
      </c>
      <c r="I933" s="2">
        <v>21122.57</v>
      </c>
      <c r="J933" s="2">
        <v>0.08</v>
      </c>
      <c r="K933" s="2">
        <v>155462.13</v>
      </c>
      <c r="L933" s="2">
        <v>114828.33</v>
      </c>
      <c r="M933" s="2">
        <v>40633.800000000003</v>
      </c>
      <c r="N933" s="6" t="s">
        <v>58</v>
      </c>
      <c r="O933" s="6" t="s">
        <v>45</v>
      </c>
    </row>
    <row r="934" spans="1:15" x14ac:dyDescent="0.3">
      <c r="A934" s="2" t="s">
        <v>599</v>
      </c>
      <c r="B934" s="5">
        <v>45964</v>
      </c>
      <c r="C934" s="6" t="s">
        <v>37</v>
      </c>
      <c r="D934" s="6" t="s">
        <v>42</v>
      </c>
      <c r="E934" s="6" t="s">
        <v>65</v>
      </c>
      <c r="F934" s="6" t="s">
        <v>19</v>
      </c>
      <c r="G934" s="6" t="s">
        <v>108</v>
      </c>
      <c r="H934" s="2">
        <v>7</v>
      </c>
      <c r="I934" s="2">
        <v>15829.57</v>
      </c>
      <c r="J934" s="2">
        <v>0.03</v>
      </c>
      <c r="K934" s="2">
        <v>107482.77</v>
      </c>
      <c r="L934" s="2">
        <v>66681.72</v>
      </c>
      <c r="M934" s="2">
        <v>40801.050000000003</v>
      </c>
      <c r="N934" s="6" t="s">
        <v>21</v>
      </c>
      <c r="O934" s="6" t="s">
        <v>30</v>
      </c>
    </row>
    <row r="935" spans="1:15" x14ac:dyDescent="0.3">
      <c r="A935" s="2" t="s">
        <v>962</v>
      </c>
      <c r="B935" s="5">
        <v>45949</v>
      </c>
      <c r="C935" s="6" t="s">
        <v>63</v>
      </c>
      <c r="D935" s="6" t="s">
        <v>117</v>
      </c>
      <c r="E935" s="6" t="s">
        <v>18</v>
      </c>
      <c r="F935" s="6" t="s">
        <v>27</v>
      </c>
      <c r="G935" s="6" t="s">
        <v>89</v>
      </c>
      <c r="H935" s="2">
        <v>7</v>
      </c>
      <c r="I935" s="2">
        <v>31290.7</v>
      </c>
      <c r="J935" s="2">
        <v>0.08</v>
      </c>
      <c r="K935" s="2">
        <v>201512.12</v>
      </c>
      <c r="L935" s="2">
        <v>160668.1</v>
      </c>
      <c r="M935" s="2">
        <v>40844.019999999997</v>
      </c>
      <c r="N935" s="6" t="s">
        <v>29</v>
      </c>
      <c r="O935" s="6" t="s">
        <v>30</v>
      </c>
    </row>
    <row r="936" spans="1:15" x14ac:dyDescent="0.3">
      <c r="A936" s="2" t="s">
        <v>166</v>
      </c>
      <c r="B936" s="5">
        <v>45720</v>
      </c>
      <c r="C936" s="6" t="s">
        <v>63</v>
      </c>
      <c r="D936" s="6" t="s">
        <v>95</v>
      </c>
      <c r="E936" s="6" t="s">
        <v>18</v>
      </c>
      <c r="F936" s="6" t="s">
        <v>34</v>
      </c>
      <c r="G936" s="6" t="s">
        <v>70</v>
      </c>
      <c r="H936" s="2">
        <v>2</v>
      </c>
      <c r="I936" s="2">
        <v>68149.679999999993</v>
      </c>
      <c r="J936" s="2">
        <v>0</v>
      </c>
      <c r="K936" s="2">
        <v>136299.35</v>
      </c>
      <c r="L936" s="2">
        <v>95414.97</v>
      </c>
      <c r="M936" s="2">
        <v>40884.379999999997</v>
      </c>
      <c r="N936" s="6" t="s">
        <v>21</v>
      </c>
      <c r="O936" s="6" t="s">
        <v>59</v>
      </c>
    </row>
    <row r="937" spans="1:15" x14ac:dyDescent="0.3">
      <c r="A937" s="2" t="s">
        <v>1260</v>
      </c>
      <c r="B937" s="5">
        <v>45867</v>
      </c>
      <c r="C937" s="6" t="s">
        <v>54</v>
      </c>
      <c r="D937" s="6" t="s">
        <v>55</v>
      </c>
      <c r="E937" s="6" t="s">
        <v>74</v>
      </c>
      <c r="F937" s="6" t="s">
        <v>27</v>
      </c>
      <c r="G937" s="6" t="s">
        <v>89</v>
      </c>
      <c r="H937" s="2">
        <v>4</v>
      </c>
      <c r="I937" s="2">
        <v>29993.71</v>
      </c>
      <c r="J937" s="2">
        <v>0.05</v>
      </c>
      <c r="K937" s="2">
        <v>113976.09</v>
      </c>
      <c r="L937" s="2">
        <v>73012.47</v>
      </c>
      <c r="M937" s="2">
        <v>40963.620000000003</v>
      </c>
      <c r="N937" s="6" t="s">
        <v>21</v>
      </c>
      <c r="O937" s="6" t="s">
        <v>45</v>
      </c>
    </row>
    <row r="938" spans="1:15" x14ac:dyDescent="0.3">
      <c r="A938" s="2" t="s">
        <v>1020</v>
      </c>
      <c r="B938" s="5">
        <v>45768</v>
      </c>
      <c r="C938" s="6" t="s">
        <v>37</v>
      </c>
      <c r="D938" s="6" t="s">
        <v>42</v>
      </c>
      <c r="E938" s="6" t="s">
        <v>65</v>
      </c>
      <c r="F938" s="6" t="s">
        <v>34</v>
      </c>
      <c r="G938" s="6" t="s">
        <v>57</v>
      </c>
      <c r="H938" s="2">
        <v>8</v>
      </c>
      <c r="I938" s="2">
        <v>23057.279999999999</v>
      </c>
      <c r="J938" s="2">
        <v>0.05</v>
      </c>
      <c r="K938" s="2">
        <v>175235.34</v>
      </c>
      <c r="L938" s="2">
        <v>134153.68</v>
      </c>
      <c r="M938" s="2">
        <v>41081.660000000003</v>
      </c>
      <c r="N938" s="6" t="s">
        <v>21</v>
      </c>
      <c r="O938" s="6" t="s">
        <v>45</v>
      </c>
    </row>
    <row r="939" spans="1:15" x14ac:dyDescent="0.3">
      <c r="A939" s="2" t="s">
        <v>1061</v>
      </c>
      <c r="B939" s="5">
        <v>45844</v>
      </c>
      <c r="C939" s="6" t="s">
        <v>63</v>
      </c>
      <c r="D939" s="6" t="s">
        <v>117</v>
      </c>
      <c r="E939" s="6" t="s">
        <v>26</v>
      </c>
      <c r="F939" s="6" t="s">
        <v>43</v>
      </c>
      <c r="G939" s="6" t="s">
        <v>84</v>
      </c>
      <c r="H939" s="2">
        <v>3</v>
      </c>
      <c r="I939" s="2">
        <v>38991.300000000003</v>
      </c>
      <c r="J939" s="2">
        <v>0.03</v>
      </c>
      <c r="K939" s="2">
        <v>113464.67</v>
      </c>
      <c r="L939" s="2">
        <v>72369.95</v>
      </c>
      <c r="M939" s="2">
        <v>41094.720000000001</v>
      </c>
      <c r="N939" s="6" t="s">
        <v>29</v>
      </c>
      <c r="O939" s="6" t="s">
        <v>22</v>
      </c>
    </row>
    <row r="940" spans="1:15" x14ac:dyDescent="0.3">
      <c r="A940" s="2" t="s">
        <v>1171</v>
      </c>
      <c r="B940" s="5">
        <v>45822</v>
      </c>
      <c r="C940" s="6" t="s">
        <v>63</v>
      </c>
      <c r="D940" s="6" t="s">
        <v>64</v>
      </c>
      <c r="E940" s="6" t="s">
        <v>18</v>
      </c>
      <c r="F940" s="6" t="s">
        <v>43</v>
      </c>
      <c r="G940" s="6" t="s">
        <v>91</v>
      </c>
      <c r="H940" s="2">
        <v>5</v>
      </c>
      <c r="I940" s="2">
        <v>49865.54</v>
      </c>
      <c r="J940" s="2">
        <v>0.1</v>
      </c>
      <c r="K940" s="2">
        <v>224394.93</v>
      </c>
      <c r="L940" s="2">
        <v>183199.75</v>
      </c>
      <c r="M940" s="2">
        <v>41195.18</v>
      </c>
      <c r="N940" s="6" t="s">
        <v>21</v>
      </c>
      <c r="O940" s="6" t="s">
        <v>40</v>
      </c>
    </row>
    <row r="941" spans="1:15" x14ac:dyDescent="0.3">
      <c r="A941" s="2" t="s">
        <v>1156</v>
      </c>
      <c r="B941" s="5">
        <v>45930</v>
      </c>
      <c r="C941" s="6" t="s">
        <v>16</v>
      </c>
      <c r="D941" s="6" t="s">
        <v>32</v>
      </c>
      <c r="E941" s="6" t="s">
        <v>56</v>
      </c>
      <c r="F941" s="6" t="s">
        <v>34</v>
      </c>
      <c r="G941" s="6" t="s">
        <v>57</v>
      </c>
      <c r="H941" s="2">
        <v>6</v>
      </c>
      <c r="I941" s="2">
        <v>21829.27</v>
      </c>
      <c r="J941" s="2">
        <v>0.1</v>
      </c>
      <c r="K941" s="2">
        <v>117878.03</v>
      </c>
      <c r="L941" s="2">
        <v>76550.53</v>
      </c>
      <c r="M941" s="2">
        <v>41327.5</v>
      </c>
      <c r="N941" s="6" t="s">
        <v>21</v>
      </c>
      <c r="O941" s="6" t="s">
        <v>59</v>
      </c>
    </row>
    <row r="942" spans="1:15" x14ac:dyDescent="0.3">
      <c r="A942" s="2" t="s">
        <v>889</v>
      </c>
      <c r="B942" s="5">
        <v>45925</v>
      </c>
      <c r="C942" s="6" t="s">
        <v>63</v>
      </c>
      <c r="D942" s="6" t="s">
        <v>88</v>
      </c>
      <c r="E942" s="6" t="s">
        <v>69</v>
      </c>
      <c r="F942" s="6" t="s">
        <v>34</v>
      </c>
      <c r="G942" s="6" t="s">
        <v>39</v>
      </c>
      <c r="H942" s="2">
        <v>6</v>
      </c>
      <c r="I942" s="2">
        <v>30910.26</v>
      </c>
      <c r="J942" s="2">
        <v>0.03</v>
      </c>
      <c r="K942" s="2">
        <v>179897.74</v>
      </c>
      <c r="L942" s="2">
        <v>138563.74</v>
      </c>
      <c r="M942" s="2">
        <v>41334</v>
      </c>
      <c r="N942" s="6" t="s">
        <v>29</v>
      </c>
      <c r="O942" s="6" t="s">
        <v>45</v>
      </c>
    </row>
    <row r="943" spans="1:15" x14ac:dyDescent="0.3">
      <c r="A943" s="2" t="s">
        <v>636</v>
      </c>
      <c r="B943" s="5">
        <v>45914</v>
      </c>
      <c r="C943" s="6" t="s">
        <v>54</v>
      </c>
      <c r="D943" s="6" t="s">
        <v>55</v>
      </c>
      <c r="E943" s="6" t="s">
        <v>18</v>
      </c>
      <c r="F943" s="6" t="s">
        <v>34</v>
      </c>
      <c r="G943" s="6" t="s">
        <v>70</v>
      </c>
      <c r="H943" s="2">
        <v>2</v>
      </c>
      <c r="I943" s="2">
        <v>67351.28</v>
      </c>
      <c r="J943" s="2">
        <v>0</v>
      </c>
      <c r="K943" s="2">
        <v>134702.56</v>
      </c>
      <c r="L943" s="2">
        <v>93303.89</v>
      </c>
      <c r="M943" s="2">
        <v>41398.67</v>
      </c>
      <c r="N943" s="6" t="s">
        <v>29</v>
      </c>
      <c r="O943" s="6" t="s">
        <v>40</v>
      </c>
    </row>
    <row r="944" spans="1:15" x14ac:dyDescent="0.3">
      <c r="A944" s="2" t="s">
        <v>1217</v>
      </c>
      <c r="B944" s="5">
        <v>45759</v>
      </c>
      <c r="C944" s="6" t="s">
        <v>37</v>
      </c>
      <c r="D944" s="6" t="s">
        <v>42</v>
      </c>
      <c r="E944" s="6" t="s">
        <v>18</v>
      </c>
      <c r="F944" s="6" t="s">
        <v>34</v>
      </c>
      <c r="G944" s="6" t="s">
        <v>70</v>
      </c>
      <c r="H944" s="2">
        <v>2</v>
      </c>
      <c r="I944" s="2">
        <v>68269.960000000006</v>
      </c>
      <c r="J944" s="2">
        <v>0.05</v>
      </c>
      <c r="K944" s="2">
        <v>129712.92</v>
      </c>
      <c r="L944" s="2">
        <v>88260.46</v>
      </c>
      <c r="M944" s="2">
        <v>41452.46</v>
      </c>
      <c r="N944" s="6" t="s">
        <v>21</v>
      </c>
      <c r="O944" s="6" t="s">
        <v>30</v>
      </c>
    </row>
    <row r="945" spans="1:15" x14ac:dyDescent="0.3">
      <c r="A945" s="2" t="s">
        <v>479</v>
      </c>
      <c r="B945" s="5">
        <v>45970</v>
      </c>
      <c r="C945" s="6" t="s">
        <v>16</v>
      </c>
      <c r="D945" s="6" t="s">
        <v>82</v>
      </c>
      <c r="E945" s="6" t="s">
        <v>18</v>
      </c>
      <c r="F945" s="6" t="s">
        <v>27</v>
      </c>
      <c r="G945" s="6" t="s">
        <v>28</v>
      </c>
      <c r="H945" s="2">
        <v>4</v>
      </c>
      <c r="I945" s="2">
        <v>28005.71</v>
      </c>
      <c r="J945" s="2">
        <v>0</v>
      </c>
      <c r="K945" s="2">
        <v>112022.86</v>
      </c>
      <c r="L945" s="2">
        <v>70392.789999999994</v>
      </c>
      <c r="M945" s="2">
        <v>41630.07</v>
      </c>
      <c r="N945" s="6" t="s">
        <v>29</v>
      </c>
      <c r="O945" s="6" t="s">
        <v>30</v>
      </c>
    </row>
    <row r="946" spans="1:15" x14ac:dyDescent="0.3">
      <c r="A946" s="2" t="s">
        <v>127</v>
      </c>
      <c r="B946" s="5">
        <v>45783</v>
      </c>
      <c r="C946" s="6" t="s">
        <v>16</v>
      </c>
      <c r="D946" s="6" t="s">
        <v>32</v>
      </c>
      <c r="E946" s="6" t="s">
        <v>69</v>
      </c>
      <c r="F946" s="6" t="s">
        <v>34</v>
      </c>
      <c r="G946" s="6" t="s">
        <v>57</v>
      </c>
      <c r="H946" s="2">
        <v>7</v>
      </c>
      <c r="I946" s="2">
        <v>21769.27</v>
      </c>
      <c r="J946" s="2">
        <v>0.03</v>
      </c>
      <c r="K946" s="2">
        <v>147813.35</v>
      </c>
      <c r="L946" s="2">
        <v>106018.9</v>
      </c>
      <c r="M946" s="2">
        <v>41794.449999999997</v>
      </c>
      <c r="N946" s="6" t="s">
        <v>21</v>
      </c>
      <c r="O946" s="6" t="s">
        <v>40</v>
      </c>
    </row>
    <row r="947" spans="1:15" x14ac:dyDescent="0.3">
      <c r="A947" s="2" t="s">
        <v>582</v>
      </c>
      <c r="B947" s="5">
        <v>45787</v>
      </c>
      <c r="C947" s="6" t="s">
        <v>37</v>
      </c>
      <c r="D947" s="6" t="s">
        <v>68</v>
      </c>
      <c r="E947" s="6" t="s">
        <v>49</v>
      </c>
      <c r="F947" s="6" t="s">
        <v>43</v>
      </c>
      <c r="G947" s="6" t="s">
        <v>91</v>
      </c>
      <c r="H947" s="2">
        <v>5</v>
      </c>
      <c r="I947" s="2">
        <v>45996.03</v>
      </c>
      <c r="J947" s="2">
        <v>0.08</v>
      </c>
      <c r="K947" s="2">
        <v>211581.74</v>
      </c>
      <c r="L947" s="2">
        <v>169773.47</v>
      </c>
      <c r="M947" s="2">
        <v>41808.269999999997</v>
      </c>
      <c r="N947" s="6" t="s">
        <v>29</v>
      </c>
      <c r="O947" s="6" t="s">
        <v>40</v>
      </c>
    </row>
    <row r="948" spans="1:15" x14ac:dyDescent="0.3">
      <c r="A948" s="2" t="s">
        <v>914</v>
      </c>
      <c r="B948" s="5">
        <v>45872</v>
      </c>
      <c r="C948" s="6" t="s">
        <v>37</v>
      </c>
      <c r="D948" s="6" t="s">
        <v>68</v>
      </c>
      <c r="E948" s="6" t="s">
        <v>65</v>
      </c>
      <c r="F948" s="6" t="s">
        <v>34</v>
      </c>
      <c r="G948" s="6" t="s">
        <v>39</v>
      </c>
      <c r="H948" s="2">
        <v>7</v>
      </c>
      <c r="I948" s="2">
        <v>28860.93</v>
      </c>
      <c r="J948" s="2">
        <v>0.03</v>
      </c>
      <c r="K948" s="2">
        <v>195965.7</v>
      </c>
      <c r="L948" s="2">
        <v>153910.35999999999</v>
      </c>
      <c r="M948" s="2">
        <v>42055.34</v>
      </c>
      <c r="N948" s="6" t="s">
        <v>21</v>
      </c>
      <c r="O948" s="6" t="s">
        <v>30</v>
      </c>
    </row>
    <row r="949" spans="1:15" x14ac:dyDescent="0.3">
      <c r="A949" s="2" t="s">
        <v>953</v>
      </c>
      <c r="B949" s="5">
        <v>45933</v>
      </c>
      <c r="C949" s="6" t="s">
        <v>63</v>
      </c>
      <c r="D949" s="6" t="s">
        <v>117</v>
      </c>
      <c r="E949" s="6" t="s">
        <v>33</v>
      </c>
      <c r="F949" s="6" t="s">
        <v>34</v>
      </c>
      <c r="G949" s="6" t="s">
        <v>70</v>
      </c>
      <c r="H949" s="2">
        <v>2</v>
      </c>
      <c r="I949" s="2">
        <v>60860.31</v>
      </c>
      <c r="J949" s="2">
        <v>0.05</v>
      </c>
      <c r="K949" s="2">
        <v>115634.58</v>
      </c>
      <c r="L949" s="2">
        <v>73426.5</v>
      </c>
      <c r="M949" s="2">
        <v>42208.08</v>
      </c>
      <c r="N949" s="6" t="s">
        <v>21</v>
      </c>
      <c r="O949" s="6" t="s">
        <v>22</v>
      </c>
    </row>
    <row r="950" spans="1:15" x14ac:dyDescent="0.3">
      <c r="A950" s="2" t="s">
        <v>1196</v>
      </c>
      <c r="B950" s="5">
        <v>45670</v>
      </c>
      <c r="C950" s="6" t="s">
        <v>54</v>
      </c>
      <c r="D950" s="6" t="s">
        <v>174</v>
      </c>
      <c r="E950" s="6" t="s">
        <v>74</v>
      </c>
      <c r="F950" s="6" t="s">
        <v>27</v>
      </c>
      <c r="G950" s="6" t="s">
        <v>28</v>
      </c>
      <c r="H950" s="2">
        <v>5</v>
      </c>
      <c r="I950" s="2">
        <v>29004.44</v>
      </c>
      <c r="J950" s="2">
        <v>0.1</v>
      </c>
      <c r="K950" s="2">
        <v>130519.97</v>
      </c>
      <c r="L950" s="2">
        <v>88305.23</v>
      </c>
      <c r="M950" s="2">
        <v>42214.74</v>
      </c>
      <c r="N950" s="6" t="s">
        <v>21</v>
      </c>
      <c r="O950" s="6" t="s">
        <v>40</v>
      </c>
    </row>
    <row r="951" spans="1:15" x14ac:dyDescent="0.3">
      <c r="A951" s="2" t="s">
        <v>751</v>
      </c>
      <c r="B951" s="5">
        <v>45844</v>
      </c>
      <c r="C951" s="6" t="s">
        <v>37</v>
      </c>
      <c r="D951" s="6" t="s">
        <v>25</v>
      </c>
      <c r="E951" s="6" t="s">
        <v>26</v>
      </c>
      <c r="F951" s="6" t="s">
        <v>34</v>
      </c>
      <c r="G951" s="6" t="s">
        <v>39</v>
      </c>
      <c r="H951" s="2">
        <v>8</v>
      </c>
      <c r="I951" s="2">
        <v>28193.72</v>
      </c>
      <c r="J951" s="2">
        <v>0.08</v>
      </c>
      <c r="K951" s="2">
        <v>207505.75</v>
      </c>
      <c r="L951" s="2">
        <v>165245.59</v>
      </c>
      <c r="M951" s="2">
        <v>42260.160000000003</v>
      </c>
      <c r="N951" s="6" t="s">
        <v>58</v>
      </c>
      <c r="O951" s="6" t="s">
        <v>59</v>
      </c>
    </row>
    <row r="952" spans="1:15" x14ac:dyDescent="0.3">
      <c r="A952" s="2" t="s">
        <v>757</v>
      </c>
      <c r="B952" s="5">
        <v>45806</v>
      </c>
      <c r="C952" s="6" t="s">
        <v>37</v>
      </c>
      <c r="D952" s="6" t="s">
        <v>38</v>
      </c>
      <c r="E952" s="6" t="s">
        <v>65</v>
      </c>
      <c r="F952" s="6" t="s">
        <v>27</v>
      </c>
      <c r="G952" s="6" t="s">
        <v>50</v>
      </c>
      <c r="H952" s="2">
        <v>6</v>
      </c>
      <c r="I952" s="2">
        <v>29760.31</v>
      </c>
      <c r="J952" s="2">
        <v>0.03</v>
      </c>
      <c r="K952" s="2">
        <v>173204.99</v>
      </c>
      <c r="L952" s="2">
        <v>130936.8</v>
      </c>
      <c r="M952" s="2">
        <v>42268.19</v>
      </c>
      <c r="N952" s="6" t="s">
        <v>21</v>
      </c>
      <c r="O952" s="6" t="s">
        <v>30</v>
      </c>
    </row>
    <row r="953" spans="1:15" x14ac:dyDescent="0.3">
      <c r="A953" s="2" t="s">
        <v>1294</v>
      </c>
      <c r="B953" s="5">
        <v>45855</v>
      </c>
      <c r="C953" s="6" t="s">
        <v>37</v>
      </c>
      <c r="D953" s="6" t="s">
        <v>25</v>
      </c>
      <c r="E953" s="6" t="s">
        <v>33</v>
      </c>
      <c r="F953" s="6" t="s">
        <v>34</v>
      </c>
      <c r="G953" s="6" t="s">
        <v>70</v>
      </c>
      <c r="H953" s="2">
        <v>2</v>
      </c>
      <c r="I953" s="2">
        <v>66119.289999999994</v>
      </c>
      <c r="J953" s="2">
        <v>0.03</v>
      </c>
      <c r="K953" s="2">
        <v>128271.41</v>
      </c>
      <c r="L953" s="2">
        <v>85893</v>
      </c>
      <c r="M953" s="2">
        <v>42378.41</v>
      </c>
      <c r="N953" s="6" t="s">
        <v>29</v>
      </c>
      <c r="O953" s="6" t="s">
        <v>45</v>
      </c>
    </row>
    <row r="954" spans="1:15" x14ac:dyDescent="0.3">
      <c r="A954" s="2" t="s">
        <v>1220</v>
      </c>
      <c r="B954" s="5">
        <v>45913</v>
      </c>
      <c r="C954" s="6" t="s">
        <v>16</v>
      </c>
      <c r="D954" s="6" t="s">
        <v>52</v>
      </c>
      <c r="E954" s="6" t="s">
        <v>69</v>
      </c>
      <c r="F954" s="6" t="s">
        <v>34</v>
      </c>
      <c r="G954" s="6" t="s">
        <v>35</v>
      </c>
      <c r="H954" s="2">
        <v>8</v>
      </c>
      <c r="I954" s="2">
        <v>16956.66</v>
      </c>
      <c r="J954" s="2">
        <v>0.08</v>
      </c>
      <c r="K954" s="2">
        <v>124801</v>
      </c>
      <c r="L954" s="2">
        <v>82365.03</v>
      </c>
      <c r="M954" s="2">
        <v>42435.97</v>
      </c>
      <c r="N954" s="6" t="s">
        <v>58</v>
      </c>
      <c r="O954" s="6" t="s">
        <v>22</v>
      </c>
    </row>
    <row r="955" spans="1:15" x14ac:dyDescent="0.3">
      <c r="A955" s="2" t="s">
        <v>850</v>
      </c>
      <c r="B955" s="5">
        <v>45938</v>
      </c>
      <c r="C955" s="6" t="s">
        <v>16</v>
      </c>
      <c r="D955" s="6" t="s">
        <v>32</v>
      </c>
      <c r="E955" s="6" t="s">
        <v>49</v>
      </c>
      <c r="F955" s="6" t="s">
        <v>27</v>
      </c>
      <c r="G955" s="6" t="s">
        <v>50</v>
      </c>
      <c r="H955" s="2">
        <v>8</v>
      </c>
      <c r="I955" s="2">
        <v>30180.92</v>
      </c>
      <c r="J955" s="2">
        <v>0.08</v>
      </c>
      <c r="K955" s="2">
        <v>222131.59</v>
      </c>
      <c r="L955" s="2">
        <v>179516.37</v>
      </c>
      <c r="M955" s="2">
        <v>42615.22</v>
      </c>
      <c r="N955" s="6" t="s">
        <v>29</v>
      </c>
      <c r="O955" s="6" t="s">
        <v>30</v>
      </c>
    </row>
    <row r="956" spans="1:15" x14ac:dyDescent="0.3">
      <c r="A956" s="2" t="s">
        <v>1138</v>
      </c>
      <c r="B956" s="5">
        <v>45660</v>
      </c>
      <c r="C956" s="6" t="s">
        <v>37</v>
      </c>
      <c r="D956" s="6" t="s">
        <v>68</v>
      </c>
      <c r="E956" s="6" t="s">
        <v>33</v>
      </c>
      <c r="F956" s="6" t="s">
        <v>34</v>
      </c>
      <c r="G956" s="6" t="s">
        <v>70</v>
      </c>
      <c r="H956" s="2">
        <v>2</v>
      </c>
      <c r="I956" s="2">
        <v>61736.12</v>
      </c>
      <c r="J956" s="2">
        <v>0</v>
      </c>
      <c r="K956" s="2">
        <v>123472.23</v>
      </c>
      <c r="L956" s="2">
        <v>80653.399999999994</v>
      </c>
      <c r="M956" s="2">
        <v>42818.83</v>
      </c>
      <c r="N956" s="6" t="s">
        <v>58</v>
      </c>
      <c r="O956" s="6" t="s">
        <v>45</v>
      </c>
    </row>
    <row r="957" spans="1:15" x14ac:dyDescent="0.3">
      <c r="A957" s="2" t="s">
        <v>175</v>
      </c>
      <c r="B957" s="5">
        <v>45659</v>
      </c>
      <c r="C957" s="6" t="s">
        <v>37</v>
      </c>
      <c r="D957" s="6" t="s">
        <v>38</v>
      </c>
      <c r="E957" s="6" t="s">
        <v>56</v>
      </c>
      <c r="F957" s="6" t="s">
        <v>34</v>
      </c>
      <c r="G957" s="6" t="s">
        <v>57</v>
      </c>
      <c r="H957" s="2">
        <v>8</v>
      </c>
      <c r="I957" s="2">
        <v>20878.650000000001</v>
      </c>
      <c r="J957" s="2">
        <v>0.08</v>
      </c>
      <c r="K957" s="2">
        <v>153666.88</v>
      </c>
      <c r="L957" s="2">
        <v>110815.62</v>
      </c>
      <c r="M957" s="2">
        <v>42851.26</v>
      </c>
      <c r="N957" s="6" t="s">
        <v>58</v>
      </c>
      <c r="O957" s="6" t="s">
        <v>45</v>
      </c>
    </row>
    <row r="958" spans="1:15" x14ac:dyDescent="0.3">
      <c r="A958" s="2" t="s">
        <v>1013</v>
      </c>
      <c r="B958" s="5">
        <v>45720</v>
      </c>
      <c r="C958" s="6" t="s">
        <v>37</v>
      </c>
      <c r="D958" s="6" t="s">
        <v>25</v>
      </c>
      <c r="E958" s="6" t="s">
        <v>56</v>
      </c>
      <c r="F958" s="6" t="s">
        <v>43</v>
      </c>
      <c r="G958" s="6" t="s">
        <v>75</v>
      </c>
      <c r="H958" s="2">
        <v>4</v>
      </c>
      <c r="I958" s="2">
        <v>36362.949999999997</v>
      </c>
      <c r="J958" s="2">
        <v>0.05</v>
      </c>
      <c r="K958" s="2">
        <v>138179.23000000001</v>
      </c>
      <c r="L958" s="2">
        <v>95228.79</v>
      </c>
      <c r="M958" s="2">
        <v>42950.44</v>
      </c>
      <c r="N958" s="6" t="s">
        <v>29</v>
      </c>
      <c r="O958" s="6" t="s">
        <v>40</v>
      </c>
    </row>
    <row r="959" spans="1:15" x14ac:dyDescent="0.3">
      <c r="A959" s="2" t="s">
        <v>310</v>
      </c>
      <c r="B959" s="5">
        <v>45788</v>
      </c>
      <c r="C959" s="6" t="s">
        <v>63</v>
      </c>
      <c r="D959" s="6" t="s">
        <v>117</v>
      </c>
      <c r="E959" s="6" t="s">
        <v>49</v>
      </c>
      <c r="F959" s="6" t="s">
        <v>27</v>
      </c>
      <c r="G959" s="6" t="s">
        <v>28</v>
      </c>
      <c r="H959" s="2">
        <v>7</v>
      </c>
      <c r="I959" s="2">
        <v>28699.48</v>
      </c>
      <c r="J959" s="2">
        <v>0</v>
      </c>
      <c r="K959" s="2">
        <v>200896.36</v>
      </c>
      <c r="L959" s="2">
        <v>157672.82999999999</v>
      </c>
      <c r="M959" s="2">
        <v>43223.53</v>
      </c>
      <c r="N959" s="6" t="s">
        <v>29</v>
      </c>
      <c r="O959" s="6" t="s">
        <v>30</v>
      </c>
    </row>
    <row r="960" spans="1:15" x14ac:dyDescent="0.3">
      <c r="A960" s="2" t="s">
        <v>581</v>
      </c>
      <c r="B960" s="5">
        <v>45774</v>
      </c>
      <c r="C960" s="6" t="s">
        <v>54</v>
      </c>
      <c r="D960" s="6" t="s">
        <v>48</v>
      </c>
      <c r="E960" s="6" t="s">
        <v>65</v>
      </c>
      <c r="F960" s="6" t="s">
        <v>19</v>
      </c>
      <c r="G960" s="6" t="s">
        <v>108</v>
      </c>
      <c r="H960" s="2">
        <v>8</v>
      </c>
      <c r="I960" s="2">
        <v>15332.37</v>
      </c>
      <c r="J960" s="2">
        <v>0.03</v>
      </c>
      <c r="K960" s="2">
        <v>118979.22</v>
      </c>
      <c r="L960" s="2">
        <v>75398.100000000006</v>
      </c>
      <c r="M960" s="2">
        <v>43581.120000000003</v>
      </c>
      <c r="N960" s="6" t="s">
        <v>21</v>
      </c>
      <c r="O960" s="6" t="s">
        <v>45</v>
      </c>
    </row>
    <row r="961" spans="1:15" x14ac:dyDescent="0.3">
      <c r="A961" s="2" t="s">
        <v>517</v>
      </c>
      <c r="B961" s="5">
        <v>45837</v>
      </c>
      <c r="C961" s="6" t="s">
        <v>37</v>
      </c>
      <c r="D961" s="6" t="s">
        <v>42</v>
      </c>
      <c r="E961" s="6" t="s">
        <v>74</v>
      </c>
      <c r="F961" s="6" t="s">
        <v>43</v>
      </c>
      <c r="G961" s="6" t="s">
        <v>75</v>
      </c>
      <c r="H961" s="2">
        <v>5</v>
      </c>
      <c r="I961" s="2">
        <v>34539.949999999997</v>
      </c>
      <c r="J961" s="2">
        <v>0.15</v>
      </c>
      <c r="K961" s="2">
        <v>146794.81</v>
      </c>
      <c r="L961" s="2">
        <v>103160.97</v>
      </c>
      <c r="M961" s="2">
        <v>43633.84</v>
      </c>
      <c r="N961" s="6" t="s">
        <v>58</v>
      </c>
      <c r="O961" s="6" t="s">
        <v>40</v>
      </c>
    </row>
    <row r="962" spans="1:15" x14ac:dyDescent="0.3">
      <c r="A962" s="2" t="s">
        <v>565</v>
      </c>
      <c r="B962" s="5">
        <v>45906</v>
      </c>
      <c r="C962" s="6" t="s">
        <v>37</v>
      </c>
      <c r="D962" s="6" t="s">
        <v>42</v>
      </c>
      <c r="E962" s="6" t="s">
        <v>69</v>
      </c>
      <c r="F962" s="6" t="s">
        <v>19</v>
      </c>
      <c r="G962" s="6" t="s">
        <v>108</v>
      </c>
      <c r="H962" s="2">
        <v>8</v>
      </c>
      <c r="I962" s="2">
        <v>15367.14</v>
      </c>
      <c r="J962" s="2">
        <v>0.05</v>
      </c>
      <c r="K962" s="2">
        <v>116790.23</v>
      </c>
      <c r="L962" s="2">
        <v>73032.72</v>
      </c>
      <c r="M962" s="2">
        <v>43757.51</v>
      </c>
      <c r="N962" s="6" t="s">
        <v>21</v>
      </c>
      <c r="O962" s="6" t="s">
        <v>22</v>
      </c>
    </row>
    <row r="963" spans="1:15" x14ac:dyDescent="0.3">
      <c r="A963" s="2" t="s">
        <v>1349</v>
      </c>
      <c r="B963" s="5">
        <v>45750</v>
      </c>
      <c r="C963" s="6" t="s">
        <v>37</v>
      </c>
      <c r="D963" s="6" t="s">
        <v>25</v>
      </c>
      <c r="E963" s="6" t="s">
        <v>33</v>
      </c>
      <c r="F963" s="6" t="s">
        <v>43</v>
      </c>
      <c r="G963" s="6" t="s">
        <v>84</v>
      </c>
      <c r="H963" s="2">
        <v>5</v>
      </c>
      <c r="I963" s="2">
        <v>41346.5</v>
      </c>
      <c r="J963" s="2">
        <v>0</v>
      </c>
      <c r="K963" s="2">
        <v>206732.52</v>
      </c>
      <c r="L963" s="2">
        <v>162677.35</v>
      </c>
      <c r="M963" s="2">
        <v>44055.17</v>
      </c>
      <c r="N963" s="6" t="s">
        <v>58</v>
      </c>
      <c r="O963" s="6" t="s">
        <v>40</v>
      </c>
    </row>
    <row r="964" spans="1:15" x14ac:dyDescent="0.3">
      <c r="A964" s="2" t="s">
        <v>276</v>
      </c>
      <c r="B964" s="5">
        <v>45926</v>
      </c>
      <c r="C964" s="6" t="s">
        <v>54</v>
      </c>
      <c r="D964" s="6" t="s">
        <v>174</v>
      </c>
      <c r="E964" s="6" t="s">
        <v>74</v>
      </c>
      <c r="F964" s="6" t="s">
        <v>27</v>
      </c>
      <c r="G964" s="6" t="s">
        <v>28</v>
      </c>
      <c r="H964" s="2">
        <v>5</v>
      </c>
      <c r="I964" s="2">
        <v>26321.05</v>
      </c>
      <c r="J964" s="2">
        <v>0.05</v>
      </c>
      <c r="K964" s="2">
        <v>125024.97</v>
      </c>
      <c r="L964" s="2">
        <v>80934.86</v>
      </c>
      <c r="M964" s="2">
        <v>44090.11</v>
      </c>
      <c r="N964" s="6" t="s">
        <v>29</v>
      </c>
      <c r="O964" s="6" t="s">
        <v>40</v>
      </c>
    </row>
    <row r="965" spans="1:15" x14ac:dyDescent="0.3">
      <c r="A965" s="2" t="s">
        <v>462</v>
      </c>
      <c r="B965" s="5">
        <v>45956</v>
      </c>
      <c r="C965" s="6" t="s">
        <v>16</v>
      </c>
      <c r="D965" s="6" t="s">
        <v>17</v>
      </c>
      <c r="E965" s="6" t="s">
        <v>33</v>
      </c>
      <c r="F965" s="6" t="s">
        <v>43</v>
      </c>
      <c r="G965" s="6" t="s">
        <v>75</v>
      </c>
      <c r="H965" s="2">
        <v>4</v>
      </c>
      <c r="I965" s="2">
        <v>33572.49</v>
      </c>
      <c r="J965" s="2">
        <v>0.08</v>
      </c>
      <c r="K965" s="2">
        <v>123546.77</v>
      </c>
      <c r="L965" s="2">
        <v>79413.149999999994</v>
      </c>
      <c r="M965" s="2">
        <v>44133.62</v>
      </c>
      <c r="N965" s="6" t="s">
        <v>21</v>
      </c>
      <c r="O965" s="6" t="s">
        <v>45</v>
      </c>
    </row>
    <row r="966" spans="1:15" x14ac:dyDescent="0.3">
      <c r="A966" s="2" t="s">
        <v>1327</v>
      </c>
      <c r="B966" s="5">
        <v>45659</v>
      </c>
      <c r="C966" s="6" t="s">
        <v>54</v>
      </c>
      <c r="D966" s="6" t="s">
        <v>48</v>
      </c>
      <c r="E966" s="6" t="s">
        <v>26</v>
      </c>
      <c r="F966" s="6" t="s">
        <v>34</v>
      </c>
      <c r="G966" s="6" t="s">
        <v>70</v>
      </c>
      <c r="H966" s="2">
        <v>2</v>
      </c>
      <c r="I966" s="2">
        <v>63331.56</v>
      </c>
      <c r="J966" s="2">
        <v>0.05</v>
      </c>
      <c r="K966" s="2">
        <v>120329.97</v>
      </c>
      <c r="L966" s="2">
        <v>75818.8</v>
      </c>
      <c r="M966" s="2">
        <v>44511.17</v>
      </c>
      <c r="N966" s="6" t="s">
        <v>58</v>
      </c>
      <c r="O966" s="6" t="s">
        <v>22</v>
      </c>
    </row>
    <row r="967" spans="1:15" x14ac:dyDescent="0.3">
      <c r="A967" s="2" t="s">
        <v>561</v>
      </c>
      <c r="B967" s="5">
        <v>45793</v>
      </c>
      <c r="C967" s="6" t="s">
        <v>54</v>
      </c>
      <c r="D967" s="6" t="s">
        <v>174</v>
      </c>
      <c r="E967" s="6" t="s">
        <v>26</v>
      </c>
      <c r="F967" s="6" t="s">
        <v>34</v>
      </c>
      <c r="G967" s="6" t="s">
        <v>39</v>
      </c>
      <c r="H967" s="2">
        <v>4</v>
      </c>
      <c r="I967" s="2">
        <v>29877.29</v>
      </c>
      <c r="J967" s="2">
        <v>0</v>
      </c>
      <c r="K967" s="2">
        <v>119509.15</v>
      </c>
      <c r="L967" s="2">
        <v>74835.94</v>
      </c>
      <c r="M967" s="2">
        <v>44673.21</v>
      </c>
      <c r="N967" s="6" t="s">
        <v>29</v>
      </c>
      <c r="O967" s="6" t="s">
        <v>45</v>
      </c>
    </row>
    <row r="968" spans="1:15" x14ac:dyDescent="0.3">
      <c r="A968" s="2" t="s">
        <v>1204</v>
      </c>
      <c r="B968" s="5">
        <v>45685</v>
      </c>
      <c r="C968" s="6" t="s">
        <v>63</v>
      </c>
      <c r="D968" s="6" t="s">
        <v>117</v>
      </c>
      <c r="E968" s="6" t="s">
        <v>26</v>
      </c>
      <c r="F968" s="6" t="s">
        <v>34</v>
      </c>
      <c r="G968" s="6" t="s">
        <v>57</v>
      </c>
      <c r="H968" s="2">
        <v>8</v>
      </c>
      <c r="I968" s="2">
        <v>21588.44</v>
      </c>
      <c r="J968" s="2">
        <v>0.05</v>
      </c>
      <c r="K968" s="2">
        <v>164072.16</v>
      </c>
      <c r="L968" s="2">
        <v>119368.74</v>
      </c>
      <c r="M968" s="2">
        <v>44703.42</v>
      </c>
      <c r="N968" s="6" t="s">
        <v>21</v>
      </c>
      <c r="O968" s="6" t="s">
        <v>40</v>
      </c>
    </row>
    <row r="969" spans="1:15" x14ac:dyDescent="0.3">
      <c r="A969" s="2" t="s">
        <v>1319</v>
      </c>
      <c r="B969" s="5">
        <v>45874</v>
      </c>
      <c r="C969" s="6" t="s">
        <v>63</v>
      </c>
      <c r="D969" s="6" t="s">
        <v>64</v>
      </c>
      <c r="E969" s="6" t="s">
        <v>49</v>
      </c>
      <c r="F969" s="6" t="s">
        <v>43</v>
      </c>
      <c r="G969" s="6" t="s">
        <v>91</v>
      </c>
      <c r="H969" s="2">
        <v>4</v>
      </c>
      <c r="I969" s="2">
        <v>48978.239999999998</v>
      </c>
      <c r="J969" s="2">
        <v>0.15</v>
      </c>
      <c r="K969" s="2">
        <v>166526.03</v>
      </c>
      <c r="L969" s="2">
        <v>121806.58</v>
      </c>
      <c r="M969" s="2">
        <v>44719.45</v>
      </c>
      <c r="N969" s="6" t="s">
        <v>29</v>
      </c>
      <c r="O969" s="6" t="s">
        <v>59</v>
      </c>
    </row>
    <row r="970" spans="1:15" x14ac:dyDescent="0.3">
      <c r="A970" s="2" t="s">
        <v>295</v>
      </c>
      <c r="B970" s="5">
        <v>45763</v>
      </c>
      <c r="C970" s="6" t="s">
        <v>37</v>
      </c>
      <c r="D970" s="6" t="s">
        <v>42</v>
      </c>
      <c r="E970" s="6" t="s">
        <v>49</v>
      </c>
      <c r="F970" s="6" t="s">
        <v>34</v>
      </c>
      <c r="G970" s="6" t="s">
        <v>35</v>
      </c>
      <c r="H970" s="2">
        <v>8</v>
      </c>
      <c r="I970" s="2">
        <v>17919.53</v>
      </c>
      <c r="J970" s="2">
        <v>0</v>
      </c>
      <c r="K970" s="2">
        <v>143356.26999999999</v>
      </c>
      <c r="L970" s="2">
        <v>98608.9</v>
      </c>
      <c r="M970" s="2">
        <v>44747.37</v>
      </c>
      <c r="N970" s="6" t="s">
        <v>21</v>
      </c>
      <c r="O970" s="6" t="s">
        <v>40</v>
      </c>
    </row>
    <row r="971" spans="1:15" x14ac:dyDescent="0.3">
      <c r="A971" s="2" t="s">
        <v>1115</v>
      </c>
      <c r="B971" s="5">
        <v>46005</v>
      </c>
      <c r="C971" s="6" t="s">
        <v>16</v>
      </c>
      <c r="D971" s="6" t="s">
        <v>52</v>
      </c>
      <c r="E971" s="6" t="s">
        <v>49</v>
      </c>
      <c r="F971" s="6" t="s">
        <v>34</v>
      </c>
      <c r="G971" s="6" t="s">
        <v>35</v>
      </c>
      <c r="H971" s="2">
        <v>7</v>
      </c>
      <c r="I971" s="2">
        <v>19264.63</v>
      </c>
      <c r="J971" s="2">
        <v>0.08</v>
      </c>
      <c r="K971" s="2">
        <v>124064.24</v>
      </c>
      <c r="L971" s="2">
        <v>79145.42</v>
      </c>
      <c r="M971" s="2">
        <v>44918.82</v>
      </c>
      <c r="N971" s="6" t="s">
        <v>29</v>
      </c>
      <c r="O971" s="6" t="s">
        <v>40</v>
      </c>
    </row>
    <row r="972" spans="1:15" x14ac:dyDescent="0.3">
      <c r="A972" s="2" t="s">
        <v>903</v>
      </c>
      <c r="B972" s="5">
        <v>45915</v>
      </c>
      <c r="C972" s="6" t="s">
        <v>16</v>
      </c>
      <c r="D972" s="6" t="s">
        <v>82</v>
      </c>
      <c r="E972" s="6" t="s">
        <v>26</v>
      </c>
      <c r="F972" s="6" t="s">
        <v>34</v>
      </c>
      <c r="G972" s="6" t="s">
        <v>35</v>
      </c>
      <c r="H972" s="2">
        <v>8</v>
      </c>
      <c r="I972" s="2">
        <v>17725.400000000001</v>
      </c>
      <c r="J972" s="2">
        <v>0.05</v>
      </c>
      <c r="K972" s="2">
        <v>134713.06</v>
      </c>
      <c r="L972" s="2">
        <v>89725.57</v>
      </c>
      <c r="M972" s="2">
        <v>44987.49</v>
      </c>
      <c r="N972" s="6" t="s">
        <v>58</v>
      </c>
      <c r="O972" s="6" t="s">
        <v>40</v>
      </c>
    </row>
    <row r="973" spans="1:15" x14ac:dyDescent="0.3">
      <c r="A973" s="2" t="s">
        <v>799</v>
      </c>
      <c r="B973" s="5">
        <v>45796</v>
      </c>
      <c r="C973" s="6" t="s">
        <v>16</v>
      </c>
      <c r="D973" s="6" t="s">
        <v>52</v>
      </c>
      <c r="E973" s="6" t="s">
        <v>18</v>
      </c>
      <c r="F973" s="6" t="s">
        <v>27</v>
      </c>
      <c r="G973" s="6" t="s">
        <v>89</v>
      </c>
      <c r="H973" s="2">
        <v>7</v>
      </c>
      <c r="I973" s="2">
        <v>32880.519999999997</v>
      </c>
      <c r="J973" s="2">
        <v>0.03</v>
      </c>
      <c r="K973" s="2">
        <v>223258.72</v>
      </c>
      <c r="L973" s="2">
        <v>178264.19</v>
      </c>
      <c r="M973" s="2">
        <v>44994.53</v>
      </c>
      <c r="N973" s="6" t="s">
        <v>21</v>
      </c>
      <c r="O973" s="6" t="s">
        <v>45</v>
      </c>
    </row>
    <row r="974" spans="1:15" x14ac:dyDescent="0.3">
      <c r="A974" s="2" t="s">
        <v>930</v>
      </c>
      <c r="B974" s="5">
        <v>45891</v>
      </c>
      <c r="C974" s="6" t="s">
        <v>54</v>
      </c>
      <c r="D974" s="6" t="s">
        <v>124</v>
      </c>
      <c r="E974" s="6" t="s">
        <v>69</v>
      </c>
      <c r="F974" s="6" t="s">
        <v>34</v>
      </c>
      <c r="G974" s="6" t="s">
        <v>70</v>
      </c>
      <c r="H974" s="2">
        <v>4</v>
      </c>
      <c r="I974" s="2">
        <v>61740.42</v>
      </c>
      <c r="J974" s="2">
        <v>0.03</v>
      </c>
      <c r="K974" s="2">
        <v>239552.82</v>
      </c>
      <c r="L974" s="2">
        <v>194555.06</v>
      </c>
      <c r="M974" s="2">
        <v>44997.760000000002</v>
      </c>
      <c r="N974" s="6" t="s">
        <v>21</v>
      </c>
      <c r="O974" s="6" t="s">
        <v>40</v>
      </c>
    </row>
    <row r="975" spans="1:15" x14ac:dyDescent="0.3">
      <c r="A975" s="2" t="s">
        <v>1004</v>
      </c>
      <c r="B975" s="5">
        <v>45958</v>
      </c>
      <c r="C975" s="6" t="s">
        <v>54</v>
      </c>
      <c r="D975" s="6" t="s">
        <v>124</v>
      </c>
      <c r="E975" s="6" t="s">
        <v>18</v>
      </c>
      <c r="F975" s="6" t="s">
        <v>34</v>
      </c>
      <c r="G975" s="6" t="s">
        <v>57</v>
      </c>
      <c r="H975" s="2">
        <v>6</v>
      </c>
      <c r="I975" s="2">
        <v>20576.419999999998</v>
      </c>
      <c r="J975" s="2">
        <v>0</v>
      </c>
      <c r="K975" s="2">
        <v>123458.53</v>
      </c>
      <c r="L975" s="2">
        <v>78196.149999999994</v>
      </c>
      <c r="M975" s="2">
        <v>45262.38</v>
      </c>
      <c r="N975" s="6" t="s">
        <v>58</v>
      </c>
      <c r="O975" s="6" t="s">
        <v>22</v>
      </c>
    </row>
    <row r="976" spans="1:15" x14ac:dyDescent="0.3">
      <c r="A976" s="2" t="s">
        <v>1080</v>
      </c>
      <c r="B976" s="5">
        <v>45863</v>
      </c>
      <c r="C976" s="6" t="s">
        <v>16</v>
      </c>
      <c r="D976" s="6" t="s">
        <v>82</v>
      </c>
      <c r="E976" s="6" t="s">
        <v>69</v>
      </c>
      <c r="F976" s="6" t="s">
        <v>43</v>
      </c>
      <c r="G976" s="6" t="s">
        <v>75</v>
      </c>
      <c r="H976" s="2">
        <v>7</v>
      </c>
      <c r="I976" s="2">
        <v>38170.61</v>
      </c>
      <c r="J976" s="2">
        <v>0</v>
      </c>
      <c r="K976" s="2">
        <v>267194.28999999998</v>
      </c>
      <c r="L976" s="2">
        <v>221784.71</v>
      </c>
      <c r="M976" s="2">
        <v>45409.58</v>
      </c>
      <c r="N976" s="6" t="s">
        <v>58</v>
      </c>
      <c r="O976" s="6" t="s">
        <v>45</v>
      </c>
    </row>
    <row r="977" spans="1:15" x14ac:dyDescent="0.3">
      <c r="A977" s="2" t="s">
        <v>809</v>
      </c>
      <c r="B977" s="5">
        <v>45714</v>
      </c>
      <c r="C977" s="6" t="s">
        <v>63</v>
      </c>
      <c r="D977" s="6" t="s">
        <v>117</v>
      </c>
      <c r="E977" s="6" t="s">
        <v>69</v>
      </c>
      <c r="F977" s="6" t="s">
        <v>34</v>
      </c>
      <c r="G977" s="6" t="s">
        <v>57</v>
      </c>
      <c r="H977" s="2">
        <v>7</v>
      </c>
      <c r="I977" s="2">
        <v>21166.04</v>
      </c>
      <c r="J977" s="2">
        <v>0.08</v>
      </c>
      <c r="K977" s="2">
        <v>136309.31</v>
      </c>
      <c r="L977" s="2">
        <v>90712.94</v>
      </c>
      <c r="M977" s="2">
        <v>45596.37</v>
      </c>
      <c r="N977" s="6" t="s">
        <v>58</v>
      </c>
      <c r="O977" s="6" t="s">
        <v>59</v>
      </c>
    </row>
    <row r="978" spans="1:15" x14ac:dyDescent="0.3">
      <c r="A978" s="2" t="s">
        <v>1342</v>
      </c>
      <c r="B978" s="5">
        <v>45996</v>
      </c>
      <c r="C978" s="6" t="s">
        <v>54</v>
      </c>
      <c r="D978" s="6" t="s">
        <v>48</v>
      </c>
      <c r="E978" s="6" t="s">
        <v>18</v>
      </c>
      <c r="F978" s="6" t="s">
        <v>43</v>
      </c>
      <c r="G978" s="6" t="s">
        <v>75</v>
      </c>
      <c r="H978" s="2">
        <v>4</v>
      </c>
      <c r="I978" s="2">
        <v>37027.35</v>
      </c>
      <c r="J978" s="2">
        <v>0.03</v>
      </c>
      <c r="K978" s="2">
        <v>143666.13</v>
      </c>
      <c r="L978" s="2">
        <v>97766.83</v>
      </c>
      <c r="M978" s="2">
        <v>45899.3</v>
      </c>
      <c r="N978" s="6" t="s">
        <v>29</v>
      </c>
      <c r="O978" s="6" t="s">
        <v>59</v>
      </c>
    </row>
    <row r="979" spans="1:15" x14ac:dyDescent="0.3">
      <c r="A979" s="2" t="s">
        <v>512</v>
      </c>
      <c r="B979" s="5">
        <v>45919</v>
      </c>
      <c r="C979" s="6" t="s">
        <v>16</v>
      </c>
      <c r="D979" s="6" t="s">
        <v>52</v>
      </c>
      <c r="E979" s="6" t="s">
        <v>69</v>
      </c>
      <c r="F979" s="6" t="s">
        <v>34</v>
      </c>
      <c r="G979" s="6" t="s">
        <v>70</v>
      </c>
      <c r="H979" s="2">
        <v>3</v>
      </c>
      <c r="I979" s="2">
        <v>63886.11</v>
      </c>
      <c r="J979" s="2">
        <v>0</v>
      </c>
      <c r="K979" s="2">
        <v>191658.33</v>
      </c>
      <c r="L979" s="2">
        <v>145656.60999999999</v>
      </c>
      <c r="M979" s="2">
        <v>46001.72</v>
      </c>
      <c r="N979" s="6" t="s">
        <v>58</v>
      </c>
      <c r="O979" s="6" t="s">
        <v>22</v>
      </c>
    </row>
    <row r="980" spans="1:15" x14ac:dyDescent="0.3">
      <c r="A980" s="2" t="s">
        <v>218</v>
      </c>
      <c r="B980" s="5">
        <v>45779</v>
      </c>
      <c r="C980" s="6" t="s">
        <v>54</v>
      </c>
      <c r="D980" s="6" t="s">
        <v>48</v>
      </c>
      <c r="E980" s="6" t="s">
        <v>56</v>
      </c>
      <c r="F980" s="6" t="s">
        <v>27</v>
      </c>
      <c r="G980" s="6" t="s">
        <v>28</v>
      </c>
      <c r="H980" s="2">
        <v>6</v>
      </c>
      <c r="I980" s="2">
        <v>27202.98</v>
      </c>
      <c r="J980" s="2">
        <v>0.15</v>
      </c>
      <c r="K980" s="2">
        <v>138735.22</v>
      </c>
      <c r="L980" s="2">
        <v>92703.73</v>
      </c>
      <c r="M980" s="2">
        <v>46031.49</v>
      </c>
      <c r="N980" s="6" t="s">
        <v>58</v>
      </c>
      <c r="O980" s="6" t="s">
        <v>59</v>
      </c>
    </row>
    <row r="981" spans="1:15" x14ac:dyDescent="0.3">
      <c r="A981" s="2" t="s">
        <v>176</v>
      </c>
      <c r="B981" s="5">
        <v>45883</v>
      </c>
      <c r="C981" s="6" t="s">
        <v>16</v>
      </c>
      <c r="D981" s="6" t="s">
        <v>52</v>
      </c>
      <c r="E981" s="6" t="s">
        <v>18</v>
      </c>
      <c r="F981" s="6" t="s">
        <v>43</v>
      </c>
      <c r="G981" s="6" t="s">
        <v>91</v>
      </c>
      <c r="H981" s="2">
        <v>4</v>
      </c>
      <c r="I981" s="2">
        <v>48953.46</v>
      </c>
      <c r="J981" s="2">
        <v>0.05</v>
      </c>
      <c r="K981" s="2">
        <v>186023.16</v>
      </c>
      <c r="L981" s="2">
        <v>139980.81</v>
      </c>
      <c r="M981" s="2">
        <v>46042.35</v>
      </c>
      <c r="N981" s="6" t="s">
        <v>58</v>
      </c>
      <c r="O981" s="6" t="s">
        <v>22</v>
      </c>
    </row>
    <row r="982" spans="1:15" x14ac:dyDescent="0.3">
      <c r="A982" s="2" t="s">
        <v>1350</v>
      </c>
      <c r="B982" s="5">
        <v>45944</v>
      </c>
      <c r="C982" s="6" t="s">
        <v>37</v>
      </c>
      <c r="D982" s="6" t="s">
        <v>68</v>
      </c>
      <c r="E982" s="6" t="s">
        <v>49</v>
      </c>
      <c r="F982" s="6" t="s">
        <v>43</v>
      </c>
      <c r="G982" s="6" t="s">
        <v>75</v>
      </c>
      <c r="H982" s="2">
        <v>4</v>
      </c>
      <c r="I982" s="2">
        <v>36399.93</v>
      </c>
      <c r="J982" s="2">
        <v>0.05</v>
      </c>
      <c r="K982" s="2">
        <v>138319.74</v>
      </c>
      <c r="L982" s="2">
        <v>92149.6</v>
      </c>
      <c r="M982" s="2">
        <v>46170.14</v>
      </c>
      <c r="N982" s="6" t="s">
        <v>29</v>
      </c>
      <c r="O982" s="6" t="s">
        <v>30</v>
      </c>
    </row>
    <row r="983" spans="1:15" x14ac:dyDescent="0.3">
      <c r="A983" s="2" t="s">
        <v>1072</v>
      </c>
      <c r="B983" s="5">
        <v>45905</v>
      </c>
      <c r="C983" s="6" t="s">
        <v>16</v>
      </c>
      <c r="D983" s="6" t="s">
        <v>52</v>
      </c>
      <c r="E983" s="6" t="s">
        <v>56</v>
      </c>
      <c r="F983" s="6" t="s">
        <v>27</v>
      </c>
      <c r="G983" s="6" t="s">
        <v>89</v>
      </c>
      <c r="H983" s="2">
        <v>6</v>
      </c>
      <c r="I983" s="2">
        <v>34364.22</v>
      </c>
      <c r="J983" s="2">
        <v>0.05</v>
      </c>
      <c r="K983" s="2">
        <v>195876.08</v>
      </c>
      <c r="L983" s="2">
        <v>149700.22</v>
      </c>
      <c r="M983" s="2">
        <v>46175.86</v>
      </c>
      <c r="N983" s="6" t="s">
        <v>58</v>
      </c>
      <c r="O983" s="6" t="s">
        <v>30</v>
      </c>
    </row>
    <row r="984" spans="1:15" x14ac:dyDescent="0.3">
      <c r="A984" s="2" t="s">
        <v>277</v>
      </c>
      <c r="B984" s="5">
        <v>45771</v>
      </c>
      <c r="C984" s="6" t="s">
        <v>37</v>
      </c>
      <c r="D984" s="6" t="s">
        <v>25</v>
      </c>
      <c r="E984" s="6" t="s">
        <v>18</v>
      </c>
      <c r="F984" s="6" t="s">
        <v>34</v>
      </c>
      <c r="G984" s="6" t="s">
        <v>39</v>
      </c>
      <c r="H984" s="2">
        <v>7</v>
      </c>
      <c r="I984" s="2">
        <v>28056.06</v>
      </c>
      <c r="J984" s="2">
        <v>0.05</v>
      </c>
      <c r="K984" s="2">
        <v>186572.77</v>
      </c>
      <c r="L984" s="2">
        <v>140306.84</v>
      </c>
      <c r="M984" s="2">
        <v>46265.93</v>
      </c>
      <c r="N984" s="6" t="s">
        <v>58</v>
      </c>
      <c r="O984" s="6" t="s">
        <v>40</v>
      </c>
    </row>
    <row r="985" spans="1:15" x14ac:dyDescent="0.3">
      <c r="A985" s="2" t="s">
        <v>999</v>
      </c>
      <c r="B985" s="5">
        <v>45909</v>
      </c>
      <c r="C985" s="6" t="s">
        <v>54</v>
      </c>
      <c r="D985" s="6" t="s">
        <v>174</v>
      </c>
      <c r="E985" s="6" t="s">
        <v>49</v>
      </c>
      <c r="F985" s="6" t="s">
        <v>34</v>
      </c>
      <c r="G985" s="6" t="s">
        <v>57</v>
      </c>
      <c r="H985" s="2">
        <v>8</v>
      </c>
      <c r="I985" s="2">
        <v>22865.54</v>
      </c>
      <c r="J985" s="2">
        <v>0.05</v>
      </c>
      <c r="K985" s="2">
        <v>173778.11</v>
      </c>
      <c r="L985" s="2">
        <v>127476.92</v>
      </c>
      <c r="M985" s="2">
        <v>46301.19</v>
      </c>
      <c r="N985" s="6" t="s">
        <v>21</v>
      </c>
      <c r="O985" s="6" t="s">
        <v>22</v>
      </c>
    </row>
    <row r="986" spans="1:15" x14ac:dyDescent="0.3">
      <c r="A986" s="2" t="s">
        <v>861</v>
      </c>
      <c r="B986" s="5">
        <v>46010</v>
      </c>
      <c r="C986" s="6" t="s">
        <v>37</v>
      </c>
      <c r="D986" s="6" t="s">
        <v>42</v>
      </c>
      <c r="E986" s="6" t="s">
        <v>18</v>
      </c>
      <c r="F986" s="6" t="s">
        <v>34</v>
      </c>
      <c r="G986" s="6" t="s">
        <v>70</v>
      </c>
      <c r="H986" s="2">
        <v>3</v>
      </c>
      <c r="I986" s="2">
        <v>66311.42</v>
      </c>
      <c r="J986" s="2">
        <v>0.1</v>
      </c>
      <c r="K986" s="2">
        <v>179040.83</v>
      </c>
      <c r="L986" s="2">
        <v>132733.26999999999</v>
      </c>
      <c r="M986" s="2">
        <v>46307.56</v>
      </c>
      <c r="N986" s="6" t="s">
        <v>21</v>
      </c>
      <c r="O986" s="6" t="s">
        <v>22</v>
      </c>
    </row>
    <row r="987" spans="1:15" x14ac:dyDescent="0.3">
      <c r="A987" s="2" t="s">
        <v>444</v>
      </c>
      <c r="B987" s="5">
        <v>45705</v>
      </c>
      <c r="C987" s="6" t="s">
        <v>16</v>
      </c>
      <c r="D987" s="6" t="s">
        <v>52</v>
      </c>
      <c r="E987" s="6" t="s">
        <v>74</v>
      </c>
      <c r="F987" s="6" t="s">
        <v>27</v>
      </c>
      <c r="G987" s="6" t="s">
        <v>89</v>
      </c>
      <c r="H987" s="2">
        <v>4</v>
      </c>
      <c r="I987" s="2">
        <v>32675.78</v>
      </c>
      <c r="J987" s="2">
        <v>0</v>
      </c>
      <c r="K987" s="2">
        <v>130703.13</v>
      </c>
      <c r="L987" s="2">
        <v>84288.21</v>
      </c>
      <c r="M987" s="2">
        <v>46414.92</v>
      </c>
      <c r="N987" s="6" t="s">
        <v>21</v>
      </c>
      <c r="O987" s="6" t="s">
        <v>30</v>
      </c>
    </row>
    <row r="988" spans="1:15" x14ac:dyDescent="0.3">
      <c r="A988" s="2" t="s">
        <v>1047</v>
      </c>
      <c r="B988" s="5">
        <v>45770</v>
      </c>
      <c r="C988" s="6" t="s">
        <v>37</v>
      </c>
      <c r="D988" s="6" t="s">
        <v>38</v>
      </c>
      <c r="E988" s="6" t="s">
        <v>33</v>
      </c>
      <c r="F988" s="6" t="s">
        <v>34</v>
      </c>
      <c r="G988" s="6" t="s">
        <v>57</v>
      </c>
      <c r="H988" s="2">
        <v>7</v>
      </c>
      <c r="I988" s="2">
        <v>21412.19</v>
      </c>
      <c r="J988" s="2">
        <v>0.05</v>
      </c>
      <c r="K988" s="2">
        <v>142391.04000000001</v>
      </c>
      <c r="L988" s="2">
        <v>95605.9</v>
      </c>
      <c r="M988" s="2">
        <v>46785.14</v>
      </c>
      <c r="N988" s="6" t="s">
        <v>58</v>
      </c>
      <c r="O988" s="6" t="s">
        <v>30</v>
      </c>
    </row>
    <row r="989" spans="1:15" x14ac:dyDescent="0.3">
      <c r="A989" s="2" t="s">
        <v>878</v>
      </c>
      <c r="B989" s="5">
        <v>45938</v>
      </c>
      <c r="C989" s="6" t="s">
        <v>16</v>
      </c>
      <c r="D989" s="6" t="s">
        <v>82</v>
      </c>
      <c r="E989" s="6" t="s">
        <v>56</v>
      </c>
      <c r="F989" s="6" t="s">
        <v>27</v>
      </c>
      <c r="G989" s="6" t="s">
        <v>89</v>
      </c>
      <c r="H989" s="2">
        <v>4</v>
      </c>
      <c r="I989" s="2">
        <v>33138.550000000003</v>
      </c>
      <c r="J989" s="2">
        <v>0</v>
      </c>
      <c r="K989" s="2">
        <v>132554.21</v>
      </c>
      <c r="L989" s="2">
        <v>85559.93</v>
      </c>
      <c r="M989" s="2">
        <v>46994.28</v>
      </c>
      <c r="N989" s="6" t="s">
        <v>29</v>
      </c>
      <c r="O989" s="6" t="s">
        <v>59</v>
      </c>
    </row>
    <row r="990" spans="1:15" x14ac:dyDescent="0.3">
      <c r="A990" s="2" t="s">
        <v>921</v>
      </c>
      <c r="B990" s="5">
        <v>45973</v>
      </c>
      <c r="C990" s="6" t="s">
        <v>54</v>
      </c>
      <c r="D990" s="6" t="s">
        <v>174</v>
      </c>
      <c r="E990" s="6" t="s">
        <v>18</v>
      </c>
      <c r="F990" s="6" t="s">
        <v>34</v>
      </c>
      <c r="G990" s="6" t="s">
        <v>57</v>
      </c>
      <c r="H990" s="2">
        <v>7</v>
      </c>
      <c r="I990" s="2">
        <v>23199.56</v>
      </c>
      <c r="J990" s="2">
        <v>0</v>
      </c>
      <c r="K990" s="2">
        <v>162396.94</v>
      </c>
      <c r="L990" s="2">
        <v>114980.36</v>
      </c>
      <c r="M990" s="2">
        <v>47416.58</v>
      </c>
      <c r="N990" s="6" t="s">
        <v>21</v>
      </c>
      <c r="O990" s="6" t="s">
        <v>59</v>
      </c>
    </row>
    <row r="991" spans="1:15" x14ac:dyDescent="0.3">
      <c r="A991" s="2" t="s">
        <v>897</v>
      </c>
      <c r="B991" s="5">
        <v>45942</v>
      </c>
      <c r="C991" s="6" t="s">
        <v>37</v>
      </c>
      <c r="D991" s="6" t="s">
        <v>42</v>
      </c>
      <c r="E991" s="6" t="s">
        <v>26</v>
      </c>
      <c r="F991" s="6" t="s">
        <v>43</v>
      </c>
      <c r="G991" s="6" t="s">
        <v>84</v>
      </c>
      <c r="H991" s="2">
        <v>4</v>
      </c>
      <c r="I991" s="2">
        <v>43013.3</v>
      </c>
      <c r="J991" s="2">
        <v>0.08</v>
      </c>
      <c r="K991" s="2">
        <v>158288.93</v>
      </c>
      <c r="L991" s="2">
        <v>110833.01</v>
      </c>
      <c r="M991" s="2">
        <v>47455.92</v>
      </c>
      <c r="N991" s="6" t="s">
        <v>21</v>
      </c>
      <c r="O991" s="6" t="s">
        <v>30</v>
      </c>
    </row>
    <row r="992" spans="1:15" x14ac:dyDescent="0.3">
      <c r="A992" s="2" t="s">
        <v>552</v>
      </c>
      <c r="B992" s="5">
        <v>46003</v>
      </c>
      <c r="C992" s="6" t="s">
        <v>54</v>
      </c>
      <c r="D992" s="6" t="s">
        <v>55</v>
      </c>
      <c r="E992" s="6" t="s">
        <v>74</v>
      </c>
      <c r="F992" s="6" t="s">
        <v>43</v>
      </c>
      <c r="G992" s="6" t="s">
        <v>75</v>
      </c>
      <c r="H992" s="2">
        <v>5</v>
      </c>
      <c r="I992" s="2">
        <v>34244.339999999997</v>
      </c>
      <c r="J992" s="2">
        <v>0.08</v>
      </c>
      <c r="K992" s="2">
        <v>157523.94</v>
      </c>
      <c r="L992" s="2">
        <v>109879.87</v>
      </c>
      <c r="M992" s="2">
        <v>47644.07</v>
      </c>
      <c r="N992" s="6" t="s">
        <v>58</v>
      </c>
      <c r="O992" s="6" t="s">
        <v>45</v>
      </c>
    </row>
    <row r="993" spans="1:15" x14ac:dyDescent="0.3">
      <c r="A993" s="2" t="s">
        <v>469</v>
      </c>
      <c r="B993" s="5">
        <v>45838</v>
      </c>
      <c r="C993" s="6" t="s">
        <v>37</v>
      </c>
      <c r="D993" s="6" t="s">
        <v>42</v>
      </c>
      <c r="E993" s="6" t="s">
        <v>74</v>
      </c>
      <c r="F993" s="6" t="s">
        <v>27</v>
      </c>
      <c r="G993" s="6" t="s">
        <v>89</v>
      </c>
      <c r="H993" s="2">
        <v>7</v>
      </c>
      <c r="I993" s="2">
        <v>34479.279999999999</v>
      </c>
      <c r="J993" s="2">
        <v>0.05</v>
      </c>
      <c r="K993" s="2">
        <v>229287.22</v>
      </c>
      <c r="L993" s="2">
        <v>181514.02</v>
      </c>
      <c r="M993" s="2">
        <v>47773.2</v>
      </c>
      <c r="N993" s="6" t="s">
        <v>21</v>
      </c>
      <c r="O993" s="6" t="s">
        <v>30</v>
      </c>
    </row>
    <row r="994" spans="1:15" x14ac:dyDescent="0.3">
      <c r="A994" s="2" t="s">
        <v>852</v>
      </c>
      <c r="B994" s="5">
        <v>45843</v>
      </c>
      <c r="C994" s="6" t="s">
        <v>54</v>
      </c>
      <c r="D994" s="6" t="s">
        <v>174</v>
      </c>
      <c r="E994" s="6" t="s">
        <v>56</v>
      </c>
      <c r="F994" s="6" t="s">
        <v>43</v>
      </c>
      <c r="G994" s="6" t="s">
        <v>75</v>
      </c>
      <c r="H994" s="2">
        <v>8</v>
      </c>
      <c r="I994" s="2">
        <v>37743.300000000003</v>
      </c>
      <c r="J994" s="2">
        <v>0.03</v>
      </c>
      <c r="K994" s="2">
        <v>292888.01</v>
      </c>
      <c r="L994" s="2">
        <v>244827.14</v>
      </c>
      <c r="M994" s="2">
        <v>48060.87</v>
      </c>
      <c r="N994" s="6" t="s">
        <v>29</v>
      </c>
      <c r="O994" s="6" t="s">
        <v>59</v>
      </c>
    </row>
    <row r="995" spans="1:15" x14ac:dyDescent="0.3">
      <c r="A995" s="2" t="s">
        <v>1328</v>
      </c>
      <c r="B995" s="5">
        <v>45958</v>
      </c>
      <c r="C995" s="6" t="s">
        <v>16</v>
      </c>
      <c r="D995" s="6" t="s">
        <v>52</v>
      </c>
      <c r="E995" s="6" t="s">
        <v>49</v>
      </c>
      <c r="F995" s="6" t="s">
        <v>43</v>
      </c>
      <c r="G995" s="6" t="s">
        <v>91</v>
      </c>
      <c r="H995" s="2">
        <v>5</v>
      </c>
      <c r="I995" s="2">
        <v>49607.61</v>
      </c>
      <c r="J995" s="2">
        <v>0.1</v>
      </c>
      <c r="K995" s="2">
        <v>223234.23</v>
      </c>
      <c r="L995" s="2">
        <v>175150.71</v>
      </c>
      <c r="M995" s="2">
        <v>48083.519999999997</v>
      </c>
      <c r="N995" s="6" t="s">
        <v>29</v>
      </c>
      <c r="O995" s="6" t="s">
        <v>59</v>
      </c>
    </row>
    <row r="996" spans="1:15" x14ac:dyDescent="0.3">
      <c r="A996" s="2" t="s">
        <v>1012</v>
      </c>
      <c r="B996" s="5">
        <v>45878</v>
      </c>
      <c r="C996" s="6" t="s">
        <v>37</v>
      </c>
      <c r="D996" s="6" t="s">
        <v>42</v>
      </c>
      <c r="E996" s="6" t="s">
        <v>69</v>
      </c>
      <c r="F996" s="6" t="s">
        <v>43</v>
      </c>
      <c r="G996" s="6" t="s">
        <v>91</v>
      </c>
      <c r="H996" s="2">
        <v>6</v>
      </c>
      <c r="I996" s="2">
        <v>50425.77</v>
      </c>
      <c r="J996" s="2">
        <v>0.1</v>
      </c>
      <c r="K996" s="2">
        <v>272299.15000000002</v>
      </c>
      <c r="L996" s="2">
        <v>224094.05</v>
      </c>
      <c r="M996" s="2">
        <v>48205.1</v>
      </c>
      <c r="N996" s="6" t="s">
        <v>21</v>
      </c>
      <c r="O996" s="6" t="s">
        <v>45</v>
      </c>
    </row>
    <row r="997" spans="1:15" x14ac:dyDescent="0.3">
      <c r="A997" s="2" t="s">
        <v>390</v>
      </c>
      <c r="B997" s="5">
        <v>45981</v>
      </c>
      <c r="C997" s="6" t="s">
        <v>54</v>
      </c>
      <c r="D997" s="6" t="s">
        <v>174</v>
      </c>
      <c r="E997" s="6" t="s">
        <v>33</v>
      </c>
      <c r="F997" s="6" t="s">
        <v>43</v>
      </c>
      <c r="G997" s="6" t="s">
        <v>75</v>
      </c>
      <c r="H997" s="2">
        <v>5</v>
      </c>
      <c r="I997" s="2">
        <v>34565.769999999997</v>
      </c>
      <c r="J997" s="2">
        <v>0.05</v>
      </c>
      <c r="K997" s="2">
        <v>164187.4</v>
      </c>
      <c r="L997" s="2">
        <v>115925.96</v>
      </c>
      <c r="M997" s="2">
        <v>48261.440000000002</v>
      </c>
      <c r="N997" s="6" t="s">
        <v>58</v>
      </c>
      <c r="O997" s="6" t="s">
        <v>30</v>
      </c>
    </row>
    <row r="998" spans="1:15" x14ac:dyDescent="0.3">
      <c r="A998" s="2" t="s">
        <v>401</v>
      </c>
      <c r="B998" s="5">
        <v>45738</v>
      </c>
      <c r="C998" s="6" t="s">
        <v>63</v>
      </c>
      <c r="D998" s="6" t="s">
        <v>88</v>
      </c>
      <c r="E998" s="6" t="s">
        <v>18</v>
      </c>
      <c r="F998" s="6" t="s">
        <v>43</v>
      </c>
      <c r="G998" s="6" t="s">
        <v>84</v>
      </c>
      <c r="H998" s="2">
        <v>7</v>
      </c>
      <c r="I998" s="2">
        <v>43307.68</v>
      </c>
      <c r="J998" s="2">
        <v>0.08</v>
      </c>
      <c r="K998" s="2">
        <v>278901.46999999997</v>
      </c>
      <c r="L998" s="2">
        <v>230597.36</v>
      </c>
      <c r="M998" s="2">
        <v>48304.11</v>
      </c>
      <c r="N998" s="6" t="s">
        <v>21</v>
      </c>
      <c r="O998" s="6" t="s">
        <v>30</v>
      </c>
    </row>
    <row r="999" spans="1:15" x14ac:dyDescent="0.3">
      <c r="A999" s="2" t="s">
        <v>1084</v>
      </c>
      <c r="B999" s="5">
        <v>45670</v>
      </c>
      <c r="C999" s="6" t="s">
        <v>63</v>
      </c>
      <c r="D999" s="6" t="s">
        <v>64</v>
      </c>
      <c r="E999" s="6" t="s">
        <v>26</v>
      </c>
      <c r="F999" s="6" t="s">
        <v>34</v>
      </c>
      <c r="G999" s="6" t="s">
        <v>57</v>
      </c>
      <c r="H999" s="2">
        <v>8</v>
      </c>
      <c r="I999" s="2">
        <v>21986.69</v>
      </c>
      <c r="J999" s="2">
        <v>0.08</v>
      </c>
      <c r="K999" s="2">
        <v>161822.06</v>
      </c>
      <c r="L999" s="2">
        <v>113329.89</v>
      </c>
      <c r="M999" s="2">
        <v>48492.17</v>
      </c>
      <c r="N999" s="6" t="s">
        <v>58</v>
      </c>
      <c r="O999" s="6" t="s">
        <v>40</v>
      </c>
    </row>
    <row r="1000" spans="1:15" x14ac:dyDescent="0.3">
      <c r="A1000" s="2" t="s">
        <v>604</v>
      </c>
      <c r="B1000" s="5">
        <v>45675</v>
      </c>
      <c r="C1000" s="6" t="s">
        <v>63</v>
      </c>
      <c r="D1000" s="6" t="s">
        <v>88</v>
      </c>
      <c r="E1000" s="6" t="s">
        <v>74</v>
      </c>
      <c r="F1000" s="6" t="s">
        <v>34</v>
      </c>
      <c r="G1000" s="6" t="s">
        <v>39</v>
      </c>
      <c r="H1000" s="2">
        <v>7</v>
      </c>
      <c r="I1000" s="2">
        <v>31201.25</v>
      </c>
      <c r="J1000" s="2">
        <v>0.03</v>
      </c>
      <c r="K1000" s="2">
        <v>211856.5</v>
      </c>
      <c r="L1000" s="2">
        <v>163112.42000000001</v>
      </c>
      <c r="M1000" s="2">
        <v>48744.08</v>
      </c>
      <c r="N1000" s="6" t="s">
        <v>29</v>
      </c>
      <c r="O1000" s="6" t="s">
        <v>30</v>
      </c>
    </row>
    <row r="1001" spans="1:15" x14ac:dyDescent="0.3">
      <c r="A1001" s="2" t="s">
        <v>710</v>
      </c>
      <c r="B1001" s="5">
        <v>45706</v>
      </c>
      <c r="C1001" s="6" t="s">
        <v>63</v>
      </c>
      <c r="D1001" s="6" t="s">
        <v>64</v>
      </c>
      <c r="E1001" s="6" t="s">
        <v>18</v>
      </c>
      <c r="F1001" s="6" t="s">
        <v>34</v>
      </c>
      <c r="G1001" s="6" t="s">
        <v>39</v>
      </c>
      <c r="H1001" s="2">
        <v>5</v>
      </c>
      <c r="I1001" s="2">
        <v>29668.720000000001</v>
      </c>
      <c r="J1001" s="2">
        <v>0.05</v>
      </c>
      <c r="K1001" s="2">
        <v>140926.43</v>
      </c>
      <c r="L1001" s="2">
        <v>92129.53</v>
      </c>
      <c r="M1001" s="2">
        <v>48796.9</v>
      </c>
      <c r="N1001" s="6" t="s">
        <v>21</v>
      </c>
      <c r="O1001" s="6" t="s">
        <v>40</v>
      </c>
    </row>
    <row r="1002" spans="1:15" x14ac:dyDescent="0.3">
      <c r="A1002" s="2" t="s">
        <v>1158</v>
      </c>
      <c r="B1002" s="5">
        <v>45702</v>
      </c>
      <c r="C1002" s="6" t="s">
        <v>54</v>
      </c>
      <c r="D1002" s="6" t="s">
        <v>55</v>
      </c>
      <c r="E1002" s="6" t="s">
        <v>49</v>
      </c>
      <c r="F1002" s="6" t="s">
        <v>43</v>
      </c>
      <c r="G1002" s="6" t="s">
        <v>75</v>
      </c>
      <c r="H1002" s="2">
        <v>7</v>
      </c>
      <c r="I1002" s="2">
        <v>38607.35</v>
      </c>
      <c r="J1002" s="2">
        <v>0.05</v>
      </c>
      <c r="K1002" s="2">
        <v>256738.9</v>
      </c>
      <c r="L1002" s="2">
        <v>207666.53</v>
      </c>
      <c r="M1002" s="2">
        <v>49072.37</v>
      </c>
      <c r="N1002" s="6" t="s">
        <v>21</v>
      </c>
      <c r="O1002" s="6" t="s">
        <v>45</v>
      </c>
    </row>
    <row r="1003" spans="1:15" x14ac:dyDescent="0.3">
      <c r="A1003" s="2" t="s">
        <v>764</v>
      </c>
      <c r="B1003" s="5">
        <v>46021</v>
      </c>
      <c r="C1003" s="6" t="s">
        <v>54</v>
      </c>
      <c r="D1003" s="6" t="s">
        <v>174</v>
      </c>
      <c r="E1003" s="6" t="s">
        <v>18</v>
      </c>
      <c r="F1003" s="6" t="s">
        <v>43</v>
      </c>
      <c r="G1003" s="6" t="s">
        <v>91</v>
      </c>
      <c r="H1003" s="2">
        <v>7</v>
      </c>
      <c r="I1003" s="2">
        <v>48984.63</v>
      </c>
      <c r="J1003" s="2">
        <v>0</v>
      </c>
      <c r="K1003" s="2">
        <v>342892.39</v>
      </c>
      <c r="L1003" s="2">
        <v>293729.91999999998</v>
      </c>
      <c r="M1003" s="2">
        <v>49162.47</v>
      </c>
      <c r="N1003" s="6" t="s">
        <v>21</v>
      </c>
      <c r="O1003" s="6" t="s">
        <v>40</v>
      </c>
    </row>
    <row r="1004" spans="1:15" x14ac:dyDescent="0.3">
      <c r="A1004" s="2" t="s">
        <v>1237</v>
      </c>
      <c r="B1004" s="5">
        <v>45875</v>
      </c>
      <c r="C1004" s="6" t="s">
        <v>16</v>
      </c>
      <c r="D1004" s="6" t="s">
        <v>17</v>
      </c>
      <c r="E1004" s="6" t="s">
        <v>18</v>
      </c>
      <c r="F1004" s="6" t="s">
        <v>43</v>
      </c>
      <c r="G1004" s="6" t="s">
        <v>91</v>
      </c>
      <c r="H1004" s="2">
        <v>4</v>
      </c>
      <c r="I1004" s="2">
        <v>47478.66</v>
      </c>
      <c r="J1004" s="2">
        <v>0.05</v>
      </c>
      <c r="K1004" s="2">
        <v>180418.91</v>
      </c>
      <c r="L1004" s="2">
        <v>131176.71</v>
      </c>
      <c r="M1004" s="2">
        <v>49242.2</v>
      </c>
      <c r="N1004" s="6" t="s">
        <v>58</v>
      </c>
      <c r="O1004" s="6" t="s">
        <v>59</v>
      </c>
    </row>
    <row r="1005" spans="1:15" x14ac:dyDescent="0.3">
      <c r="A1005" s="2" t="s">
        <v>1205</v>
      </c>
      <c r="B1005" s="5">
        <v>45811</v>
      </c>
      <c r="C1005" s="6" t="s">
        <v>37</v>
      </c>
      <c r="D1005" s="6" t="s">
        <v>38</v>
      </c>
      <c r="E1005" s="6" t="s">
        <v>56</v>
      </c>
      <c r="F1005" s="6" t="s">
        <v>43</v>
      </c>
      <c r="G1005" s="6" t="s">
        <v>91</v>
      </c>
      <c r="H1005" s="2">
        <v>3</v>
      </c>
      <c r="I1005" s="2">
        <v>48702.79</v>
      </c>
      <c r="J1005" s="2">
        <v>0.08</v>
      </c>
      <c r="K1005" s="2">
        <v>134419.71</v>
      </c>
      <c r="L1005" s="2">
        <v>85050.87</v>
      </c>
      <c r="M1005" s="2">
        <v>49368.84</v>
      </c>
      <c r="N1005" s="6" t="s">
        <v>58</v>
      </c>
      <c r="O1005" s="6" t="s">
        <v>59</v>
      </c>
    </row>
    <row r="1006" spans="1:15" x14ac:dyDescent="0.3">
      <c r="A1006" s="2" t="s">
        <v>1031</v>
      </c>
      <c r="B1006" s="5">
        <v>45772</v>
      </c>
      <c r="C1006" s="6" t="s">
        <v>16</v>
      </c>
      <c r="D1006" s="6" t="s">
        <v>32</v>
      </c>
      <c r="E1006" s="6" t="s">
        <v>26</v>
      </c>
      <c r="F1006" s="6" t="s">
        <v>43</v>
      </c>
      <c r="G1006" s="6" t="s">
        <v>91</v>
      </c>
      <c r="H1006" s="2">
        <v>3</v>
      </c>
      <c r="I1006" s="2">
        <v>47376.07</v>
      </c>
      <c r="J1006" s="2">
        <v>0.05</v>
      </c>
      <c r="K1006" s="2">
        <v>135021.79999999999</v>
      </c>
      <c r="L1006" s="2">
        <v>85461.21</v>
      </c>
      <c r="M1006" s="2">
        <v>49560.59</v>
      </c>
      <c r="N1006" s="6" t="s">
        <v>21</v>
      </c>
      <c r="O1006" s="6" t="s">
        <v>30</v>
      </c>
    </row>
    <row r="1007" spans="1:15" x14ac:dyDescent="0.3">
      <c r="A1007" s="2" t="s">
        <v>1200</v>
      </c>
      <c r="B1007" s="5">
        <v>45901</v>
      </c>
      <c r="C1007" s="6" t="s">
        <v>63</v>
      </c>
      <c r="D1007" s="6" t="s">
        <v>95</v>
      </c>
      <c r="E1007" s="6" t="s">
        <v>74</v>
      </c>
      <c r="F1007" s="6" t="s">
        <v>27</v>
      </c>
      <c r="G1007" s="6" t="s">
        <v>89</v>
      </c>
      <c r="H1007" s="2">
        <v>6</v>
      </c>
      <c r="I1007" s="2">
        <v>30462.61</v>
      </c>
      <c r="J1007" s="2">
        <v>0.03</v>
      </c>
      <c r="K1007" s="2">
        <v>177292.38</v>
      </c>
      <c r="L1007" s="2">
        <v>127539.93</v>
      </c>
      <c r="M1007" s="2">
        <v>49752.45</v>
      </c>
      <c r="N1007" s="6" t="s">
        <v>58</v>
      </c>
      <c r="O1007" s="6" t="s">
        <v>40</v>
      </c>
    </row>
    <row r="1008" spans="1:15" x14ac:dyDescent="0.3">
      <c r="A1008" s="2" t="s">
        <v>1116</v>
      </c>
      <c r="B1008" s="5">
        <v>45946</v>
      </c>
      <c r="C1008" s="6" t="s">
        <v>37</v>
      </c>
      <c r="D1008" s="6" t="s">
        <v>68</v>
      </c>
      <c r="E1008" s="6" t="s">
        <v>56</v>
      </c>
      <c r="F1008" s="6" t="s">
        <v>27</v>
      </c>
      <c r="G1008" s="6" t="s">
        <v>28</v>
      </c>
      <c r="H1008" s="2">
        <v>6</v>
      </c>
      <c r="I1008" s="2">
        <v>26457.42</v>
      </c>
      <c r="J1008" s="2">
        <v>0.03</v>
      </c>
      <c r="K1008" s="2">
        <v>153982.21</v>
      </c>
      <c r="L1008" s="2">
        <v>103809.68</v>
      </c>
      <c r="M1008" s="2">
        <v>50172.53</v>
      </c>
      <c r="N1008" s="6" t="s">
        <v>29</v>
      </c>
      <c r="O1008" s="6" t="s">
        <v>30</v>
      </c>
    </row>
    <row r="1009" spans="1:15" x14ac:dyDescent="0.3">
      <c r="A1009" s="2" t="s">
        <v>340</v>
      </c>
      <c r="B1009" s="5">
        <v>45782</v>
      </c>
      <c r="C1009" s="6" t="s">
        <v>16</v>
      </c>
      <c r="D1009" s="6" t="s">
        <v>17</v>
      </c>
      <c r="E1009" s="6" t="s">
        <v>49</v>
      </c>
      <c r="F1009" s="6" t="s">
        <v>34</v>
      </c>
      <c r="G1009" s="6" t="s">
        <v>57</v>
      </c>
      <c r="H1009" s="2">
        <v>8</v>
      </c>
      <c r="I1009" s="2">
        <v>21697.81</v>
      </c>
      <c r="J1009" s="2">
        <v>0.05</v>
      </c>
      <c r="K1009" s="2">
        <v>164903.35</v>
      </c>
      <c r="L1009" s="2">
        <v>114635.78</v>
      </c>
      <c r="M1009" s="2">
        <v>50267.57</v>
      </c>
      <c r="N1009" s="6" t="s">
        <v>29</v>
      </c>
      <c r="O1009" s="6" t="s">
        <v>59</v>
      </c>
    </row>
    <row r="1010" spans="1:15" x14ac:dyDescent="0.3">
      <c r="A1010" s="2" t="s">
        <v>1329</v>
      </c>
      <c r="B1010" s="5">
        <v>45923</v>
      </c>
      <c r="C1010" s="6" t="s">
        <v>63</v>
      </c>
      <c r="D1010" s="6" t="s">
        <v>117</v>
      </c>
      <c r="E1010" s="6" t="s">
        <v>33</v>
      </c>
      <c r="F1010" s="6" t="s">
        <v>34</v>
      </c>
      <c r="G1010" s="6" t="s">
        <v>57</v>
      </c>
      <c r="H1010" s="2">
        <v>8</v>
      </c>
      <c r="I1010" s="2">
        <v>22269.34</v>
      </c>
      <c r="J1010" s="2">
        <v>0.15</v>
      </c>
      <c r="K1010" s="2">
        <v>151431.48000000001</v>
      </c>
      <c r="L1010" s="2">
        <v>101158.65</v>
      </c>
      <c r="M1010" s="2">
        <v>50272.83</v>
      </c>
      <c r="N1010" s="6" t="s">
        <v>21</v>
      </c>
      <c r="O1010" s="6" t="s">
        <v>45</v>
      </c>
    </row>
    <row r="1011" spans="1:15" x14ac:dyDescent="0.3">
      <c r="A1011" s="2" t="s">
        <v>618</v>
      </c>
      <c r="B1011" s="5">
        <v>45866</v>
      </c>
      <c r="C1011" s="6" t="s">
        <v>37</v>
      </c>
      <c r="D1011" s="6" t="s">
        <v>68</v>
      </c>
      <c r="E1011" s="6" t="s">
        <v>65</v>
      </c>
      <c r="F1011" s="6" t="s">
        <v>34</v>
      </c>
      <c r="G1011" s="6" t="s">
        <v>39</v>
      </c>
      <c r="H1011" s="2">
        <v>7</v>
      </c>
      <c r="I1011" s="2">
        <v>31559.07</v>
      </c>
      <c r="J1011" s="2">
        <v>0.08</v>
      </c>
      <c r="K1011" s="2">
        <v>203240.43</v>
      </c>
      <c r="L1011" s="2">
        <v>152931.25</v>
      </c>
      <c r="M1011" s="2">
        <v>50309.18</v>
      </c>
      <c r="N1011" s="6" t="s">
        <v>29</v>
      </c>
      <c r="O1011" s="6" t="s">
        <v>22</v>
      </c>
    </row>
    <row r="1012" spans="1:15" x14ac:dyDescent="0.3">
      <c r="A1012" s="2" t="s">
        <v>1292</v>
      </c>
      <c r="B1012" s="5">
        <v>45722</v>
      </c>
      <c r="C1012" s="6" t="s">
        <v>37</v>
      </c>
      <c r="D1012" s="6" t="s">
        <v>25</v>
      </c>
      <c r="E1012" s="6" t="s">
        <v>26</v>
      </c>
      <c r="F1012" s="6" t="s">
        <v>43</v>
      </c>
      <c r="G1012" s="6" t="s">
        <v>84</v>
      </c>
      <c r="H1012" s="2">
        <v>5</v>
      </c>
      <c r="I1012" s="2">
        <v>39076.120000000003</v>
      </c>
      <c r="J1012" s="2">
        <v>0.08</v>
      </c>
      <c r="K1012" s="2">
        <v>179750.16</v>
      </c>
      <c r="L1012" s="2">
        <v>129427.99</v>
      </c>
      <c r="M1012" s="2">
        <v>50322.17</v>
      </c>
      <c r="N1012" s="6" t="s">
        <v>58</v>
      </c>
      <c r="O1012" s="6" t="s">
        <v>40</v>
      </c>
    </row>
    <row r="1013" spans="1:15" x14ac:dyDescent="0.3">
      <c r="A1013" s="2" t="s">
        <v>1215</v>
      </c>
      <c r="B1013" s="5">
        <v>45683</v>
      </c>
      <c r="C1013" s="6" t="s">
        <v>16</v>
      </c>
      <c r="D1013" s="6" t="s">
        <v>82</v>
      </c>
      <c r="E1013" s="6" t="s">
        <v>49</v>
      </c>
      <c r="F1013" s="6" t="s">
        <v>27</v>
      </c>
      <c r="G1013" s="6" t="s">
        <v>89</v>
      </c>
      <c r="H1013" s="2">
        <v>6</v>
      </c>
      <c r="I1013" s="2">
        <v>31856.32</v>
      </c>
      <c r="J1013" s="2">
        <v>0.1</v>
      </c>
      <c r="K1013" s="2">
        <v>172024.12</v>
      </c>
      <c r="L1013" s="2">
        <v>121649.51</v>
      </c>
      <c r="M1013" s="2">
        <v>50374.61</v>
      </c>
      <c r="N1013" s="6" t="s">
        <v>29</v>
      </c>
      <c r="O1013" s="6" t="s">
        <v>45</v>
      </c>
    </row>
    <row r="1014" spans="1:15" x14ac:dyDescent="0.3">
      <c r="A1014" s="2" t="s">
        <v>776</v>
      </c>
      <c r="B1014" s="5">
        <v>46015</v>
      </c>
      <c r="C1014" s="6" t="s">
        <v>37</v>
      </c>
      <c r="D1014" s="6" t="s">
        <v>42</v>
      </c>
      <c r="E1014" s="6" t="s">
        <v>26</v>
      </c>
      <c r="F1014" s="6" t="s">
        <v>43</v>
      </c>
      <c r="G1014" s="6" t="s">
        <v>91</v>
      </c>
      <c r="H1014" s="2">
        <v>5</v>
      </c>
      <c r="I1014" s="2">
        <v>46358.63</v>
      </c>
      <c r="J1014" s="2">
        <v>0.03</v>
      </c>
      <c r="K1014" s="2">
        <v>224839.35</v>
      </c>
      <c r="L1014" s="2">
        <v>174218.35</v>
      </c>
      <c r="M1014" s="2">
        <v>50621</v>
      </c>
      <c r="N1014" s="6" t="s">
        <v>58</v>
      </c>
      <c r="O1014" s="6" t="s">
        <v>40</v>
      </c>
    </row>
    <row r="1015" spans="1:15" x14ac:dyDescent="0.3">
      <c r="A1015" s="2" t="s">
        <v>515</v>
      </c>
      <c r="B1015" s="5">
        <v>45852</v>
      </c>
      <c r="C1015" s="6" t="s">
        <v>63</v>
      </c>
      <c r="D1015" s="6" t="s">
        <v>95</v>
      </c>
      <c r="E1015" s="6" t="s">
        <v>74</v>
      </c>
      <c r="F1015" s="6" t="s">
        <v>34</v>
      </c>
      <c r="G1015" s="6" t="s">
        <v>39</v>
      </c>
      <c r="H1015" s="2">
        <v>7</v>
      </c>
      <c r="I1015" s="2">
        <v>27846.21</v>
      </c>
      <c r="J1015" s="2">
        <v>0.05</v>
      </c>
      <c r="K1015" s="2">
        <v>185177.3</v>
      </c>
      <c r="L1015" s="2">
        <v>134458.29</v>
      </c>
      <c r="M1015" s="2">
        <v>50719.01</v>
      </c>
      <c r="N1015" s="6" t="s">
        <v>29</v>
      </c>
      <c r="O1015" s="6" t="s">
        <v>40</v>
      </c>
    </row>
    <row r="1016" spans="1:15" x14ac:dyDescent="0.3">
      <c r="A1016" s="2" t="s">
        <v>1107</v>
      </c>
      <c r="B1016" s="5">
        <v>45960</v>
      </c>
      <c r="C1016" s="6" t="s">
        <v>37</v>
      </c>
      <c r="D1016" s="6" t="s">
        <v>42</v>
      </c>
      <c r="E1016" s="6" t="s">
        <v>26</v>
      </c>
      <c r="F1016" s="6" t="s">
        <v>34</v>
      </c>
      <c r="G1016" s="6" t="s">
        <v>39</v>
      </c>
      <c r="H1016" s="2">
        <v>7</v>
      </c>
      <c r="I1016" s="2">
        <v>28740.080000000002</v>
      </c>
      <c r="J1016" s="2">
        <v>0.05</v>
      </c>
      <c r="K1016" s="2">
        <v>191121.51</v>
      </c>
      <c r="L1016" s="2">
        <v>140324.76</v>
      </c>
      <c r="M1016" s="2">
        <v>50796.75</v>
      </c>
      <c r="N1016" s="6" t="s">
        <v>29</v>
      </c>
      <c r="O1016" s="6" t="s">
        <v>59</v>
      </c>
    </row>
    <row r="1017" spans="1:15" x14ac:dyDescent="0.3">
      <c r="A1017" s="2" t="s">
        <v>672</v>
      </c>
      <c r="B1017" s="5">
        <v>45824</v>
      </c>
      <c r="C1017" s="6" t="s">
        <v>37</v>
      </c>
      <c r="D1017" s="6" t="s">
        <v>25</v>
      </c>
      <c r="E1017" s="6" t="s">
        <v>18</v>
      </c>
      <c r="F1017" s="6" t="s">
        <v>43</v>
      </c>
      <c r="G1017" s="6" t="s">
        <v>75</v>
      </c>
      <c r="H1017" s="2">
        <v>8</v>
      </c>
      <c r="I1017" s="2">
        <v>38689.74</v>
      </c>
      <c r="J1017" s="2">
        <v>0.05</v>
      </c>
      <c r="K1017" s="2">
        <v>294042.01</v>
      </c>
      <c r="L1017" s="2">
        <v>243238.48</v>
      </c>
      <c r="M1017" s="2">
        <v>50803.53</v>
      </c>
      <c r="N1017" s="6" t="s">
        <v>58</v>
      </c>
      <c r="O1017" s="6" t="s">
        <v>59</v>
      </c>
    </row>
    <row r="1018" spans="1:15" x14ac:dyDescent="0.3">
      <c r="A1018" s="2" t="s">
        <v>1195</v>
      </c>
      <c r="B1018" s="5">
        <v>45759</v>
      </c>
      <c r="C1018" s="6" t="s">
        <v>63</v>
      </c>
      <c r="D1018" s="6" t="s">
        <v>64</v>
      </c>
      <c r="E1018" s="6" t="s">
        <v>65</v>
      </c>
      <c r="F1018" s="6" t="s">
        <v>43</v>
      </c>
      <c r="G1018" s="6" t="s">
        <v>75</v>
      </c>
      <c r="H1018" s="2">
        <v>5</v>
      </c>
      <c r="I1018" s="2">
        <v>38754.83</v>
      </c>
      <c r="J1018" s="2">
        <v>0.1</v>
      </c>
      <c r="K1018" s="2">
        <v>174396.75</v>
      </c>
      <c r="L1018" s="2">
        <v>123154.97</v>
      </c>
      <c r="M1018" s="2">
        <v>51241.78</v>
      </c>
      <c r="N1018" s="6" t="s">
        <v>58</v>
      </c>
      <c r="O1018" s="6" t="s">
        <v>22</v>
      </c>
    </row>
    <row r="1019" spans="1:15" x14ac:dyDescent="0.3">
      <c r="A1019" s="2" t="s">
        <v>1045</v>
      </c>
      <c r="B1019" s="5">
        <v>45889</v>
      </c>
      <c r="C1019" s="6" t="s">
        <v>16</v>
      </c>
      <c r="D1019" s="6" t="s">
        <v>82</v>
      </c>
      <c r="E1019" s="6" t="s">
        <v>18</v>
      </c>
      <c r="F1019" s="6" t="s">
        <v>43</v>
      </c>
      <c r="G1019" s="6" t="s">
        <v>91</v>
      </c>
      <c r="H1019" s="2">
        <v>6</v>
      </c>
      <c r="I1019" s="2">
        <v>48937.19</v>
      </c>
      <c r="J1019" s="2">
        <v>0.05</v>
      </c>
      <c r="K1019" s="2">
        <v>278941.96000000002</v>
      </c>
      <c r="L1019" s="2">
        <v>227645.79</v>
      </c>
      <c r="M1019" s="2">
        <v>51296.17</v>
      </c>
      <c r="N1019" s="6" t="s">
        <v>58</v>
      </c>
      <c r="O1019" s="6" t="s">
        <v>40</v>
      </c>
    </row>
    <row r="1020" spans="1:15" x14ac:dyDescent="0.3">
      <c r="A1020" s="2" t="s">
        <v>23</v>
      </c>
      <c r="B1020" s="5">
        <v>45910</v>
      </c>
      <c r="C1020" s="6" t="s">
        <v>37</v>
      </c>
      <c r="D1020" s="6" t="s">
        <v>25</v>
      </c>
      <c r="E1020" s="6" t="s">
        <v>26</v>
      </c>
      <c r="F1020" s="6" t="s">
        <v>27</v>
      </c>
      <c r="G1020" s="6" t="s">
        <v>28</v>
      </c>
      <c r="H1020" s="2">
        <v>8</v>
      </c>
      <c r="I1020" s="2">
        <v>30205.11</v>
      </c>
      <c r="J1020" s="2">
        <v>0.08</v>
      </c>
      <c r="K1020" s="2">
        <v>222309.59</v>
      </c>
      <c r="L1020" s="2">
        <v>170466.27</v>
      </c>
      <c r="M1020" s="2">
        <v>51843.32</v>
      </c>
      <c r="N1020" s="6" t="s">
        <v>29</v>
      </c>
      <c r="O1020" s="6" t="s">
        <v>30</v>
      </c>
    </row>
    <row r="1021" spans="1:15" x14ac:dyDescent="0.3">
      <c r="A1021" s="2" t="s">
        <v>976</v>
      </c>
      <c r="B1021" s="5">
        <v>45974</v>
      </c>
      <c r="C1021" s="6" t="s">
        <v>54</v>
      </c>
      <c r="D1021" s="6" t="s">
        <v>55</v>
      </c>
      <c r="E1021" s="6" t="s">
        <v>56</v>
      </c>
      <c r="F1021" s="6" t="s">
        <v>43</v>
      </c>
      <c r="G1021" s="6" t="s">
        <v>75</v>
      </c>
      <c r="H1021" s="2">
        <v>8</v>
      </c>
      <c r="I1021" s="2">
        <v>37086.6</v>
      </c>
      <c r="J1021" s="2">
        <v>0.15</v>
      </c>
      <c r="K1021" s="2">
        <v>252188.85</v>
      </c>
      <c r="L1021" s="2">
        <v>200335.06</v>
      </c>
      <c r="M1021" s="2">
        <v>51853.79</v>
      </c>
      <c r="N1021" s="6" t="s">
        <v>58</v>
      </c>
      <c r="O1021" s="6" t="s">
        <v>59</v>
      </c>
    </row>
    <row r="1022" spans="1:15" x14ac:dyDescent="0.3">
      <c r="A1022" s="2" t="s">
        <v>1283</v>
      </c>
      <c r="B1022" s="5">
        <v>45676</v>
      </c>
      <c r="C1022" s="6" t="s">
        <v>54</v>
      </c>
      <c r="D1022" s="6" t="s">
        <v>55</v>
      </c>
      <c r="E1022" s="6" t="s">
        <v>69</v>
      </c>
      <c r="F1022" s="6" t="s">
        <v>34</v>
      </c>
      <c r="G1022" s="6" t="s">
        <v>70</v>
      </c>
      <c r="H1022" s="2">
        <v>5</v>
      </c>
      <c r="I1022" s="2">
        <v>67271.789999999994</v>
      </c>
      <c r="J1022" s="2">
        <v>0.05</v>
      </c>
      <c r="K1022" s="2">
        <v>319541.01</v>
      </c>
      <c r="L1022" s="2">
        <v>267514.33</v>
      </c>
      <c r="M1022" s="2">
        <v>52026.68</v>
      </c>
      <c r="N1022" s="6" t="s">
        <v>29</v>
      </c>
      <c r="O1022" s="6" t="s">
        <v>30</v>
      </c>
    </row>
    <row r="1023" spans="1:15" x14ac:dyDescent="0.3">
      <c r="A1023" s="2" t="s">
        <v>421</v>
      </c>
      <c r="B1023" s="5">
        <v>45831</v>
      </c>
      <c r="C1023" s="6" t="s">
        <v>63</v>
      </c>
      <c r="D1023" s="6" t="s">
        <v>117</v>
      </c>
      <c r="E1023" s="6" t="s">
        <v>26</v>
      </c>
      <c r="F1023" s="6" t="s">
        <v>34</v>
      </c>
      <c r="G1023" s="6" t="s">
        <v>39</v>
      </c>
      <c r="H1023" s="2">
        <v>6</v>
      </c>
      <c r="I1023" s="2">
        <v>29439.759999999998</v>
      </c>
      <c r="J1023" s="2">
        <v>0.05</v>
      </c>
      <c r="K1023" s="2">
        <v>167806.66</v>
      </c>
      <c r="L1023" s="2">
        <v>115449.83</v>
      </c>
      <c r="M1023" s="2">
        <v>52356.83</v>
      </c>
      <c r="N1023" s="6" t="s">
        <v>21</v>
      </c>
      <c r="O1023" s="6" t="s">
        <v>30</v>
      </c>
    </row>
    <row r="1024" spans="1:15" x14ac:dyDescent="0.3">
      <c r="A1024" s="2" t="s">
        <v>760</v>
      </c>
      <c r="B1024" s="5">
        <v>45919</v>
      </c>
      <c r="C1024" s="6" t="s">
        <v>37</v>
      </c>
      <c r="D1024" s="6" t="s">
        <v>38</v>
      </c>
      <c r="E1024" s="6" t="s">
        <v>74</v>
      </c>
      <c r="F1024" s="6" t="s">
        <v>27</v>
      </c>
      <c r="G1024" s="6" t="s">
        <v>50</v>
      </c>
      <c r="H1024" s="2">
        <v>6</v>
      </c>
      <c r="I1024" s="2">
        <v>31452.95</v>
      </c>
      <c r="J1024" s="2">
        <v>0.1</v>
      </c>
      <c r="K1024" s="2">
        <v>169845.92</v>
      </c>
      <c r="L1024" s="2">
        <v>117419.82</v>
      </c>
      <c r="M1024" s="2">
        <v>52426.1</v>
      </c>
      <c r="N1024" s="6" t="s">
        <v>21</v>
      </c>
      <c r="O1024" s="6" t="s">
        <v>45</v>
      </c>
    </row>
    <row r="1025" spans="1:15" x14ac:dyDescent="0.3">
      <c r="A1025" s="2" t="s">
        <v>1087</v>
      </c>
      <c r="B1025" s="5">
        <v>45729</v>
      </c>
      <c r="C1025" s="6" t="s">
        <v>63</v>
      </c>
      <c r="D1025" s="6" t="s">
        <v>88</v>
      </c>
      <c r="E1025" s="6" t="s">
        <v>56</v>
      </c>
      <c r="F1025" s="6" t="s">
        <v>34</v>
      </c>
      <c r="G1025" s="6" t="s">
        <v>57</v>
      </c>
      <c r="H1025" s="2">
        <v>8</v>
      </c>
      <c r="I1025" s="2">
        <v>21226.07</v>
      </c>
      <c r="J1025" s="2">
        <v>0</v>
      </c>
      <c r="K1025" s="2">
        <v>169808.58</v>
      </c>
      <c r="L1025" s="2">
        <v>117066.51</v>
      </c>
      <c r="M1025" s="2">
        <v>52742.07</v>
      </c>
      <c r="N1025" s="6" t="s">
        <v>29</v>
      </c>
      <c r="O1025" s="6" t="s">
        <v>45</v>
      </c>
    </row>
    <row r="1026" spans="1:15" x14ac:dyDescent="0.3">
      <c r="A1026" s="2" t="s">
        <v>1261</v>
      </c>
      <c r="B1026" s="5">
        <v>45726</v>
      </c>
      <c r="C1026" s="6" t="s">
        <v>63</v>
      </c>
      <c r="D1026" s="6" t="s">
        <v>88</v>
      </c>
      <c r="E1026" s="6" t="s">
        <v>26</v>
      </c>
      <c r="F1026" s="6" t="s">
        <v>43</v>
      </c>
      <c r="G1026" s="6" t="s">
        <v>75</v>
      </c>
      <c r="H1026" s="2">
        <v>8</v>
      </c>
      <c r="I1026" s="2">
        <v>38876.14</v>
      </c>
      <c r="J1026" s="2">
        <v>0.15</v>
      </c>
      <c r="K1026" s="2">
        <v>264357.75</v>
      </c>
      <c r="L1026" s="2">
        <v>211126.9</v>
      </c>
      <c r="M1026" s="2">
        <v>53230.85</v>
      </c>
      <c r="N1026" s="6" t="s">
        <v>21</v>
      </c>
      <c r="O1026" s="6" t="s">
        <v>22</v>
      </c>
    </row>
    <row r="1027" spans="1:15" x14ac:dyDescent="0.3">
      <c r="A1027" s="2" t="s">
        <v>496</v>
      </c>
      <c r="B1027" s="5">
        <v>45832</v>
      </c>
      <c r="C1027" s="6" t="s">
        <v>63</v>
      </c>
      <c r="D1027" s="6" t="s">
        <v>117</v>
      </c>
      <c r="E1027" s="6" t="s">
        <v>33</v>
      </c>
      <c r="F1027" s="6" t="s">
        <v>27</v>
      </c>
      <c r="G1027" s="6" t="s">
        <v>89</v>
      </c>
      <c r="H1027" s="2">
        <v>6</v>
      </c>
      <c r="I1027" s="2">
        <v>31884.03</v>
      </c>
      <c r="J1027" s="2">
        <v>0.05</v>
      </c>
      <c r="K1027" s="2">
        <v>181738.99</v>
      </c>
      <c r="L1027" s="2">
        <v>128492.07</v>
      </c>
      <c r="M1027" s="2">
        <v>53246.92</v>
      </c>
      <c r="N1027" s="6" t="s">
        <v>21</v>
      </c>
      <c r="O1027" s="6" t="s">
        <v>59</v>
      </c>
    </row>
    <row r="1028" spans="1:15" x14ac:dyDescent="0.3">
      <c r="A1028" s="2" t="s">
        <v>359</v>
      </c>
      <c r="B1028" s="5">
        <v>45992</v>
      </c>
      <c r="C1028" s="6" t="s">
        <v>63</v>
      </c>
      <c r="D1028" s="6" t="s">
        <v>88</v>
      </c>
      <c r="E1028" s="6" t="s">
        <v>74</v>
      </c>
      <c r="F1028" s="6" t="s">
        <v>34</v>
      </c>
      <c r="G1028" s="6" t="s">
        <v>39</v>
      </c>
      <c r="H1028" s="2">
        <v>6</v>
      </c>
      <c r="I1028" s="2">
        <v>29823.23</v>
      </c>
      <c r="J1028" s="2">
        <v>0.03</v>
      </c>
      <c r="K1028" s="2">
        <v>173571.19</v>
      </c>
      <c r="L1028" s="2">
        <v>120244.32</v>
      </c>
      <c r="M1028" s="2">
        <v>53326.87</v>
      </c>
      <c r="N1028" s="6" t="s">
        <v>29</v>
      </c>
      <c r="O1028" s="6" t="s">
        <v>40</v>
      </c>
    </row>
    <row r="1029" spans="1:15" x14ac:dyDescent="0.3">
      <c r="A1029" s="2" t="s">
        <v>584</v>
      </c>
      <c r="B1029" s="5">
        <v>45756</v>
      </c>
      <c r="C1029" s="6" t="s">
        <v>37</v>
      </c>
      <c r="D1029" s="6" t="s">
        <v>68</v>
      </c>
      <c r="E1029" s="6" t="s">
        <v>33</v>
      </c>
      <c r="F1029" s="6" t="s">
        <v>27</v>
      </c>
      <c r="G1029" s="6" t="s">
        <v>28</v>
      </c>
      <c r="H1029" s="2">
        <v>7</v>
      </c>
      <c r="I1029" s="2">
        <v>28591.45</v>
      </c>
      <c r="J1029" s="2">
        <v>0.08</v>
      </c>
      <c r="K1029" s="2">
        <v>184128.91</v>
      </c>
      <c r="L1029" s="2">
        <v>130376.29</v>
      </c>
      <c r="M1029" s="2">
        <v>53752.62</v>
      </c>
      <c r="N1029" s="6" t="s">
        <v>29</v>
      </c>
      <c r="O1029" s="6" t="s">
        <v>40</v>
      </c>
    </row>
    <row r="1030" spans="1:15" x14ac:dyDescent="0.3">
      <c r="A1030" s="2" t="s">
        <v>413</v>
      </c>
      <c r="B1030" s="5">
        <v>45980</v>
      </c>
      <c r="C1030" s="6" t="s">
        <v>16</v>
      </c>
      <c r="D1030" s="6" t="s">
        <v>52</v>
      </c>
      <c r="E1030" s="6" t="s">
        <v>49</v>
      </c>
      <c r="F1030" s="6" t="s">
        <v>43</v>
      </c>
      <c r="G1030" s="6" t="s">
        <v>91</v>
      </c>
      <c r="H1030" s="2">
        <v>3</v>
      </c>
      <c r="I1030" s="2">
        <v>49140.52</v>
      </c>
      <c r="J1030" s="2">
        <v>0.03</v>
      </c>
      <c r="K1030" s="2">
        <v>142998.9</v>
      </c>
      <c r="L1030" s="2">
        <v>89177.91</v>
      </c>
      <c r="M1030" s="2">
        <v>53820.99</v>
      </c>
      <c r="N1030" s="6" t="s">
        <v>21</v>
      </c>
      <c r="O1030" s="6" t="s">
        <v>22</v>
      </c>
    </row>
    <row r="1031" spans="1:15" x14ac:dyDescent="0.3">
      <c r="A1031" s="2" t="s">
        <v>1322</v>
      </c>
      <c r="B1031" s="5">
        <v>45907</v>
      </c>
      <c r="C1031" s="6" t="s">
        <v>16</v>
      </c>
      <c r="D1031" s="6" t="s">
        <v>52</v>
      </c>
      <c r="E1031" s="6" t="s">
        <v>65</v>
      </c>
      <c r="F1031" s="6" t="s">
        <v>27</v>
      </c>
      <c r="G1031" s="6" t="s">
        <v>50</v>
      </c>
      <c r="H1031" s="2">
        <v>7</v>
      </c>
      <c r="I1031" s="2">
        <v>27989.7</v>
      </c>
      <c r="J1031" s="2">
        <v>0.08</v>
      </c>
      <c r="K1031" s="2">
        <v>180253.68</v>
      </c>
      <c r="L1031" s="2">
        <v>126308.89</v>
      </c>
      <c r="M1031" s="2">
        <v>53944.79</v>
      </c>
      <c r="N1031" s="6" t="s">
        <v>58</v>
      </c>
      <c r="O1031" s="6" t="s">
        <v>45</v>
      </c>
    </row>
    <row r="1032" spans="1:15" x14ac:dyDescent="0.3">
      <c r="A1032" s="2" t="s">
        <v>378</v>
      </c>
      <c r="B1032" s="5">
        <v>45832</v>
      </c>
      <c r="C1032" s="6" t="s">
        <v>37</v>
      </c>
      <c r="D1032" s="6" t="s">
        <v>68</v>
      </c>
      <c r="E1032" s="6" t="s">
        <v>65</v>
      </c>
      <c r="F1032" s="6" t="s">
        <v>43</v>
      </c>
      <c r="G1032" s="6" t="s">
        <v>91</v>
      </c>
      <c r="H1032" s="2">
        <v>7</v>
      </c>
      <c r="I1032" s="2">
        <v>45418.61</v>
      </c>
      <c r="J1032" s="2">
        <v>0.08</v>
      </c>
      <c r="K1032" s="2">
        <v>292495.82</v>
      </c>
      <c r="L1032" s="2">
        <v>238198.78</v>
      </c>
      <c r="M1032" s="2">
        <v>54297.04</v>
      </c>
      <c r="N1032" s="6" t="s">
        <v>58</v>
      </c>
      <c r="O1032" s="6" t="s">
        <v>40</v>
      </c>
    </row>
    <row r="1033" spans="1:15" x14ac:dyDescent="0.3">
      <c r="A1033" s="2" t="s">
        <v>188</v>
      </c>
      <c r="B1033" s="5">
        <v>45760</v>
      </c>
      <c r="C1033" s="6" t="s">
        <v>63</v>
      </c>
      <c r="D1033" s="6" t="s">
        <v>64</v>
      </c>
      <c r="E1033" s="6" t="s">
        <v>26</v>
      </c>
      <c r="F1033" s="6" t="s">
        <v>34</v>
      </c>
      <c r="G1033" s="6" t="s">
        <v>57</v>
      </c>
      <c r="H1033" s="2">
        <v>7</v>
      </c>
      <c r="I1033" s="2">
        <v>23039.599999999999</v>
      </c>
      <c r="J1033" s="2">
        <v>0.08</v>
      </c>
      <c r="K1033" s="2">
        <v>148375.04999999999</v>
      </c>
      <c r="L1033" s="2">
        <v>93946.9</v>
      </c>
      <c r="M1033" s="2">
        <v>54428.15</v>
      </c>
      <c r="N1033" s="6" t="s">
        <v>21</v>
      </c>
      <c r="O1033" s="6" t="s">
        <v>22</v>
      </c>
    </row>
    <row r="1034" spans="1:15" x14ac:dyDescent="0.3">
      <c r="A1034" s="2" t="s">
        <v>1051</v>
      </c>
      <c r="B1034" s="5">
        <v>45925</v>
      </c>
      <c r="C1034" s="6" t="s">
        <v>16</v>
      </c>
      <c r="D1034" s="6" t="s">
        <v>32</v>
      </c>
      <c r="E1034" s="6" t="s">
        <v>26</v>
      </c>
      <c r="F1034" s="6" t="s">
        <v>34</v>
      </c>
      <c r="G1034" s="6" t="s">
        <v>39</v>
      </c>
      <c r="H1034" s="2">
        <v>8</v>
      </c>
      <c r="I1034" s="2">
        <v>28002.26</v>
      </c>
      <c r="J1034" s="2">
        <v>0.05</v>
      </c>
      <c r="K1034" s="2">
        <v>212817.18</v>
      </c>
      <c r="L1034" s="2">
        <v>158203.9</v>
      </c>
      <c r="M1034" s="2">
        <v>54613.279999999999</v>
      </c>
      <c r="N1034" s="6" t="s">
        <v>29</v>
      </c>
      <c r="O1034" s="6" t="s">
        <v>22</v>
      </c>
    </row>
    <row r="1035" spans="1:15" x14ac:dyDescent="0.3">
      <c r="A1035" s="2" t="s">
        <v>973</v>
      </c>
      <c r="B1035" s="5">
        <v>45983</v>
      </c>
      <c r="C1035" s="6" t="s">
        <v>37</v>
      </c>
      <c r="D1035" s="6" t="s">
        <v>25</v>
      </c>
      <c r="E1035" s="6" t="s">
        <v>26</v>
      </c>
      <c r="F1035" s="6" t="s">
        <v>27</v>
      </c>
      <c r="G1035" s="6" t="s">
        <v>89</v>
      </c>
      <c r="H1035" s="2">
        <v>5</v>
      </c>
      <c r="I1035" s="2">
        <v>31154.27</v>
      </c>
      <c r="J1035" s="2">
        <v>0.05</v>
      </c>
      <c r="K1035" s="2">
        <v>147982.78</v>
      </c>
      <c r="L1035" s="2">
        <v>92449.9</v>
      </c>
      <c r="M1035" s="2">
        <v>55532.88</v>
      </c>
      <c r="N1035" s="6" t="s">
        <v>21</v>
      </c>
      <c r="O1035" s="6" t="s">
        <v>45</v>
      </c>
    </row>
    <row r="1036" spans="1:15" x14ac:dyDescent="0.3">
      <c r="A1036" s="2" t="s">
        <v>168</v>
      </c>
      <c r="B1036" s="5">
        <v>45706</v>
      </c>
      <c r="C1036" s="6" t="s">
        <v>16</v>
      </c>
      <c r="D1036" s="6" t="s">
        <v>52</v>
      </c>
      <c r="E1036" s="6" t="s">
        <v>65</v>
      </c>
      <c r="F1036" s="6" t="s">
        <v>27</v>
      </c>
      <c r="G1036" s="6" t="s">
        <v>89</v>
      </c>
      <c r="H1036" s="2">
        <v>5</v>
      </c>
      <c r="I1036" s="2">
        <v>32412.61</v>
      </c>
      <c r="J1036" s="2">
        <v>0.08</v>
      </c>
      <c r="K1036" s="2">
        <v>149098.01999999999</v>
      </c>
      <c r="L1036" s="2">
        <v>92909.34</v>
      </c>
      <c r="M1036" s="2">
        <v>56188.68</v>
      </c>
      <c r="N1036" s="6" t="s">
        <v>21</v>
      </c>
      <c r="O1036" s="6" t="s">
        <v>40</v>
      </c>
    </row>
    <row r="1037" spans="1:15" x14ac:dyDescent="0.3">
      <c r="A1037" s="2" t="s">
        <v>1144</v>
      </c>
      <c r="B1037" s="5">
        <v>45958</v>
      </c>
      <c r="C1037" s="6" t="s">
        <v>16</v>
      </c>
      <c r="D1037" s="6" t="s">
        <v>82</v>
      </c>
      <c r="E1037" s="6" t="s">
        <v>56</v>
      </c>
      <c r="F1037" s="6" t="s">
        <v>34</v>
      </c>
      <c r="G1037" s="6" t="s">
        <v>57</v>
      </c>
      <c r="H1037" s="2">
        <v>8</v>
      </c>
      <c r="I1037" s="2">
        <v>22007.5</v>
      </c>
      <c r="J1037" s="2">
        <v>0</v>
      </c>
      <c r="K1037" s="2">
        <v>176060.03</v>
      </c>
      <c r="L1037" s="2">
        <v>119841.46</v>
      </c>
      <c r="M1037" s="2">
        <v>56218.57</v>
      </c>
      <c r="N1037" s="6" t="s">
        <v>29</v>
      </c>
      <c r="O1037" s="6" t="s">
        <v>45</v>
      </c>
    </row>
    <row r="1038" spans="1:15" x14ac:dyDescent="0.3">
      <c r="A1038" s="2" t="s">
        <v>651</v>
      </c>
      <c r="B1038" s="5">
        <v>45941</v>
      </c>
      <c r="C1038" s="6" t="s">
        <v>37</v>
      </c>
      <c r="D1038" s="6" t="s">
        <v>25</v>
      </c>
      <c r="E1038" s="6" t="s">
        <v>65</v>
      </c>
      <c r="F1038" s="6" t="s">
        <v>34</v>
      </c>
      <c r="G1038" s="6" t="s">
        <v>70</v>
      </c>
      <c r="H1038" s="2">
        <v>4</v>
      </c>
      <c r="I1038" s="2">
        <v>65055.8</v>
      </c>
      <c r="J1038" s="2">
        <v>0.05</v>
      </c>
      <c r="K1038" s="2">
        <v>247212.03</v>
      </c>
      <c r="L1038" s="2">
        <v>190920.26</v>
      </c>
      <c r="M1038" s="2">
        <v>56291.77</v>
      </c>
      <c r="N1038" s="6" t="s">
        <v>58</v>
      </c>
      <c r="O1038" s="6" t="s">
        <v>45</v>
      </c>
    </row>
    <row r="1039" spans="1:15" x14ac:dyDescent="0.3">
      <c r="A1039" s="2" t="s">
        <v>187</v>
      </c>
      <c r="B1039" s="5">
        <v>45907</v>
      </c>
      <c r="C1039" s="6" t="s">
        <v>37</v>
      </c>
      <c r="D1039" s="6" t="s">
        <v>25</v>
      </c>
      <c r="E1039" s="6" t="s">
        <v>56</v>
      </c>
      <c r="F1039" s="6" t="s">
        <v>27</v>
      </c>
      <c r="G1039" s="6" t="s">
        <v>28</v>
      </c>
      <c r="H1039" s="2">
        <v>8</v>
      </c>
      <c r="I1039" s="2">
        <v>29905.11</v>
      </c>
      <c r="J1039" s="2">
        <v>0.03</v>
      </c>
      <c r="K1039" s="2">
        <v>232063.67</v>
      </c>
      <c r="L1039" s="2">
        <v>175511.34</v>
      </c>
      <c r="M1039" s="2">
        <v>56552.33</v>
      </c>
      <c r="N1039" s="6" t="s">
        <v>21</v>
      </c>
      <c r="O1039" s="6" t="s">
        <v>45</v>
      </c>
    </row>
    <row r="1040" spans="1:15" x14ac:dyDescent="0.3">
      <c r="A1040" s="2" t="s">
        <v>366</v>
      </c>
      <c r="B1040" s="5">
        <v>45967</v>
      </c>
      <c r="C1040" s="6" t="s">
        <v>54</v>
      </c>
      <c r="D1040" s="6" t="s">
        <v>124</v>
      </c>
      <c r="E1040" s="6" t="s">
        <v>33</v>
      </c>
      <c r="F1040" s="6" t="s">
        <v>43</v>
      </c>
      <c r="G1040" s="6" t="s">
        <v>91</v>
      </c>
      <c r="H1040" s="2">
        <v>7</v>
      </c>
      <c r="I1040" s="2">
        <v>49686.94</v>
      </c>
      <c r="J1040" s="2">
        <v>0.05</v>
      </c>
      <c r="K1040" s="2">
        <v>330418.15999999997</v>
      </c>
      <c r="L1040" s="2">
        <v>273831.78999999998</v>
      </c>
      <c r="M1040" s="2">
        <v>56586.37</v>
      </c>
      <c r="N1040" s="6" t="s">
        <v>58</v>
      </c>
      <c r="O1040" s="6" t="s">
        <v>30</v>
      </c>
    </row>
    <row r="1041" spans="1:15" x14ac:dyDescent="0.3">
      <c r="A1041" s="2" t="s">
        <v>1216</v>
      </c>
      <c r="B1041" s="5">
        <v>45777</v>
      </c>
      <c r="C1041" s="6" t="s">
        <v>63</v>
      </c>
      <c r="D1041" s="6" t="s">
        <v>117</v>
      </c>
      <c r="E1041" s="6" t="s">
        <v>69</v>
      </c>
      <c r="F1041" s="6" t="s">
        <v>27</v>
      </c>
      <c r="G1041" s="6" t="s">
        <v>28</v>
      </c>
      <c r="H1041" s="2">
        <v>8</v>
      </c>
      <c r="I1041" s="2">
        <v>26954.62</v>
      </c>
      <c r="J1041" s="2">
        <v>0.08</v>
      </c>
      <c r="K1041" s="2">
        <v>198386</v>
      </c>
      <c r="L1041" s="2">
        <v>141771</v>
      </c>
      <c r="M1041" s="2">
        <v>56615</v>
      </c>
      <c r="N1041" s="6" t="s">
        <v>58</v>
      </c>
      <c r="O1041" s="6" t="s">
        <v>30</v>
      </c>
    </row>
    <row r="1042" spans="1:15" x14ac:dyDescent="0.3">
      <c r="A1042" s="2" t="s">
        <v>528</v>
      </c>
      <c r="B1042" s="5">
        <v>45781</v>
      </c>
      <c r="C1042" s="6" t="s">
        <v>16</v>
      </c>
      <c r="D1042" s="6" t="s">
        <v>17</v>
      </c>
      <c r="E1042" s="6" t="s">
        <v>33</v>
      </c>
      <c r="F1042" s="6" t="s">
        <v>34</v>
      </c>
      <c r="G1042" s="6" t="s">
        <v>39</v>
      </c>
      <c r="H1042" s="2">
        <v>8</v>
      </c>
      <c r="I1042" s="2">
        <v>27733.69</v>
      </c>
      <c r="J1042" s="2">
        <v>0.08</v>
      </c>
      <c r="K1042" s="2">
        <v>204119.96</v>
      </c>
      <c r="L1042" s="2">
        <v>147443.10999999999</v>
      </c>
      <c r="M1042" s="2">
        <v>56676.85</v>
      </c>
      <c r="N1042" s="6" t="s">
        <v>58</v>
      </c>
      <c r="O1042" s="6" t="s">
        <v>22</v>
      </c>
    </row>
    <row r="1043" spans="1:15" x14ac:dyDescent="0.3">
      <c r="A1043" s="2" t="s">
        <v>1113</v>
      </c>
      <c r="B1043" s="5">
        <v>45951</v>
      </c>
      <c r="C1043" s="6" t="s">
        <v>54</v>
      </c>
      <c r="D1043" s="6" t="s">
        <v>124</v>
      </c>
      <c r="E1043" s="6" t="s">
        <v>26</v>
      </c>
      <c r="F1043" s="6" t="s">
        <v>43</v>
      </c>
      <c r="G1043" s="6" t="s">
        <v>75</v>
      </c>
      <c r="H1043" s="2">
        <v>6</v>
      </c>
      <c r="I1043" s="2">
        <v>36327.42</v>
      </c>
      <c r="J1043" s="2">
        <v>0.1</v>
      </c>
      <c r="K1043" s="2">
        <v>196168.09</v>
      </c>
      <c r="L1043" s="2">
        <v>139419.1</v>
      </c>
      <c r="M1043" s="2">
        <v>56748.99</v>
      </c>
      <c r="N1043" s="6" t="s">
        <v>21</v>
      </c>
      <c r="O1043" s="6" t="s">
        <v>59</v>
      </c>
    </row>
    <row r="1044" spans="1:15" x14ac:dyDescent="0.3">
      <c r="A1044" s="2" t="s">
        <v>1321</v>
      </c>
      <c r="B1044" s="5">
        <v>45725</v>
      </c>
      <c r="C1044" s="6" t="s">
        <v>63</v>
      </c>
      <c r="D1044" s="6" t="s">
        <v>64</v>
      </c>
      <c r="E1044" s="6" t="s">
        <v>65</v>
      </c>
      <c r="F1044" s="6" t="s">
        <v>27</v>
      </c>
      <c r="G1044" s="6" t="s">
        <v>28</v>
      </c>
      <c r="H1044" s="2">
        <v>8</v>
      </c>
      <c r="I1044" s="2">
        <v>27003.41</v>
      </c>
      <c r="J1044" s="2">
        <v>0.05</v>
      </c>
      <c r="K1044" s="2">
        <v>205225.91</v>
      </c>
      <c r="L1044" s="2">
        <v>148456.87</v>
      </c>
      <c r="M1044" s="2">
        <v>56769.04</v>
      </c>
      <c r="N1044" s="6" t="s">
        <v>21</v>
      </c>
      <c r="O1044" s="6" t="s">
        <v>40</v>
      </c>
    </row>
    <row r="1045" spans="1:15" x14ac:dyDescent="0.3">
      <c r="A1045" s="2" t="s">
        <v>1218</v>
      </c>
      <c r="B1045" s="5">
        <v>45676</v>
      </c>
      <c r="C1045" s="6" t="s">
        <v>16</v>
      </c>
      <c r="D1045" s="6" t="s">
        <v>17</v>
      </c>
      <c r="E1045" s="6" t="s">
        <v>74</v>
      </c>
      <c r="F1045" s="6" t="s">
        <v>34</v>
      </c>
      <c r="G1045" s="6" t="s">
        <v>57</v>
      </c>
      <c r="H1045" s="2">
        <v>7</v>
      </c>
      <c r="I1045" s="2">
        <v>23556.34</v>
      </c>
      <c r="J1045" s="2">
        <v>0.03</v>
      </c>
      <c r="K1045" s="2">
        <v>159947.56</v>
      </c>
      <c r="L1045" s="2">
        <v>103131.33</v>
      </c>
      <c r="M1045" s="2">
        <v>56816.23</v>
      </c>
      <c r="N1045" s="6" t="s">
        <v>29</v>
      </c>
      <c r="O1045" s="6" t="s">
        <v>59</v>
      </c>
    </row>
    <row r="1046" spans="1:15" x14ac:dyDescent="0.3">
      <c r="A1046" s="2" t="s">
        <v>1122</v>
      </c>
      <c r="B1046" s="5">
        <v>45870</v>
      </c>
      <c r="C1046" s="6" t="s">
        <v>63</v>
      </c>
      <c r="D1046" s="6" t="s">
        <v>95</v>
      </c>
      <c r="E1046" s="6" t="s">
        <v>74</v>
      </c>
      <c r="F1046" s="6" t="s">
        <v>34</v>
      </c>
      <c r="G1046" s="6" t="s">
        <v>39</v>
      </c>
      <c r="H1046" s="2">
        <v>6</v>
      </c>
      <c r="I1046" s="2">
        <v>28916.46</v>
      </c>
      <c r="J1046" s="2">
        <v>0.05</v>
      </c>
      <c r="K1046" s="2">
        <v>164823.79999999999</v>
      </c>
      <c r="L1046" s="2">
        <v>107907.45</v>
      </c>
      <c r="M1046" s="2">
        <v>56916.35</v>
      </c>
      <c r="N1046" s="6" t="s">
        <v>21</v>
      </c>
      <c r="O1046" s="6" t="s">
        <v>59</v>
      </c>
    </row>
    <row r="1047" spans="1:15" x14ac:dyDescent="0.3">
      <c r="A1047" s="2" t="s">
        <v>163</v>
      </c>
      <c r="B1047" s="5">
        <v>45867</v>
      </c>
      <c r="C1047" s="6" t="s">
        <v>54</v>
      </c>
      <c r="D1047" s="6" t="s">
        <v>55</v>
      </c>
      <c r="E1047" s="6" t="s">
        <v>74</v>
      </c>
      <c r="F1047" s="6" t="s">
        <v>34</v>
      </c>
      <c r="G1047" s="6" t="s">
        <v>39</v>
      </c>
      <c r="H1047" s="2">
        <v>6</v>
      </c>
      <c r="I1047" s="2">
        <v>30551.759999999998</v>
      </c>
      <c r="J1047" s="2">
        <v>0.1</v>
      </c>
      <c r="K1047" s="2">
        <v>164979.51</v>
      </c>
      <c r="L1047" s="2">
        <v>107795.61</v>
      </c>
      <c r="M1047" s="2">
        <v>57183.9</v>
      </c>
      <c r="N1047" s="6" t="s">
        <v>29</v>
      </c>
      <c r="O1047" s="6" t="s">
        <v>40</v>
      </c>
    </row>
    <row r="1048" spans="1:15" x14ac:dyDescent="0.3">
      <c r="A1048" s="2" t="s">
        <v>772</v>
      </c>
      <c r="B1048" s="5">
        <v>45820</v>
      </c>
      <c r="C1048" s="6" t="s">
        <v>54</v>
      </c>
      <c r="D1048" s="6" t="s">
        <v>48</v>
      </c>
      <c r="E1048" s="6" t="s">
        <v>56</v>
      </c>
      <c r="F1048" s="6" t="s">
        <v>34</v>
      </c>
      <c r="G1048" s="6" t="s">
        <v>39</v>
      </c>
      <c r="H1048" s="2">
        <v>6</v>
      </c>
      <c r="I1048" s="2">
        <v>27685.03</v>
      </c>
      <c r="J1048" s="2">
        <v>0.08</v>
      </c>
      <c r="K1048" s="2">
        <v>152821.35</v>
      </c>
      <c r="L1048" s="2">
        <v>95545.13</v>
      </c>
      <c r="M1048" s="2">
        <v>57276.22</v>
      </c>
      <c r="N1048" s="6" t="s">
        <v>58</v>
      </c>
      <c r="O1048" s="6" t="s">
        <v>45</v>
      </c>
    </row>
    <row r="1049" spans="1:15" x14ac:dyDescent="0.3">
      <c r="A1049" s="2" t="s">
        <v>902</v>
      </c>
      <c r="B1049" s="5">
        <v>45746</v>
      </c>
      <c r="C1049" s="6" t="s">
        <v>16</v>
      </c>
      <c r="D1049" s="6" t="s">
        <v>32</v>
      </c>
      <c r="E1049" s="6" t="s">
        <v>33</v>
      </c>
      <c r="F1049" s="6" t="s">
        <v>43</v>
      </c>
      <c r="G1049" s="6" t="s">
        <v>84</v>
      </c>
      <c r="H1049" s="2">
        <v>5</v>
      </c>
      <c r="I1049" s="2">
        <v>41512.839999999997</v>
      </c>
      <c r="J1049" s="2">
        <v>0.03</v>
      </c>
      <c r="K1049" s="2">
        <v>201337.27</v>
      </c>
      <c r="L1049" s="2">
        <v>143392.12</v>
      </c>
      <c r="M1049" s="2">
        <v>57945.15</v>
      </c>
      <c r="N1049" s="6" t="s">
        <v>21</v>
      </c>
      <c r="O1049" s="6" t="s">
        <v>22</v>
      </c>
    </row>
    <row r="1050" spans="1:15" x14ac:dyDescent="0.3">
      <c r="A1050" s="2" t="s">
        <v>875</v>
      </c>
      <c r="B1050" s="5">
        <v>45705</v>
      </c>
      <c r="C1050" s="6" t="s">
        <v>37</v>
      </c>
      <c r="D1050" s="6" t="s">
        <v>25</v>
      </c>
      <c r="E1050" s="6" t="s">
        <v>49</v>
      </c>
      <c r="F1050" s="6" t="s">
        <v>43</v>
      </c>
      <c r="G1050" s="6" t="s">
        <v>75</v>
      </c>
      <c r="H1050" s="2">
        <v>5</v>
      </c>
      <c r="I1050" s="2">
        <v>33846.639999999999</v>
      </c>
      <c r="J1050" s="2">
        <v>0</v>
      </c>
      <c r="K1050" s="2">
        <v>169233.21</v>
      </c>
      <c r="L1050" s="2">
        <v>110913.52</v>
      </c>
      <c r="M1050" s="2">
        <v>58319.69</v>
      </c>
      <c r="N1050" s="6" t="s">
        <v>21</v>
      </c>
      <c r="O1050" s="6" t="s">
        <v>30</v>
      </c>
    </row>
    <row r="1051" spans="1:15" x14ac:dyDescent="0.3">
      <c r="A1051" s="2" t="s">
        <v>292</v>
      </c>
      <c r="B1051" s="5">
        <v>45770</v>
      </c>
      <c r="C1051" s="6" t="s">
        <v>16</v>
      </c>
      <c r="D1051" s="6" t="s">
        <v>17</v>
      </c>
      <c r="E1051" s="6" t="s">
        <v>33</v>
      </c>
      <c r="F1051" s="6" t="s">
        <v>43</v>
      </c>
      <c r="G1051" s="6" t="s">
        <v>84</v>
      </c>
      <c r="H1051" s="2">
        <v>4</v>
      </c>
      <c r="I1051" s="2">
        <v>41074.22</v>
      </c>
      <c r="J1051" s="2">
        <v>0.05</v>
      </c>
      <c r="K1051" s="2">
        <v>156082.04</v>
      </c>
      <c r="L1051" s="2">
        <v>97752.19</v>
      </c>
      <c r="M1051" s="2">
        <v>58329.85</v>
      </c>
      <c r="N1051" s="6" t="s">
        <v>29</v>
      </c>
      <c r="O1051" s="6" t="s">
        <v>45</v>
      </c>
    </row>
    <row r="1052" spans="1:15" x14ac:dyDescent="0.3">
      <c r="A1052" s="2" t="s">
        <v>348</v>
      </c>
      <c r="B1052" s="5">
        <v>45885</v>
      </c>
      <c r="C1052" s="6" t="s">
        <v>54</v>
      </c>
      <c r="D1052" s="6" t="s">
        <v>124</v>
      </c>
      <c r="E1052" s="6" t="s">
        <v>69</v>
      </c>
      <c r="F1052" s="6" t="s">
        <v>43</v>
      </c>
      <c r="G1052" s="6" t="s">
        <v>91</v>
      </c>
      <c r="H1052" s="2">
        <v>4</v>
      </c>
      <c r="I1052" s="2">
        <v>49955.49</v>
      </c>
      <c r="J1052" s="2">
        <v>0.05</v>
      </c>
      <c r="K1052" s="2">
        <v>189830.87</v>
      </c>
      <c r="L1052" s="2">
        <v>131474.47</v>
      </c>
      <c r="M1052" s="2">
        <v>58356.4</v>
      </c>
      <c r="N1052" s="6" t="s">
        <v>21</v>
      </c>
      <c r="O1052" s="6" t="s">
        <v>30</v>
      </c>
    </row>
    <row r="1053" spans="1:15" x14ac:dyDescent="0.3">
      <c r="A1053" s="2" t="s">
        <v>486</v>
      </c>
      <c r="B1053" s="5">
        <v>45794</v>
      </c>
      <c r="C1053" s="6" t="s">
        <v>54</v>
      </c>
      <c r="D1053" s="6" t="s">
        <v>48</v>
      </c>
      <c r="E1053" s="6" t="s">
        <v>33</v>
      </c>
      <c r="F1053" s="6" t="s">
        <v>27</v>
      </c>
      <c r="G1053" s="6" t="s">
        <v>89</v>
      </c>
      <c r="H1053" s="2">
        <v>7</v>
      </c>
      <c r="I1053" s="2">
        <v>34482.410000000003</v>
      </c>
      <c r="J1053" s="2">
        <v>0.1</v>
      </c>
      <c r="K1053" s="2">
        <v>217239.18</v>
      </c>
      <c r="L1053" s="2">
        <v>158296.82</v>
      </c>
      <c r="M1053" s="2">
        <v>58942.36</v>
      </c>
      <c r="N1053" s="6" t="s">
        <v>21</v>
      </c>
      <c r="O1053" s="6" t="s">
        <v>40</v>
      </c>
    </row>
    <row r="1054" spans="1:15" x14ac:dyDescent="0.3">
      <c r="A1054" s="2" t="s">
        <v>1110</v>
      </c>
      <c r="B1054" s="5">
        <v>45920</v>
      </c>
      <c r="C1054" s="6" t="s">
        <v>16</v>
      </c>
      <c r="D1054" s="6" t="s">
        <v>32</v>
      </c>
      <c r="E1054" s="6" t="s">
        <v>26</v>
      </c>
      <c r="F1054" s="6" t="s">
        <v>43</v>
      </c>
      <c r="G1054" s="6" t="s">
        <v>84</v>
      </c>
      <c r="H1054" s="2">
        <v>7</v>
      </c>
      <c r="I1054" s="2">
        <v>40762.15</v>
      </c>
      <c r="J1054" s="2">
        <v>0.08</v>
      </c>
      <c r="K1054" s="2">
        <v>262508.21999999997</v>
      </c>
      <c r="L1054" s="2">
        <v>203423.59</v>
      </c>
      <c r="M1054" s="2">
        <v>59084.63</v>
      </c>
      <c r="N1054" s="6" t="s">
        <v>58</v>
      </c>
      <c r="O1054" s="6" t="s">
        <v>30</v>
      </c>
    </row>
    <row r="1055" spans="1:15" x14ac:dyDescent="0.3">
      <c r="A1055" s="2" t="s">
        <v>288</v>
      </c>
      <c r="B1055" s="5">
        <v>45712</v>
      </c>
      <c r="C1055" s="6" t="s">
        <v>54</v>
      </c>
      <c r="D1055" s="6" t="s">
        <v>55</v>
      </c>
      <c r="E1055" s="6" t="s">
        <v>56</v>
      </c>
      <c r="F1055" s="6" t="s">
        <v>43</v>
      </c>
      <c r="G1055" s="6" t="s">
        <v>91</v>
      </c>
      <c r="H1055" s="2">
        <v>5</v>
      </c>
      <c r="I1055" s="2">
        <v>49093.06</v>
      </c>
      <c r="J1055" s="2">
        <v>0</v>
      </c>
      <c r="K1055" s="2">
        <v>245465.3</v>
      </c>
      <c r="L1055" s="2">
        <v>186356.3</v>
      </c>
      <c r="M1055" s="2">
        <v>59109</v>
      </c>
      <c r="N1055" s="6" t="s">
        <v>58</v>
      </c>
      <c r="O1055" s="6" t="s">
        <v>59</v>
      </c>
    </row>
    <row r="1056" spans="1:15" x14ac:dyDescent="0.3">
      <c r="A1056" s="2" t="s">
        <v>1311</v>
      </c>
      <c r="B1056" s="5">
        <v>45891</v>
      </c>
      <c r="C1056" s="6" t="s">
        <v>63</v>
      </c>
      <c r="D1056" s="6" t="s">
        <v>88</v>
      </c>
      <c r="E1056" s="6" t="s">
        <v>49</v>
      </c>
      <c r="F1056" s="6" t="s">
        <v>34</v>
      </c>
      <c r="G1056" s="6" t="s">
        <v>57</v>
      </c>
      <c r="H1056" s="2">
        <v>7</v>
      </c>
      <c r="I1056" s="2">
        <v>23647.25</v>
      </c>
      <c r="J1056" s="2">
        <v>0.03</v>
      </c>
      <c r="K1056" s="2">
        <v>160564.84</v>
      </c>
      <c r="L1056" s="2">
        <v>100982.98</v>
      </c>
      <c r="M1056" s="2">
        <v>59581.86</v>
      </c>
      <c r="N1056" s="6" t="s">
        <v>29</v>
      </c>
      <c r="O1056" s="6" t="s">
        <v>22</v>
      </c>
    </row>
    <row r="1057" spans="1:15" x14ac:dyDescent="0.3">
      <c r="A1057" s="2" t="s">
        <v>207</v>
      </c>
      <c r="B1057" s="5">
        <v>45963</v>
      </c>
      <c r="C1057" s="6" t="s">
        <v>16</v>
      </c>
      <c r="D1057" s="6" t="s">
        <v>17</v>
      </c>
      <c r="E1057" s="6" t="s">
        <v>49</v>
      </c>
      <c r="F1057" s="6" t="s">
        <v>34</v>
      </c>
      <c r="G1057" s="6" t="s">
        <v>39</v>
      </c>
      <c r="H1057" s="2">
        <v>6</v>
      </c>
      <c r="I1057" s="2">
        <v>29260.240000000002</v>
      </c>
      <c r="J1057" s="2">
        <v>0.08</v>
      </c>
      <c r="K1057" s="2">
        <v>161516.51999999999</v>
      </c>
      <c r="L1057" s="2">
        <v>101913.38</v>
      </c>
      <c r="M1057" s="2">
        <v>59603.14</v>
      </c>
      <c r="N1057" s="6" t="s">
        <v>58</v>
      </c>
      <c r="O1057" s="6" t="s">
        <v>45</v>
      </c>
    </row>
    <row r="1058" spans="1:15" x14ac:dyDescent="0.3">
      <c r="A1058" s="2" t="s">
        <v>210</v>
      </c>
      <c r="B1058" s="5">
        <v>45741</v>
      </c>
      <c r="C1058" s="6" t="s">
        <v>63</v>
      </c>
      <c r="D1058" s="6" t="s">
        <v>64</v>
      </c>
      <c r="E1058" s="6" t="s">
        <v>69</v>
      </c>
      <c r="F1058" s="6" t="s">
        <v>27</v>
      </c>
      <c r="G1058" s="6" t="s">
        <v>50</v>
      </c>
      <c r="H1058" s="2">
        <v>8</v>
      </c>
      <c r="I1058" s="2">
        <v>29675.21</v>
      </c>
      <c r="J1058" s="2">
        <v>0.1</v>
      </c>
      <c r="K1058" s="2">
        <v>213661.49</v>
      </c>
      <c r="L1058" s="2">
        <v>153993.22</v>
      </c>
      <c r="M1058" s="2">
        <v>59668.27</v>
      </c>
      <c r="N1058" s="6" t="s">
        <v>21</v>
      </c>
      <c r="O1058" s="6" t="s">
        <v>30</v>
      </c>
    </row>
    <row r="1059" spans="1:15" x14ac:dyDescent="0.3">
      <c r="A1059" s="2" t="s">
        <v>859</v>
      </c>
      <c r="B1059" s="5">
        <v>46020</v>
      </c>
      <c r="C1059" s="6" t="s">
        <v>16</v>
      </c>
      <c r="D1059" s="6" t="s">
        <v>52</v>
      </c>
      <c r="E1059" s="6" t="s">
        <v>26</v>
      </c>
      <c r="F1059" s="6" t="s">
        <v>43</v>
      </c>
      <c r="G1059" s="6" t="s">
        <v>75</v>
      </c>
      <c r="H1059" s="2">
        <v>6</v>
      </c>
      <c r="I1059" s="2">
        <v>37530.160000000003</v>
      </c>
      <c r="J1059" s="2">
        <v>0</v>
      </c>
      <c r="K1059" s="2">
        <v>225180.94</v>
      </c>
      <c r="L1059" s="2">
        <v>165482.85999999999</v>
      </c>
      <c r="M1059" s="2">
        <v>59698.080000000002</v>
      </c>
      <c r="N1059" s="6" t="s">
        <v>58</v>
      </c>
      <c r="O1059" s="6" t="s">
        <v>59</v>
      </c>
    </row>
    <row r="1060" spans="1:15" x14ac:dyDescent="0.3">
      <c r="A1060" s="2" t="s">
        <v>165</v>
      </c>
      <c r="B1060" s="5">
        <v>45970</v>
      </c>
      <c r="C1060" s="6" t="s">
        <v>63</v>
      </c>
      <c r="D1060" s="6" t="s">
        <v>88</v>
      </c>
      <c r="E1060" s="6" t="s">
        <v>56</v>
      </c>
      <c r="F1060" s="6" t="s">
        <v>27</v>
      </c>
      <c r="G1060" s="6" t="s">
        <v>89</v>
      </c>
      <c r="H1060" s="2">
        <v>6</v>
      </c>
      <c r="I1060" s="2">
        <v>30647.84</v>
      </c>
      <c r="J1060" s="2">
        <v>0.03</v>
      </c>
      <c r="K1060" s="2">
        <v>178370.42</v>
      </c>
      <c r="L1060" s="2">
        <v>118565.85</v>
      </c>
      <c r="M1060" s="2">
        <v>59804.57</v>
      </c>
      <c r="N1060" s="6" t="s">
        <v>21</v>
      </c>
      <c r="O1060" s="6" t="s">
        <v>22</v>
      </c>
    </row>
    <row r="1061" spans="1:15" x14ac:dyDescent="0.3">
      <c r="A1061" s="2" t="s">
        <v>410</v>
      </c>
      <c r="B1061" s="5">
        <v>45814</v>
      </c>
      <c r="C1061" s="6" t="s">
        <v>54</v>
      </c>
      <c r="D1061" s="6" t="s">
        <v>124</v>
      </c>
      <c r="E1061" s="6" t="s">
        <v>26</v>
      </c>
      <c r="F1061" s="6" t="s">
        <v>27</v>
      </c>
      <c r="G1061" s="6" t="s">
        <v>28</v>
      </c>
      <c r="H1061" s="2">
        <v>7</v>
      </c>
      <c r="I1061" s="2">
        <v>27695.439999999999</v>
      </c>
      <c r="J1061" s="2">
        <v>0.15</v>
      </c>
      <c r="K1061" s="2">
        <v>164787.9</v>
      </c>
      <c r="L1061" s="2">
        <v>104838.16</v>
      </c>
      <c r="M1061" s="2">
        <v>59949.74</v>
      </c>
      <c r="N1061" s="6" t="s">
        <v>58</v>
      </c>
      <c r="O1061" s="6" t="s">
        <v>59</v>
      </c>
    </row>
    <row r="1062" spans="1:15" x14ac:dyDescent="0.3">
      <c r="A1062" s="2" t="s">
        <v>529</v>
      </c>
      <c r="B1062" s="5">
        <v>45767</v>
      </c>
      <c r="C1062" s="6" t="s">
        <v>63</v>
      </c>
      <c r="D1062" s="6" t="s">
        <v>95</v>
      </c>
      <c r="E1062" s="6" t="s">
        <v>74</v>
      </c>
      <c r="F1062" s="6" t="s">
        <v>43</v>
      </c>
      <c r="G1062" s="6" t="s">
        <v>91</v>
      </c>
      <c r="H1062" s="2">
        <v>5</v>
      </c>
      <c r="I1062" s="2">
        <v>48590.45</v>
      </c>
      <c r="J1062" s="2">
        <v>0.05</v>
      </c>
      <c r="K1062" s="2">
        <v>230804.63</v>
      </c>
      <c r="L1062" s="2">
        <v>170810.86</v>
      </c>
      <c r="M1062" s="2">
        <v>59993.77</v>
      </c>
      <c r="N1062" s="6" t="s">
        <v>21</v>
      </c>
      <c r="O1062" s="6" t="s">
        <v>59</v>
      </c>
    </row>
    <row r="1063" spans="1:15" x14ac:dyDescent="0.3">
      <c r="A1063" s="2" t="s">
        <v>808</v>
      </c>
      <c r="B1063" s="5">
        <v>45923</v>
      </c>
      <c r="C1063" s="6" t="s">
        <v>37</v>
      </c>
      <c r="D1063" s="6" t="s">
        <v>68</v>
      </c>
      <c r="E1063" s="6" t="s">
        <v>65</v>
      </c>
      <c r="F1063" s="6" t="s">
        <v>43</v>
      </c>
      <c r="G1063" s="6" t="s">
        <v>75</v>
      </c>
      <c r="H1063" s="2">
        <v>8</v>
      </c>
      <c r="I1063" s="2">
        <v>35066.870000000003</v>
      </c>
      <c r="J1063" s="2">
        <v>0.1</v>
      </c>
      <c r="K1063" s="2">
        <v>252481.49</v>
      </c>
      <c r="L1063" s="2">
        <v>192130.53</v>
      </c>
      <c r="M1063" s="2">
        <v>60350.96</v>
      </c>
      <c r="N1063" s="6" t="s">
        <v>29</v>
      </c>
      <c r="O1063" s="6" t="s">
        <v>22</v>
      </c>
    </row>
    <row r="1064" spans="1:15" x14ac:dyDescent="0.3">
      <c r="A1064" s="2" t="s">
        <v>1007</v>
      </c>
      <c r="B1064" s="5">
        <v>45752</v>
      </c>
      <c r="C1064" s="6" t="s">
        <v>16</v>
      </c>
      <c r="D1064" s="6" t="s">
        <v>52</v>
      </c>
      <c r="E1064" s="6" t="s">
        <v>49</v>
      </c>
      <c r="F1064" s="6" t="s">
        <v>43</v>
      </c>
      <c r="G1064" s="6" t="s">
        <v>84</v>
      </c>
      <c r="H1064" s="2">
        <v>7</v>
      </c>
      <c r="I1064" s="2">
        <v>38789.67</v>
      </c>
      <c r="J1064" s="2">
        <v>0.1</v>
      </c>
      <c r="K1064" s="2">
        <v>244374.93</v>
      </c>
      <c r="L1064" s="2">
        <v>184012.1</v>
      </c>
      <c r="M1064" s="2">
        <v>60362.83</v>
      </c>
      <c r="N1064" s="6" t="s">
        <v>21</v>
      </c>
      <c r="O1064" s="6" t="s">
        <v>59</v>
      </c>
    </row>
    <row r="1065" spans="1:15" x14ac:dyDescent="0.3">
      <c r="A1065" s="2" t="s">
        <v>356</v>
      </c>
      <c r="B1065" s="5">
        <v>46015</v>
      </c>
      <c r="C1065" s="6" t="s">
        <v>37</v>
      </c>
      <c r="D1065" s="6" t="s">
        <v>38</v>
      </c>
      <c r="E1065" s="6" t="s">
        <v>69</v>
      </c>
      <c r="F1065" s="6" t="s">
        <v>27</v>
      </c>
      <c r="G1065" s="6" t="s">
        <v>28</v>
      </c>
      <c r="H1065" s="2">
        <v>8</v>
      </c>
      <c r="I1065" s="2">
        <v>26265.93</v>
      </c>
      <c r="J1065" s="2">
        <v>0.1</v>
      </c>
      <c r="K1065" s="2">
        <v>189114.72</v>
      </c>
      <c r="L1065" s="2">
        <v>128245.4</v>
      </c>
      <c r="M1065" s="2">
        <v>60869.32</v>
      </c>
      <c r="N1065" s="6" t="s">
        <v>21</v>
      </c>
      <c r="O1065" s="6" t="s">
        <v>59</v>
      </c>
    </row>
    <row r="1066" spans="1:15" x14ac:dyDescent="0.3">
      <c r="A1066" s="2" t="s">
        <v>506</v>
      </c>
      <c r="B1066" s="5">
        <v>45869</v>
      </c>
      <c r="C1066" s="6" t="s">
        <v>16</v>
      </c>
      <c r="D1066" s="6" t="s">
        <v>32</v>
      </c>
      <c r="E1066" s="6" t="s">
        <v>74</v>
      </c>
      <c r="F1066" s="6" t="s">
        <v>34</v>
      </c>
      <c r="G1066" s="6" t="s">
        <v>39</v>
      </c>
      <c r="H1066" s="2">
        <v>7</v>
      </c>
      <c r="I1066" s="2">
        <v>29923.3</v>
      </c>
      <c r="J1066" s="2">
        <v>0.05</v>
      </c>
      <c r="K1066" s="2">
        <v>198989.94</v>
      </c>
      <c r="L1066" s="2">
        <v>138105.46</v>
      </c>
      <c r="M1066" s="2">
        <v>60884.480000000003</v>
      </c>
      <c r="N1066" s="6" t="s">
        <v>21</v>
      </c>
      <c r="O1066" s="6" t="s">
        <v>22</v>
      </c>
    </row>
    <row r="1067" spans="1:15" x14ac:dyDescent="0.3">
      <c r="A1067" s="2" t="s">
        <v>549</v>
      </c>
      <c r="B1067" s="5">
        <v>45835</v>
      </c>
      <c r="C1067" s="6" t="s">
        <v>37</v>
      </c>
      <c r="D1067" s="6" t="s">
        <v>68</v>
      </c>
      <c r="E1067" s="6" t="s">
        <v>49</v>
      </c>
      <c r="F1067" s="6" t="s">
        <v>34</v>
      </c>
      <c r="G1067" s="6" t="s">
        <v>70</v>
      </c>
      <c r="H1067" s="2">
        <v>4</v>
      </c>
      <c r="I1067" s="2">
        <v>61971.839999999997</v>
      </c>
      <c r="J1067" s="2">
        <v>0</v>
      </c>
      <c r="K1067" s="2">
        <v>247887.37</v>
      </c>
      <c r="L1067" s="2">
        <v>186552.07</v>
      </c>
      <c r="M1067" s="2">
        <v>61335.3</v>
      </c>
      <c r="N1067" s="6" t="s">
        <v>58</v>
      </c>
      <c r="O1067" s="6" t="s">
        <v>22</v>
      </c>
    </row>
    <row r="1068" spans="1:15" x14ac:dyDescent="0.3">
      <c r="A1068" s="2" t="s">
        <v>906</v>
      </c>
      <c r="B1068" s="5">
        <v>45841</v>
      </c>
      <c r="C1068" s="6" t="s">
        <v>16</v>
      </c>
      <c r="D1068" s="6" t="s">
        <v>17</v>
      </c>
      <c r="E1068" s="6" t="s">
        <v>49</v>
      </c>
      <c r="F1068" s="6" t="s">
        <v>34</v>
      </c>
      <c r="G1068" s="6" t="s">
        <v>70</v>
      </c>
      <c r="H1068" s="2">
        <v>6</v>
      </c>
      <c r="I1068" s="2">
        <v>67424.789999999994</v>
      </c>
      <c r="J1068" s="2">
        <v>0</v>
      </c>
      <c r="K1068" s="2">
        <v>404548.75</v>
      </c>
      <c r="L1068" s="2">
        <v>343192.92</v>
      </c>
      <c r="M1068" s="2">
        <v>61355.83</v>
      </c>
      <c r="N1068" s="6" t="s">
        <v>21</v>
      </c>
      <c r="O1068" s="6" t="s">
        <v>59</v>
      </c>
    </row>
    <row r="1069" spans="1:15" x14ac:dyDescent="0.3">
      <c r="A1069" s="2" t="s">
        <v>891</v>
      </c>
      <c r="B1069" s="5">
        <v>45725</v>
      </c>
      <c r="C1069" s="6" t="s">
        <v>63</v>
      </c>
      <c r="D1069" s="6" t="s">
        <v>64</v>
      </c>
      <c r="E1069" s="6" t="s">
        <v>49</v>
      </c>
      <c r="F1069" s="6" t="s">
        <v>34</v>
      </c>
      <c r="G1069" s="6" t="s">
        <v>70</v>
      </c>
      <c r="H1069" s="2">
        <v>4</v>
      </c>
      <c r="I1069" s="2">
        <v>61008.28</v>
      </c>
      <c r="J1069" s="2">
        <v>0.08</v>
      </c>
      <c r="K1069" s="2">
        <v>224510.46</v>
      </c>
      <c r="L1069" s="2">
        <v>163112.56</v>
      </c>
      <c r="M1069" s="2">
        <v>61397.9</v>
      </c>
      <c r="N1069" s="6" t="s">
        <v>21</v>
      </c>
      <c r="O1069" s="6" t="s">
        <v>45</v>
      </c>
    </row>
    <row r="1070" spans="1:15" x14ac:dyDescent="0.3">
      <c r="A1070" s="2" t="s">
        <v>1313</v>
      </c>
      <c r="B1070" s="5">
        <v>45701</v>
      </c>
      <c r="C1070" s="6" t="s">
        <v>54</v>
      </c>
      <c r="D1070" s="6" t="s">
        <v>48</v>
      </c>
      <c r="E1070" s="6" t="s">
        <v>1356</v>
      </c>
      <c r="F1070" s="6" t="s">
        <v>27</v>
      </c>
      <c r="G1070" s="6" t="s">
        <v>89</v>
      </c>
      <c r="H1070" s="2">
        <v>6</v>
      </c>
      <c r="I1070" s="2">
        <v>33250.839999999997</v>
      </c>
      <c r="J1070" s="2">
        <v>0.05</v>
      </c>
      <c r="K1070" s="2">
        <v>189529.76</v>
      </c>
      <c r="L1070" s="2">
        <v>127870.46</v>
      </c>
      <c r="M1070" s="2">
        <v>61659.3</v>
      </c>
      <c r="N1070" s="6" t="s">
        <v>21</v>
      </c>
      <c r="O1070" s="6" t="s">
        <v>22</v>
      </c>
    </row>
    <row r="1071" spans="1:15" x14ac:dyDescent="0.3">
      <c r="A1071" s="2" t="s">
        <v>324</v>
      </c>
      <c r="B1071" s="5">
        <v>45683</v>
      </c>
      <c r="C1071" s="6" t="s">
        <v>54</v>
      </c>
      <c r="D1071" s="6" t="s">
        <v>124</v>
      </c>
      <c r="E1071" s="6" t="s">
        <v>26</v>
      </c>
      <c r="F1071" s="6" t="s">
        <v>43</v>
      </c>
      <c r="G1071" s="6" t="s">
        <v>91</v>
      </c>
      <c r="H1071" s="2">
        <v>6</v>
      </c>
      <c r="I1071" s="2">
        <v>47497.7</v>
      </c>
      <c r="J1071" s="2">
        <v>0.08</v>
      </c>
      <c r="K1071" s="2">
        <v>262187.28999999998</v>
      </c>
      <c r="L1071" s="2">
        <v>200432.12</v>
      </c>
      <c r="M1071" s="2">
        <v>61755.17</v>
      </c>
      <c r="N1071" s="6" t="s">
        <v>21</v>
      </c>
      <c r="O1071" s="6" t="s">
        <v>45</v>
      </c>
    </row>
    <row r="1072" spans="1:15" x14ac:dyDescent="0.3">
      <c r="A1072" s="2" t="s">
        <v>1174</v>
      </c>
      <c r="B1072" s="5">
        <v>45999</v>
      </c>
      <c r="C1072" s="6" t="s">
        <v>16</v>
      </c>
      <c r="D1072" s="6" t="s">
        <v>82</v>
      </c>
      <c r="E1072" s="6" t="s">
        <v>56</v>
      </c>
      <c r="F1072" s="6" t="s">
        <v>43</v>
      </c>
      <c r="G1072" s="6" t="s">
        <v>75</v>
      </c>
      <c r="H1072" s="2">
        <v>8</v>
      </c>
      <c r="I1072" s="2">
        <v>38772.949999999997</v>
      </c>
      <c r="J1072" s="2">
        <v>0.05</v>
      </c>
      <c r="K1072" s="2">
        <v>294674.45</v>
      </c>
      <c r="L1072" s="2">
        <v>232417.87</v>
      </c>
      <c r="M1072" s="2">
        <v>62256.58</v>
      </c>
      <c r="N1072" s="6" t="s">
        <v>21</v>
      </c>
      <c r="O1072" s="6" t="s">
        <v>30</v>
      </c>
    </row>
    <row r="1073" spans="1:15" x14ac:dyDescent="0.3">
      <c r="A1073" s="2" t="s">
        <v>370</v>
      </c>
      <c r="B1073" s="5">
        <v>45768</v>
      </c>
      <c r="C1073" s="6" t="s">
        <v>37</v>
      </c>
      <c r="D1073" s="6" t="s">
        <v>25</v>
      </c>
      <c r="E1073" s="6" t="s">
        <v>74</v>
      </c>
      <c r="F1073" s="6" t="s">
        <v>34</v>
      </c>
      <c r="G1073" s="6" t="s">
        <v>39</v>
      </c>
      <c r="H1073" s="2">
        <v>6</v>
      </c>
      <c r="I1073" s="2">
        <v>31005.040000000001</v>
      </c>
      <c r="J1073" s="2">
        <v>0.1</v>
      </c>
      <c r="K1073" s="2">
        <v>167427.21</v>
      </c>
      <c r="L1073" s="2">
        <v>105067.48</v>
      </c>
      <c r="M1073" s="2">
        <v>62359.73</v>
      </c>
      <c r="N1073" s="6" t="s">
        <v>21</v>
      </c>
      <c r="O1073" s="6" t="s">
        <v>40</v>
      </c>
    </row>
    <row r="1074" spans="1:15" x14ac:dyDescent="0.3">
      <c r="A1074" s="2" t="s">
        <v>708</v>
      </c>
      <c r="B1074" s="5">
        <v>45679</v>
      </c>
      <c r="C1074" s="6" t="s">
        <v>63</v>
      </c>
      <c r="D1074" s="6" t="s">
        <v>95</v>
      </c>
      <c r="E1074" s="6" t="s">
        <v>65</v>
      </c>
      <c r="F1074" s="6" t="s">
        <v>43</v>
      </c>
      <c r="G1074" s="6" t="s">
        <v>91</v>
      </c>
      <c r="H1074" s="2">
        <v>4</v>
      </c>
      <c r="I1074" s="2">
        <v>45979</v>
      </c>
      <c r="J1074" s="2">
        <v>0.03</v>
      </c>
      <c r="K1074" s="2">
        <v>178398.54</v>
      </c>
      <c r="L1074" s="2">
        <v>115942.57</v>
      </c>
      <c r="M1074" s="2">
        <v>62455.97</v>
      </c>
      <c r="N1074" s="6" t="s">
        <v>21</v>
      </c>
      <c r="O1074" s="6" t="s">
        <v>40</v>
      </c>
    </row>
    <row r="1075" spans="1:15" x14ac:dyDescent="0.3">
      <c r="A1075" s="2" t="s">
        <v>756</v>
      </c>
      <c r="B1075" s="5">
        <v>45806</v>
      </c>
      <c r="C1075" s="6" t="s">
        <v>37</v>
      </c>
      <c r="D1075" s="6" t="s">
        <v>25</v>
      </c>
      <c r="E1075" s="6" t="s">
        <v>26</v>
      </c>
      <c r="F1075" s="6" t="s">
        <v>34</v>
      </c>
      <c r="G1075" s="6" t="s">
        <v>70</v>
      </c>
      <c r="H1075" s="2">
        <v>5</v>
      </c>
      <c r="I1075" s="2">
        <v>67554.53</v>
      </c>
      <c r="J1075" s="2">
        <v>0.15</v>
      </c>
      <c r="K1075" s="2">
        <v>287106.77</v>
      </c>
      <c r="L1075" s="2">
        <v>223873.26</v>
      </c>
      <c r="M1075" s="2">
        <v>63233.51</v>
      </c>
      <c r="N1075" s="6" t="s">
        <v>21</v>
      </c>
      <c r="O1075" s="6" t="s">
        <v>40</v>
      </c>
    </row>
    <row r="1076" spans="1:15" x14ac:dyDescent="0.3">
      <c r="A1076" s="2" t="s">
        <v>337</v>
      </c>
      <c r="B1076" s="5">
        <v>45664</v>
      </c>
      <c r="C1076" s="6" t="s">
        <v>63</v>
      </c>
      <c r="D1076" s="6" t="s">
        <v>117</v>
      </c>
      <c r="E1076" s="6" t="s">
        <v>69</v>
      </c>
      <c r="F1076" s="6" t="s">
        <v>43</v>
      </c>
      <c r="G1076" s="6" t="s">
        <v>91</v>
      </c>
      <c r="H1076" s="2">
        <v>4</v>
      </c>
      <c r="I1076" s="2">
        <v>49446.95</v>
      </c>
      <c r="J1076" s="2">
        <v>0.05</v>
      </c>
      <c r="K1076" s="2">
        <v>187898.41</v>
      </c>
      <c r="L1076" s="2">
        <v>124021.68</v>
      </c>
      <c r="M1076" s="2">
        <v>63876.73</v>
      </c>
      <c r="N1076" s="6" t="s">
        <v>21</v>
      </c>
      <c r="O1076" s="6" t="s">
        <v>30</v>
      </c>
    </row>
    <row r="1077" spans="1:15" x14ac:dyDescent="0.3">
      <c r="A1077" s="2" t="s">
        <v>355</v>
      </c>
      <c r="B1077" s="5">
        <v>45845</v>
      </c>
      <c r="C1077" s="6" t="s">
        <v>63</v>
      </c>
      <c r="D1077" s="6" t="s">
        <v>88</v>
      </c>
      <c r="E1077" s="6" t="s">
        <v>18</v>
      </c>
      <c r="F1077" s="6" t="s">
        <v>43</v>
      </c>
      <c r="G1077" s="6" t="s">
        <v>91</v>
      </c>
      <c r="H1077" s="2">
        <v>6</v>
      </c>
      <c r="I1077" s="2">
        <v>44348.15</v>
      </c>
      <c r="J1077" s="2">
        <v>0.03</v>
      </c>
      <c r="K1077" s="2">
        <v>258106.22</v>
      </c>
      <c r="L1077" s="2">
        <v>194042.01</v>
      </c>
      <c r="M1077" s="2">
        <v>64064.21</v>
      </c>
      <c r="N1077" s="6" t="s">
        <v>29</v>
      </c>
      <c r="O1077" s="6" t="s">
        <v>59</v>
      </c>
    </row>
    <row r="1078" spans="1:15" x14ac:dyDescent="0.3">
      <c r="A1078" s="2" t="s">
        <v>1339</v>
      </c>
      <c r="B1078" s="5">
        <v>45744</v>
      </c>
      <c r="C1078" s="6" t="s">
        <v>54</v>
      </c>
      <c r="D1078" s="6" t="s">
        <v>55</v>
      </c>
      <c r="E1078" s="6" t="s">
        <v>26</v>
      </c>
      <c r="F1078" s="6" t="s">
        <v>27</v>
      </c>
      <c r="G1078" s="6" t="s">
        <v>89</v>
      </c>
      <c r="H1078" s="2">
        <v>8</v>
      </c>
      <c r="I1078" s="2">
        <v>29568.02</v>
      </c>
      <c r="J1078" s="2">
        <v>0.1</v>
      </c>
      <c r="K1078" s="2">
        <v>212889.75</v>
      </c>
      <c r="L1078" s="2">
        <v>148411.57</v>
      </c>
      <c r="M1078" s="2">
        <v>64478.18</v>
      </c>
      <c r="N1078" s="6" t="s">
        <v>29</v>
      </c>
      <c r="O1078" s="6" t="s">
        <v>30</v>
      </c>
    </row>
    <row r="1079" spans="1:15" x14ac:dyDescent="0.3">
      <c r="A1079" s="2" t="s">
        <v>1105</v>
      </c>
      <c r="B1079" s="5">
        <v>45813</v>
      </c>
      <c r="C1079" s="6" t="s">
        <v>37</v>
      </c>
      <c r="D1079" s="6" t="s">
        <v>42</v>
      </c>
      <c r="E1079" s="6" t="s">
        <v>18</v>
      </c>
      <c r="F1079" s="6" t="s">
        <v>43</v>
      </c>
      <c r="G1079" s="6" t="s">
        <v>84</v>
      </c>
      <c r="H1079" s="2">
        <v>5</v>
      </c>
      <c r="I1079" s="2">
        <v>45017.81</v>
      </c>
      <c r="J1079" s="2">
        <v>0.08</v>
      </c>
      <c r="K1079" s="2">
        <v>207081.95</v>
      </c>
      <c r="L1079" s="2">
        <v>142575.35999999999</v>
      </c>
      <c r="M1079" s="2">
        <v>64506.59</v>
      </c>
      <c r="N1079" s="6" t="s">
        <v>29</v>
      </c>
      <c r="O1079" s="6" t="s">
        <v>40</v>
      </c>
    </row>
    <row r="1080" spans="1:15" x14ac:dyDescent="0.3">
      <c r="A1080" s="2" t="s">
        <v>473</v>
      </c>
      <c r="B1080" s="5">
        <v>45844</v>
      </c>
      <c r="C1080" s="6" t="s">
        <v>54</v>
      </c>
      <c r="D1080" s="6" t="s">
        <v>55</v>
      </c>
      <c r="E1080" s="6" t="s">
        <v>65</v>
      </c>
      <c r="F1080" s="6" t="s">
        <v>43</v>
      </c>
      <c r="G1080" s="6" t="s">
        <v>84</v>
      </c>
      <c r="H1080" s="2">
        <v>6</v>
      </c>
      <c r="I1080" s="2">
        <v>41156.959999999999</v>
      </c>
      <c r="J1080" s="2">
        <v>0.1</v>
      </c>
      <c r="K1080" s="2">
        <v>222247.61</v>
      </c>
      <c r="L1080" s="2">
        <v>157389.93</v>
      </c>
      <c r="M1080" s="2">
        <v>64857.68</v>
      </c>
      <c r="N1080" s="6" t="s">
        <v>21</v>
      </c>
      <c r="O1080" s="6" t="s">
        <v>22</v>
      </c>
    </row>
    <row r="1081" spans="1:15" x14ac:dyDescent="0.3">
      <c r="A1081" s="2" t="s">
        <v>126</v>
      </c>
      <c r="B1081" s="5">
        <v>45909</v>
      </c>
      <c r="C1081" s="6" t="s">
        <v>63</v>
      </c>
      <c r="D1081" s="6" t="s">
        <v>95</v>
      </c>
      <c r="E1081" s="6" t="s">
        <v>56</v>
      </c>
      <c r="F1081" s="6" t="s">
        <v>27</v>
      </c>
      <c r="G1081" s="6" t="s">
        <v>89</v>
      </c>
      <c r="H1081" s="2">
        <v>7</v>
      </c>
      <c r="I1081" s="2">
        <v>34087.39</v>
      </c>
      <c r="J1081" s="2">
        <v>0.08</v>
      </c>
      <c r="K1081" s="2">
        <v>219522.8</v>
      </c>
      <c r="L1081" s="2">
        <v>154555.54999999999</v>
      </c>
      <c r="M1081" s="2">
        <v>64967.25</v>
      </c>
      <c r="N1081" s="6" t="s">
        <v>21</v>
      </c>
      <c r="O1081" s="6" t="s">
        <v>45</v>
      </c>
    </row>
    <row r="1082" spans="1:15" x14ac:dyDescent="0.3">
      <c r="A1082" s="2" t="s">
        <v>606</v>
      </c>
      <c r="B1082" s="5">
        <v>45853</v>
      </c>
      <c r="C1082" s="6" t="s">
        <v>16</v>
      </c>
      <c r="D1082" s="6" t="s">
        <v>32</v>
      </c>
      <c r="E1082" s="6" t="s">
        <v>65</v>
      </c>
      <c r="F1082" s="6" t="s">
        <v>43</v>
      </c>
      <c r="G1082" s="6" t="s">
        <v>75</v>
      </c>
      <c r="H1082" s="2">
        <v>7</v>
      </c>
      <c r="I1082" s="2">
        <v>36988.35</v>
      </c>
      <c r="J1082" s="2">
        <v>0</v>
      </c>
      <c r="K1082" s="2">
        <v>258918.42</v>
      </c>
      <c r="L1082" s="2">
        <v>193772.47</v>
      </c>
      <c r="M1082" s="2">
        <v>65145.95</v>
      </c>
      <c r="N1082" s="6" t="s">
        <v>58</v>
      </c>
      <c r="O1082" s="6" t="s">
        <v>59</v>
      </c>
    </row>
    <row r="1083" spans="1:15" x14ac:dyDescent="0.3">
      <c r="A1083" s="2" t="s">
        <v>1102</v>
      </c>
      <c r="B1083" s="5">
        <v>45661</v>
      </c>
      <c r="C1083" s="6" t="s">
        <v>54</v>
      </c>
      <c r="D1083" s="6" t="s">
        <v>124</v>
      </c>
      <c r="E1083" s="6" t="s">
        <v>18</v>
      </c>
      <c r="F1083" s="6" t="s">
        <v>34</v>
      </c>
      <c r="G1083" s="6" t="s">
        <v>57</v>
      </c>
      <c r="H1083" s="2">
        <v>8</v>
      </c>
      <c r="I1083" s="2">
        <v>21570.67</v>
      </c>
      <c r="J1083" s="2">
        <v>0</v>
      </c>
      <c r="K1083" s="2">
        <v>172565.35</v>
      </c>
      <c r="L1083" s="2">
        <v>107373.72</v>
      </c>
      <c r="M1083" s="2">
        <v>65191.63</v>
      </c>
      <c r="N1083" s="6" t="s">
        <v>29</v>
      </c>
      <c r="O1083" s="6" t="s">
        <v>22</v>
      </c>
    </row>
    <row r="1084" spans="1:15" x14ac:dyDescent="0.3">
      <c r="A1084" s="2" t="s">
        <v>668</v>
      </c>
      <c r="B1084" s="5">
        <v>45903</v>
      </c>
      <c r="C1084" s="6" t="s">
        <v>54</v>
      </c>
      <c r="D1084" s="6" t="s">
        <v>55</v>
      </c>
      <c r="E1084" s="6" t="s">
        <v>56</v>
      </c>
      <c r="F1084" s="6" t="s">
        <v>34</v>
      </c>
      <c r="G1084" s="6" t="s">
        <v>39</v>
      </c>
      <c r="H1084" s="2">
        <v>7</v>
      </c>
      <c r="I1084" s="2">
        <v>30904.02</v>
      </c>
      <c r="J1084" s="2">
        <v>0.08</v>
      </c>
      <c r="K1084" s="2">
        <v>199021.92</v>
      </c>
      <c r="L1084" s="2">
        <v>133574.38</v>
      </c>
      <c r="M1084" s="2">
        <v>65447.54</v>
      </c>
      <c r="N1084" s="6" t="s">
        <v>29</v>
      </c>
      <c r="O1084" s="6" t="s">
        <v>30</v>
      </c>
    </row>
    <row r="1085" spans="1:15" x14ac:dyDescent="0.3">
      <c r="A1085" s="2" t="s">
        <v>831</v>
      </c>
      <c r="B1085" s="5">
        <v>45704</v>
      </c>
      <c r="C1085" s="6" t="s">
        <v>54</v>
      </c>
      <c r="D1085" s="6" t="s">
        <v>55</v>
      </c>
      <c r="E1085" s="6" t="s">
        <v>18</v>
      </c>
      <c r="F1085" s="6" t="s">
        <v>34</v>
      </c>
      <c r="G1085" s="6" t="s">
        <v>70</v>
      </c>
      <c r="H1085" s="2">
        <v>3</v>
      </c>
      <c r="I1085" s="2">
        <v>68271.48</v>
      </c>
      <c r="J1085" s="2">
        <v>0.03</v>
      </c>
      <c r="K1085" s="2">
        <v>198670</v>
      </c>
      <c r="L1085" s="2">
        <v>132741.70000000001</v>
      </c>
      <c r="M1085" s="2">
        <v>65928.3</v>
      </c>
      <c r="N1085" s="6" t="s">
        <v>21</v>
      </c>
      <c r="O1085" s="6" t="s">
        <v>59</v>
      </c>
    </row>
    <row r="1086" spans="1:15" x14ac:dyDescent="0.3">
      <c r="A1086" s="2" t="s">
        <v>1070</v>
      </c>
      <c r="B1086" s="5">
        <v>45722</v>
      </c>
      <c r="C1086" s="6" t="s">
        <v>54</v>
      </c>
      <c r="D1086" s="6" t="s">
        <v>48</v>
      </c>
      <c r="E1086" s="6" t="s">
        <v>49</v>
      </c>
      <c r="F1086" s="6" t="s">
        <v>34</v>
      </c>
      <c r="G1086" s="6" t="s">
        <v>39</v>
      </c>
      <c r="H1086" s="2">
        <v>7</v>
      </c>
      <c r="I1086" s="2">
        <v>28250.01</v>
      </c>
      <c r="J1086" s="2">
        <v>0.03</v>
      </c>
      <c r="K1086" s="2">
        <v>191817.57</v>
      </c>
      <c r="L1086" s="2">
        <v>125588.82</v>
      </c>
      <c r="M1086" s="2">
        <v>66228.75</v>
      </c>
      <c r="N1086" s="6" t="s">
        <v>29</v>
      </c>
      <c r="O1086" s="6" t="s">
        <v>30</v>
      </c>
    </row>
    <row r="1087" spans="1:15" x14ac:dyDescent="0.3">
      <c r="A1087" s="2" t="s">
        <v>245</v>
      </c>
      <c r="B1087" s="5">
        <v>46019</v>
      </c>
      <c r="C1087" s="6" t="s">
        <v>63</v>
      </c>
      <c r="D1087" s="6" t="s">
        <v>117</v>
      </c>
      <c r="E1087" s="6" t="s">
        <v>26</v>
      </c>
      <c r="F1087" s="6" t="s">
        <v>27</v>
      </c>
      <c r="G1087" s="6" t="s">
        <v>50</v>
      </c>
      <c r="H1087" s="2">
        <v>6</v>
      </c>
      <c r="I1087" s="2">
        <v>31468.76</v>
      </c>
      <c r="J1087" s="2">
        <v>0.05</v>
      </c>
      <c r="K1087" s="2">
        <v>179371.96</v>
      </c>
      <c r="L1087" s="2">
        <v>113079.49</v>
      </c>
      <c r="M1087" s="2">
        <v>66292.47</v>
      </c>
      <c r="N1087" s="6" t="s">
        <v>21</v>
      </c>
      <c r="O1087" s="6" t="s">
        <v>45</v>
      </c>
    </row>
    <row r="1088" spans="1:15" x14ac:dyDescent="0.3">
      <c r="A1088" s="2" t="s">
        <v>938</v>
      </c>
      <c r="B1088" s="5">
        <v>45981</v>
      </c>
      <c r="C1088" s="6" t="s">
        <v>16</v>
      </c>
      <c r="D1088" s="6" t="s">
        <v>52</v>
      </c>
      <c r="E1088" s="6" t="s">
        <v>65</v>
      </c>
      <c r="F1088" s="6" t="s">
        <v>43</v>
      </c>
      <c r="G1088" s="6" t="s">
        <v>84</v>
      </c>
      <c r="H1088" s="2">
        <v>6</v>
      </c>
      <c r="I1088" s="2">
        <v>41157.64</v>
      </c>
      <c r="J1088" s="2">
        <v>0.03</v>
      </c>
      <c r="K1088" s="2">
        <v>239537.48</v>
      </c>
      <c r="L1088" s="2">
        <v>173236.69</v>
      </c>
      <c r="M1088" s="2">
        <v>66300.789999999994</v>
      </c>
      <c r="N1088" s="6" t="s">
        <v>21</v>
      </c>
      <c r="O1088" s="6" t="s">
        <v>59</v>
      </c>
    </row>
    <row r="1089" spans="1:15" x14ac:dyDescent="0.3">
      <c r="A1089" s="2" t="s">
        <v>1002</v>
      </c>
      <c r="B1089" s="5">
        <v>45900</v>
      </c>
      <c r="C1089" s="6" t="s">
        <v>37</v>
      </c>
      <c r="D1089" s="6" t="s">
        <v>25</v>
      </c>
      <c r="E1089" s="6" t="s">
        <v>56</v>
      </c>
      <c r="F1089" s="6" t="s">
        <v>43</v>
      </c>
      <c r="G1089" s="6" t="s">
        <v>84</v>
      </c>
      <c r="H1089" s="2">
        <v>8</v>
      </c>
      <c r="I1089" s="2">
        <v>40511.29</v>
      </c>
      <c r="J1089" s="2">
        <v>0.1</v>
      </c>
      <c r="K1089" s="2">
        <v>291681.26</v>
      </c>
      <c r="L1089" s="2">
        <v>225379.93</v>
      </c>
      <c r="M1089" s="2">
        <v>66301.33</v>
      </c>
      <c r="N1089" s="6" t="s">
        <v>29</v>
      </c>
      <c r="O1089" s="6" t="s">
        <v>30</v>
      </c>
    </row>
    <row r="1090" spans="1:15" x14ac:dyDescent="0.3">
      <c r="A1090" s="2" t="s">
        <v>227</v>
      </c>
      <c r="B1090" s="5">
        <v>45787</v>
      </c>
      <c r="C1090" s="6" t="s">
        <v>37</v>
      </c>
      <c r="D1090" s="6" t="s">
        <v>68</v>
      </c>
      <c r="E1090" s="6" t="s">
        <v>74</v>
      </c>
      <c r="F1090" s="6" t="s">
        <v>43</v>
      </c>
      <c r="G1090" s="6" t="s">
        <v>91</v>
      </c>
      <c r="H1090" s="2">
        <v>5</v>
      </c>
      <c r="I1090" s="2">
        <v>47579.94</v>
      </c>
      <c r="J1090" s="2">
        <v>0.05</v>
      </c>
      <c r="K1090" s="2">
        <v>226004.74</v>
      </c>
      <c r="L1090" s="2">
        <v>159608.17000000001</v>
      </c>
      <c r="M1090" s="2">
        <v>66396.570000000007</v>
      </c>
      <c r="N1090" s="6" t="s">
        <v>21</v>
      </c>
      <c r="O1090" s="6" t="s">
        <v>30</v>
      </c>
    </row>
    <row r="1091" spans="1:15" x14ac:dyDescent="0.3">
      <c r="A1091" s="2" t="s">
        <v>353</v>
      </c>
      <c r="B1091" s="5">
        <v>45770</v>
      </c>
      <c r="C1091" s="6" t="s">
        <v>16</v>
      </c>
      <c r="D1091" s="6" t="s">
        <v>52</v>
      </c>
      <c r="E1091" s="6" t="s">
        <v>56</v>
      </c>
      <c r="F1091" s="6" t="s">
        <v>34</v>
      </c>
      <c r="G1091" s="6" t="s">
        <v>70</v>
      </c>
      <c r="H1091" s="2">
        <v>6</v>
      </c>
      <c r="I1091" s="2">
        <v>59892.18</v>
      </c>
      <c r="J1091" s="2">
        <v>0.15</v>
      </c>
      <c r="K1091" s="2">
        <v>305450.11</v>
      </c>
      <c r="L1091" s="2">
        <v>238995.5</v>
      </c>
      <c r="M1091" s="2">
        <v>66454.61</v>
      </c>
      <c r="N1091" s="6" t="s">
        <v>21</v>
      </c>
      <c r="O1091" s="6" t="s">
        <v>22</v>
      </c>
    </row>
    <row r="1092" spans="1:15" x14ac:dyDescent="0.3">
      <c r="A1092" s="2" t="s">
        <v>248</v>
      </c>
      <c r="B1092" s="5">
        <v>45817</v>
      </c>
      <c r="C1092" s="6" t="s">
        <v>37</v>
      </c>
      <c r="D1092" s="6" t="s">
        <v>68</v>
      </c>
      <c r="E1092" s="6" t="s">
        <v>69</v>
      </c>
      <c r="F1092" s="6" t="s">
        <v>27</v>
      </c>
      <c r="G1092" s="6" t="s">
        <v>89</v>
      </c>
      <c r="H1092" s="2">
        <v>7</v>
      </c>
      <c r="I1092" s="2">
        <v>32181.03</v>
      </c>
      <c r="J1092" s="2">
        <v>0.03</v>
      </c>
      <c r="K1092" s="2">
        <v>218509.22</v>
      </c>
      <c r="L1092" s="2">
        <v>151851.94</v>
      </c>
      <c r="M1092" s="2">
        <v>66657.279999999999</v>
      </c>
      <c r="N1092" s="6" t="s">
        <v>29</v>
      </c>
      <c r="O1092" s="6" t="s">
        <v>30</v>
      </c>
    </row>
    <row r="1093" spans="1:15" x14ac:dyDescent="0.3">
      <c r="A1093" s="2" t="s">
        <v>192</v>
      </c>
      <c r="B1093" s="5">
        <v>45815</v>
      </c>
      <c r="C1093" s="6" t="s">
        <v>54</v>
      </c>
      <c r="D1093" s="6" t="s">
        <v>48</v>
      </c>
      <c r="E1093" s="6" t="s">
        <v>74</v>
      </c>
      <c r="F1093" s="6" t="s">
        <v>43</v>
      </c>
      <c r="G1093" s="6" t="s">
        <v>91</v>
      </c>
      <c r="H1093" s="2">
        <v>5</v>
      </c>
      <c r="I1093" s="2">
        <v>49783.85</v>
      </c>
      <c r="J1093" s="2">
        <v>0</v>
      </c>
      <c r="K1093" s="2">
        <v>248919.24</v>
      </c>
      <c r="L1093" s="2">
        <v>182247.36</v>
      </c>
      <c r="M1093" s="2">
        <v>66671.88</v>
      </c>
      <c r="N1093" s="6" t="s">
        <v>58</v>
      </c>
      <c r="O1093" s="6" t="s">
        <v>59</v>
      </c>
    </row>
    <row r="1094" spans="1:15" x14ac:dyDescent="0.3">
      <c r="A1094" s="2" t="s">
        <v>796</v>
      </c>
      <c r="B1094" s="5">
        <v>45988</v>
      </c>
      <c r="C1094" s="6" t="s">
        <v>16</v>
      </c>
      <c r="D1094" s="6" t="s">
        <v>82</v>
      </c>
      <c r="E1094" s="6" t="s">
        <v>74</v>
      </c>
      <c r="F1094" s="6" t="s">
        <v>27</v>
      </c>
      <c r="G1094" s="6" t="s">
        <v>28</v>
      </c>
      <c r="H1094" s="2">
        <v>7</v>
      </c>
      <c r="I1094" s="2">
        <v>30153.81</v>
      </c>
      <c r="J1094" s="2">
        <v>0.03</v>
      </c>
      <c r="K1094" s="2">
        <v>204744.37</v>
      </c>
      <c r="L1094" s="2">
        <v>138030.35999999999</v>
      </c>
      <c r="M1094" s="2">
        <v>66714.009999999995</v>
      </c>
      <c r="N1094" s="6" t="s">
        <v>29</v>
      </c>
      <c r="O1094" s="6" t="s">
        <v>45</v>
      </c>
    </row>
    <row r="1095" spans="1:15" x14ac:dyDescent="0.3">
      <c r="A1095" s="2" t="s">
        <v>1234</v>
      </c>
      <c r="B1095" s="5">
        <v>45721</v>
      </c>
      <c r="C1095" s="6" t="s">
        <v>16</v>
      </c>
      <c r="D1095" s="6" t="s">
        <v>32</v>
      </c>
      <c r="E1095" s="6" t="s">
        <v>33</v>
      </c>
      <c r="F1095" s="6" t="s">
        <v>43</v>
      </c>
      <c r="G1095" s="6" t="s">
        <v>91</v>
      </c>
      <c r="H1095" s="2">
        <v>7</v>
      </c>
      <c r="I1095" s="2">
        <v>47208.28</v>
      </c>
      <c r="J1095" s="2">
        <v>0.03</v>
      </c>
      <c r="K1095" s="2">
        <v>320544.25</v>
      </c>
      <c r="L1095" s="2">
        <v>253692.69</v>
      </c>
      <c r="M1095" s="2">
        <v>66851.56</v>
      </c>
      <c r="N1095" s="6" t="s">
        <v>29</v>
      </c>
      <c r="O1095" s="6" t="s">
        <v>45</v>
      </c>
    </row>
    <row r="1096" spans="1:15" x14ac:dyDescent="0.3">
      <c r="A1096" s="2" t="s">
        <v>792</v>
      </c>
      <c r="B1096" s="5">
        <v>45977</v>
      </c>
      <c r="C1096" s="6" t="s">
        <v>63</v>
      </c>
      <c r="D1096" s="6" t="s">
        <v>95</v>
      </c>
      <c r="E1096" s="6" t="s">
        <v>26</v>
      </c>
      <c r="F1096" s="6" t="s">
        <v>43</v>
      </c>
      <c r="G1096" s="6" t="s">
        <v>91</v>
      </c>
      <c r="H1096" s="2">
        <v>5</v>
      </c>
      <c r="I1096" s="2">
        <v>49747.68</v>
      </c>
      <c r="J1096" s="2">
        <v>0.08</v>
      </c>
      <c r="K1096" s="2">
        <v>228839.35</v>
      </c>
      <c r="L1096" s="2">
        <v>161640.54999999999</v>
      </c>
      <c r="M1096" s="2">
        <v>67198.8</v>
      </c>
      <c r="N1096" s="6" t="s">
        <v>21</v>
      </c>
      <c r="O1096" s="6" t="s">
        <v>59</v>
      </c>
    </row>
    <row r="1097" spans="1:15" x14ac:dyDescent="0.3">
      <c r="A1097" s="2" t="s">
        <v>826</v>
      </c>
      <c r="B1097" s="5">
        <v>45789</v>
      </c>
      <c r="C1097" s="6" t="s">
        <v>54</v>
      </c>
      <c r="D1097" s="6" t="s">
        <v>124</v>
      </c>
      <c r="E1097" s="6" t="s">
        <v>69</v>
      </c>
      <c r="F1097" s="6" t="s">
        <v>34</v>
      </c>
      <c r="G1097" s="6" t="s">
        <v>70</v>
      </c>
      <c r="H1097" s="2">
        <v>3</v>
      </c>
      <c r="I1097" s="2">
        <v>68073.66</v>
      </c>
      <c r="J1097" s="2">
        <v>0.05</v>
      </c>
      <c r="K1097" s="2">
        <v>194009.94</v>
      </c>
      <c r="L1097" s="2">
        <v>126380.3</v>
      </c>
      <c r="M1097" s="2">
        <v>67629.64</v>
      </c>
      <c r="N1097" s="6" t="s">
        <v>29</v>
      </c>
      <c r="O1097" s="6" t="s">
        <v>59</v>
      </c>
    </row>
    <row r="1098" spans="1:15" x14ac:dyDescent="0.3">
      <c r="A1098" s="2" t="s">
        <v>748</v>
      </c>
      <c r="B1098" s="5">
        <v>45954</v>
      </c>
      <c r="C1098" s="6" t="s">
        <v>16</v>
      </c>
      <c r="D1098" s="6" t="s">
        <v>82</v>
      </c>
      <c r="E1098" s="6" t="s">
        <v>74</v>
      </c>
      <c r="F1098" s="6" t="s">
        <v>43</v>
      </c>
      <c r="G1098" s="6" t="s">
        <v>84</v>
      </c>
      <c r="H1098" s="2">
        <v>5</v>
      </c>
      <c r="I1098" s="2">
        <v>45128.28</v>
      </c>
      <c r="J1098" s="2">
        <v>0.05</v>
      </c>
      <c r="K1098" s="2">
        <v>214359.33</v>
      </c>
      <c r="L1098" s="2">
        <v>146187.57999999999</v>
      </c>
      <c r="M1098" s="2">
        <v>68171.75</v>
      </c>
      <c r="N1098" s="6" t="s">
        <v>29</v>
      </c>
      <c r="O1098" s="6" t="s">
        <v>22</v>
      </c>
    </row>
    <row r="1099" spans="1:15" x14ac:dyDescent="0.3">
      <c r="A1099" s="2" t="s">
        <v>773</v>
      </c>
      <c r="B1099" s="5">
        <v>45878</v>
      </c>
      <c r="C1099" s="6" t="s">
        <v>16</v>
      </c>
      <c r="D1099" s="6" t="s">
        <v>82</v>
      </c>
      <c r="E1099" s="6" t="s">
        <v>33</v>
      </c>
      <c r="F1099" s="6" t="s">
        <v>43</v>
      </c>
      <c r="G1099" s="6" t="s">
        <v>91</v>
      </c>
      <c r="H1099" s="2">
        <v>7</v>
      </c>
      <c r="I1099" s="2">
        <v>46938.38</v>
      </c>
      <c r="J1099" s="2">
        <v>0.05</v>
      </c>
      <c r="K1099" s="2">
        <v>312140.23</v>
      </c>
      <c r="L1099" s="2">
        <v>243773.58</v>
      </c>
      <c r="M1099" s="2">
        <v>68366.649999999994</v>
      </c>
      <c r="N1099" s="6" t="s">
        <v>21</v>
      </c>
      <c r="O1099" s="6" t="s">
        <v>40</v>
      </c>
    </row>
    <row r="1100" spans="1:15" x14ac:dyDescent="0.3">
      <c r="A1100" s="2" t="s">
        <v>204</v>
      </c>
      <c r="B1100" s="5">
        <v>46013</v>
      </c>
      <c r="C1100" s="6" t="s">
        <v>54</v>
      </c>
      <c r="D1100" s="6" t="s">
        <v>174</v>
      </c>
      <c r="E1100" s="6" t="s">
        <v>18</v>
      </c>
      <c r="F1100" s="6" t="s">
        <v>27</v>
      </c>
      <c r="G1100" s="6" t="s">
        <v>28</v>
      </c>
      <c r="H1100" s="2">
        <v>8</v>
      </c>
      <c r="I1100" s="2">
        <v>27261.33</v>
      </c>
      <c r="J1100" s="2">
        <v>0.08</v>
      </c>
      <c r="K1100" s="2">
        <v>200643.41</v>
      </c>
      <c r="L1100" s="2">
        <v>132140.21</v>
      </c>
      <c r="M1100" s="2">
        <v>68503.199999999997</v>
      </c>
      <c r="N1100" s="6" t="s">
        <v>29</v>
      </c>
      <c r="O1100" s="6" t="s">
        <v>45</v>
      </c>
    </row>
    <row r="1101" spans="1:15" x14ac:dyDescent="0.3">
      <c r="A1101" s="2" t="s">
        <v>146</v>
      </c>
      <c r="B1101" s="5">
        <v>45849</v>
      </c>
      <c r="C1101" s="6" t="s">
        <v>63</v>
      </c>
      <c r="D1101" s="6" t="s">
        <v>64</v>
      </c>
      <c r="E1101" s="6" t="s">
        <v>18</v>
      </c>
      <c r="F1101" s="6" t="s">
        <v>43</v>
      </c>
      <c r="G1101" s="6" t="s">
        <v>91</v>
      </c>
      <c r="H1101" s="2">
        <v>5</v>
      </c>
      <c r="I1101" s="2">
        <v>50820.21</v>
      </c>
      <c r="J1101" s="2">
        <v>0.05</v>
      </c>
      <c r="K1101" s="2">
        <v>241396</v>
      </c>
      <c r="L1101" s="2">
        <v>172675.22</v>
      </c>
      <c r="M1101" s="2">
        <v>68720.78</v>
      </c>
      <c r="N1101" s="6" t="s">
        <v>21</v>
      </c>
      <c r="O1101" s="6" t="s">
        <v>45</v>
      </c>
    </row>
    <row r="1102" spans="1:15" x14ac:dyDescent="0.3">
      <c r="A1102" s="2" t="s">
        <v>357</v>
      </c>
      <c r="B1102" s="5">
        <v>45712</v>
      </c>
      <c r="C1102" s="6" t="s">
        <v>63</v>
      </c>
      <c r="D1102" s="6" t="s">
        <v>88</v>
      </c>
      <c r="E1102" s="6" t="s">
        <v>18</v>
      </c>
      <c r="F1102" s="6" t="s">
        <v>34</v>
      </c>
      <c r="G1102" s="6" t="s">
        <v>39</v>
      </c>
      <c r="H1102" s="2">
        <v>7</v>
      </c>
      <c r="I1102" s="2">
        <v>29526.27</v>
      </c>
      <c r="J1102" s="2">
        <v>0.03</v>
      </c>
      <c r="K1102" s="2">
        <v>200483.37</v>
      </c>
      <c r="L1102" s="2">
        <v>131629.18</v>
      </c>
      <c r="M1102" s="2">
        <v>68854.19</v>
      </c>
      <c r="N1102" s="6" t="s">
        <v>58</v>
      </c>
      <c r="O1102" s="6" t="s">
        <v>45</v>
      </c>
    </row>
    <row r="1103" spans="1:15" x14ac:dyDescent="0.3">
      <c r="A1103" s="2" t="s">
        <v>1069</v>
      </c>
      <c r="B1103" s="5">
        <v>45714</v>
      </c>
      <c r="C1103" s="6" t="s">
        <v>63</v>
      </c>
      <c r="D1103" s="6" t="s">
        <v>88</v>
      </c>
      <c r="E1103" s="6" t="s">
        <v>49</v>
      </c>
      <c r="F1103" s="6" t="s">
        <v>34</v>
      </c>
      <c r="G1103" s="6" t="s">
        <v>39</v>
      </c>
      <c r="H1103" s="2">
        <v>8</v>
      </c>
      <c r="I1103" s="2">
        <v>31794.34</v>
      </c>
      <c r="J1103" s="2">
        <v>0</v>
      </c>
      <c r="K1103" s="2">
        <v>254354.76</v>
      </c>
      <c r="L1103" s="2">
        <v>185236.76</v>
      </c>
      <c r="M1103" s="2">
        <v>69118</v>
      </c>
      <c r="N1103" s="6" t="s">
        <v>21</v>
      </c>
      <c r="O1103" s="6" t="s">
        <v>40</v>
      </c>
    </row>
    <row r="1104" spans="1:15" x14ac:dyDescent="0.3">
      <c r="A1104" s="2" t="s">
        <v>551</v>
      </c>
      <c r="B1104" s="5">
        <v>45789</v>
      </c>
      <c r="C1104" s="6" t="s">
        <v>37</v>
      </c>
      <c r="D1104" s="6" t="s">
        <v>38</v>
      </c>
      <c r="E1104" s="6" t="s">
        <v>18</v>
      </c>
      <c r="F1104" s="6" t="s">
        <v>43</v>
      </c>
      <c r="G1104" s="6" t="s">
        <v>84</v>
      </c>
      <c r="H1104" s="2">
        <v>7</v>
      </c>
      <c r="I1104" s="2">
        <v>44953.9</v>
      </c>
      <c r="J1104" s="2">
        <v>0.08</v>
      </c>
      <c r="K1104" s="2">
        <v>289503.12</v>
      </c>
      <c r="L1104" s="2">
        <v>220251</v>
      </c>
      <c r="M1104" s="2">
        <v>69252.12</v>
      </c>
      <c r="N1104" s="6" t="s">
        <v>21</v>
      </c>
      <c r="O1104" s="6" t="s">
        <v>22</v>
      </c>
    </row>
    <row r="1105" spans="1:15" x14ac:dyDescent="0.3">
      <c r="A1105" s="2" t="s">
        <v>214</v>
      </c>
      <c r="B1105" s="5">
        <v>45934</v>
      </c>
      <c r="C1105" s="6" t="s">
        <v>37</v>
      </c>
      <c r="D1105" s="6" t="s">
        <v>25</v>
      </c>
      <c r="E1105" s="6" t="s">
        <v>74</v>
      </c>
      <c r="F1105" s="6" t="s">
        <v>34</v>
      </c>
      <c r="G1105" s="6" t="s">
        <v>39</v>
      </c>
      <c r="H1105" s="2">
        <v>8</v>
      </c>
      <c r="I1105" s="2">
        <v>29679.58</v>
      </c>
      <c r="J1105" s="2">
        <v>0.15</v>
      </c>
      <c r="K1105" s="2">
        <v>201821.17</v>
      </c>
      <c r="L1105" s="2">
        <v>132374.38</v>
      </c>
      <c r="M1105" s="2">
        <v>69446.789999999994</v>
      </c>
      <c r="N1105" s="6" t="s">
        <v>21</v>
      </c>
      <c r="O1105" s="6" t="s">
        <v>59</v>
      </c>
    </row>
    <row r="1106" spans="1:15" x14ac:dyDescent="0.3">
      <c r="A1106" s="2" t="s">
        <v>736</v>
      </c>
      <c r="B1106" s="5">
        <v>45688</v>
      </c>
      <c r="C1106" s="6" t="s">
        <v>54</v>
      </c>
      <c r="D1106" s="6" t="s">
        <v>174</v>
      </c>
      <c r="E1106" s="6" t="s">
        <v>69</v>
      </c>
      <c r="F1106" s="6" t="s">
        <v>34</v>
      </c>
      <c r="G1106" s="6" t="s">
        <v>70</v>
      </c>
      <c r="H1106" s="2">
        <v>7</v>
      </c>
      <c r="I1106" s="2">
        <v>66509.56</v>
      </c>
      <c r="J1106" s="2">
        <v>0</v>
      </c>
      <c r="K1106" s="2">
        <v>465566.93</v>
      </c>
      <c r="L1106" s="2">
        <v>395959.1</v>
      </c>
      <c r="M1106" s="2">
        <v>69607.83</v>
      </c>
      <c r="N1106" s="6" t="s">
        <v>29</v>
      </c>
      <c r="O1106" s="6" t="s">
        <v>30</v>
      </c>
    </row>
    <row r="1107" spans="1:15" x14ac:dyDescent="0.3">
      <c r="A1107" s="2" t="s">
        <v>759</v>
      </c>
      <c r="B1107" s="5">
        <v>45894</v>
      </c>
      <c r="C1107" s="6" t="s">
        <v>16</v>
      </c>
      <c r="D1107" s="6" t="s">
        <v>17</v>
      </c>
      <c r="E1107" s="6" t="s">
        <v>26</v>
      </c>
      <c r="F1107" s="6" t="s">
        <v>43</v>
      </c>
      <c r="G1107" s="6" t="s">
        <v>75</v>
      </c>
      <c r="H1107" s="2">
        <v>6</v>
      </c>
      <c r="I1107" s="2">
        <v>36155.56</v>
      </c>
      <c r="J1107" s="2">
        <v>0.05</v>
      </c>
      <c r="K1107" s="2">
        <v>206086.71</v>
      </c>
      <c r="L1107" s="2">
        <v>136222.34</v>
      </c>
      <c r="M1107" s="2">
        <v>69864.37</v>
      </c>
      <c r="N1107" s="6" t="s">
        <v>21</v>
      </c>
      <c r="O1107" s="6" t="s">
        <v>45</v>
      </c>
    </row>
    <row r="1108" spans="1:15" x14ac:dyDescent="0.3">
      <c r="A1108" s="2" t="s">
        <v>645</v>
      </c>
      <c r="B1108" s="5">
        <v>45691</v>
      </c>
      <c r="C1108" s="6" t="s">
        <v>54</v>
      </c>
      <c r="D1108" s="6" t="s">
        <v>48</v>
      </c>
      <c r="E1108" s="6" t="s">
        <v>65</v>
      </c>
      <c r="F1108" s="6" t="s">
        <v>34</v>
      </c>
      <c r="G1108" s="6" t="s">
        <v>39</v>
      </c>
      <c r="H1108" s="2">
        <v>7</v>
      </c>
      <c r="I1108" s="2">
        <v>28873</v>
      </c>
      <c r="J1108" s="2">
        <v>0.03</v>
      </c>
      <c r="K1108" s="2">
        <v>196047.68</v>
      </c>
      <c r="L1108" s="2">
        <v>126049.59</v>
      </c>
      <c r="M1108" s="2">
        <v>69998.09</v>
      </c>
      <c r="N1108" s="6" t="s">
        <v>21</v>
      </c>
      <c r="O1108" s="6" t="s">
        <v>59</v>
      </c>
    </row>
    <row r="1109" spans="1:15" x14ac:dyDescent="0.3">
      <c r="A1109" s="2" t="s">
        <v>620</v>
      </c>
      <c r="B1109" s="5">
        <v>45860</v>
      </c>
      <c r="C1109" s="6" t="s">
        <v>16</v>
      </c>
      <c r="D1109" s="6" t="s">
        <v>52</v>
      </c>
      <c r="E1109" s="6" t="s">
        <v>18</v>
      </c>
      <c r="F1109" s="6" t="s">
        <v>43</v>
      </c>
      <c r="G1109" s="6" t="s">
        <v>84</v>
      </c>
      <c r="H1109" s="2">
        <v>7</v>
      </c>
      <c r="I1109" s="2">
        <v>41411.1</v>
      </c>
      <c r="J1109" s="2">
        <v>0</v>
      </c>
      <c r="K1109" s="2">
        <v>289877.71999999997</v>
      </c>
      <c r="L1109" s="2">
        <v>219781.98</v>
      </c>
      <c r="M1109" s="2">
        <v>70095.740000000005</v>
      </c>
      <c r="N1109" s="6" t="s">
        <v>21</v>
      </c>
      <c r="O1109" s="6" t="s">
        <v>45</v>
      </c>
    </row>
    <row r="1110" spans="1:15" x14ac:dyDescent="0.3">
      <c r="A1110" s="2" t="s">
        <v>1207</v>
      </c>
      <c r="B1110" s="5">
        <v>45998</v>
      </c>
      <c r="C1110" s="6" t="s">
        <v>54</v>
      </c>
      <c r="D1110" s="6" t="s">
        <v>55</v>
      </c>
      <c r="E1110" s="6" t="s">
        <v>33</v>
      </c>
      <c r="F1110" s="6" t="s">
        <v>34</v>
      </c>
      <c r="G1110" s="6" t="s">
        <v>70</v>
      </c>
      <c r="H1110" s="2">
        <v>3</v>
      </c>
      <c r="I1110" s="2">
        <v>69091.81</v>
      </c>
      <c r="J1110" s="2">
        <v>0.03</v>
      </c>
      <c r="K1110" s="2">
        <v>201057.17</v>
      </c>
      <c r="L1110" s="2">
        <v>130950.42</v>
      </c>
      <c r="M1110" s="2">
        <v>70106.75</v>
      </c>
      <c r="N1110" s="6" t="s">
        <v>21</v>
      </c>
      <c r="O1110" s="6" t="s">
        <v>40</v>
      </c>
    </row>
    <row r="1111" spans="1:15" x14ac:dyDescent="0.3">
      <c r="A1111" s="2" t="s">
        <v>172</v>
      </c>
      <c r="B1111" s="5">
        <v>45912</v>
      </c>
      <c r="C1111" s="6" t="s">
        <v>16</v>
      </c>
      <c r="D1111" s="6" t="s">
        <v>32</v>
      </c>
      <c r="E1111" s="6" t="s">
        <v>18</v>
      </c>
      <c r="F1111" s="6" t="s">
        <v>34</v>
      </c>
      <c r="G1111" s="6" t="s">
        <v>39</v>
      </c>
      <c r="H1111" s="2">
        <v>7</v>
      </c>
      <c r="I1111" s="2">
        <v>30762.83</v>
      </c>
      <c r="J1111" s="2">
        <v>0</v>
      </c>
      <c r="K1111" s="2">
        <v>215339.84</v>
      </c>
      <c r="L1111" s="2">
        <v>144982.57</v>
      </c>
      <c r="M1111" s="2">
        <v>70357.27</v>
      </c>
      <c r="N1111" s="6" t="s">
        <v>21</v>
      </c>
      <c r="O1111" s="6" t="s">
        <v>30</v>
      </c>
    </row>
    <row r="1112" spans="1:15" x14ac:dyDescent="0.3">
      <c r="A1112" s="2" t="s">
        <v>1003</v>
      </c>
      <c r="B1112" s="5">
        <v>45839</v>
      </c>
      <c r="C1112" s="6" t="s">
        <v>54</v>
      </c>
      <c r="D1112" s="6" t="s">
        <v>174</v>
      </c>
      <c r="E1112" s="6" t="s">
        <v>56</v>
      </c>
      <c r="F1112" s="6" t="s">
        <v>34</v>
      </c>
      <c r="G1112" s="6" t="s">
        <v>70</v>
      </c>
      <c r="H1112" s="2">
        <v>8</v>
      </c>
      <c r="I1112" s="2">
        <v>63231.74</v>
      </c>
      <c r="J1112" s="2">
        <v>0.15</v>
      </c>
      <c r="K1112" s="2">
        <v>429975.82</v>
      </c>
      <c r="L1112" s="2">
        <v>359613.12</v>
      </c>
      <c r="M1112" s="2">
        <v>70362.7</v>
      </c>
      <c r="N1112" s="6" t="s">
        <v>58</v>
      </c>
      <c r="O1112" s="6" t="s">
        <v>22</v>
      </c>
    </row>
    <row r="1113" spans="1:15" x14ac:dyDescent="0.3">
      <c r="A1113" s="2" t="s">
        <v>249</v>
      </c>
      <c r="B1113" s="5">
        <v>45782</v>
      </c>
      <c r="C1113" s="6" t="s">
        <v>16</v>
      </c>
      <c r="D1113" s="6" t="s">
        <v>17</v>
      </c>
      <c r="E1113" s="6" t="s">
        <v>56</v>
      </c>
      <c r="F1113" s="6" t="s">
        <v>43</v>
      </c>
      <c r="G1113" s="6" t="s">
        <v>75</v>
      </c>
      <c r="H1113" s="2">
        <v>8</v>
      </c>
      <c r="I1113" s="2">
        <v>33905.89</v>
      </c>
      <c r="J1113" s="2">
        <v>0.08</v>
      </c>
      <c r="K1113" s="2">
        <v>249547.37</v>
      </c>
      <c r="L1113" s="2">
        <v>178934.57</v>
      </c>
      <c r="M1113" s="2">
        <v>70612.800000000003</v>
      </c>
      <c r="N1113" s="6" t="s">
        <v>58</v>
      </c>
      <c r="O1113" s="6" t="s">
        <v>30</v>
      </c>
    </row>
    <row r="1114" spans="1:15" x14ac:dyDescent="0.3">
      <c r="A1114" s="2" t="s">
        <v>791</v>
      </c>
      <c r="B1114" s="5">
        <v>45983</v>
      </c>
      <c r="C1114" s="6" t="s">
        <v>54</v>
      </c>
      <c r="D1114" s="6" t="s">
        <v>174</v>
      </c>
      <c r="E1114" s="6" t="s">
        <v>69</v>
      </c>
      <c r="F1114" s="6" t="s">
        <v>34</v>
      </c>
      <c r="G1114" s="6" t="s">
        <v>70</v>
      </c>
      <c r="H1114" s="2">
        <v>4</v>
      </c>
      <c r="I1114" s="2">
        <v>67353.56</v>
      </c>
      <c r="J1114" s="2">
        <v>0.03</v>
      </c>
      <c r="K1114" s="2">
        <v>261331.8</v>
      </c>
      <c r="L1114" s="2">
        <v>190192.06</v>
      </c>
      <c r="M1114" s="2">
        <v>71139.740000000005</v>
      </c>
      <c r="N1114" s="6" t="s">
        <v>58</v>
      </c>
      <c r="O1114" s="6" t="s">
        <v>59</v>
      </c>
    </row>
    <row r="1115" spans="1:15" x14ac:dyDescent="0.3">
      <c r="A1115" s="2" t="s">
        <v>474</v>
      </c>
      <c r="B1115" s="5">
        <v>45670</v>
      </c>
      <c r="C1115" s="6" t="s">
        <v>54</v>
      </c>
      <c r="D1115" s="6" t="s">
        <v>174</v>
      </c>
      <c r="E1115" s="6" t="s">
        <v>65</v>
      </c>
      <c r="F1115" s="6" t="s">
        <v>34</v>
      </c>
      <c r="G1115" s="6" t="s">
        <v>70</v>
      </c>
      <c r="H1115" s="2">
        <v>7</v>
      </c>
      <c r="I1115" s="2">
        <v>62093.24</v>
      </c>
      <c r="J1115" s="2">
        <v>0.03</v>
      </c>
      <c r="K1115" s="2">
        <v>421613.13</v>
      </c>
      <c r="L1115" s="2">
        <v>349844.97</v>
      </c>
      <c r="M1115" s="2">
        <v>71768.160000000003</v>
      </c>
      <c r="N1115" s="6" t="s">
        <v>29</v>
      </c>
      <c r="O1115" s="6" t="s">
        <v>59</v>
      </c>
    </row>
    <row r="1116" spans="1:15" x14ac:dyDescent="0.3">
      <c r="A1116" s="2" t="s">
        <v>793</v>
      </c>
      <c r="B1116" s="5">
        <v>45706</v>
      </c>
      <c r="C1116" s="6" t="s">
        <v>16</v>
      </c>
      <c r="D1116" s="6" t="s">
        <v>32</v>
      </c>
      <c r="E1116" s="6" t="s">
        <v>18</v>
      </c>
      <c r="F1116" s="6" t="s">
        <v>34</v>
      </c>
      <c r="G1116" s="6" t="s">
        <v>70</v>
      </c>
      <c r="H1116" s="2">
        <v>4</v>
      </c>
      <c r="I1116" s="2">
        <v>60484.3</v>
      </c>
      <c r="J1116" s="2">
        <v>0.08</v>
      </c>
      <c r="K1116" s="2">
        <v>222582.23</v>
      </c>
      <c r="L1116" s="2">
        <v>150726.07</v>
      </c>
      <c r="M1116" s="2">
        <v>71856.160000000003</v>
      </c>
      <c r="N1116" s="6" t="s">
        <v>58</v>
      </c>
      <c r="O1116" s="6" t="s">
        <v>45</v>
      </c>
    </row>
    <row r="1117" spans="1:15" x14ac:dyDescent="0.3">
      <c r="A1117" s="2" t="s">
        <v>1259</v>
      </c>
      <c r="B1117" s="5">
        <v>45860</v>
      </c>
      <c r="C1117" s="6" t="s">
        <v>54</v>
      </c>
      <c r="D1117" s="6" t="s">
        <v>48</v>
      </c>
      <c r="E1117" s="6" t="s">
        <v>18</v>
      </c>
      <c r="F1117" s="6" t="s">
        <v>43</v>
      </c>
      <c r="G1117" s="6" t="s">
        <v>84</v>
      </c>
      <c r="H1117" s="2">
        <v>6</v>
      </c>
      <c r="I1117" s="2">
        <v>42845.77</v>
      </c>
      <c r="J1117" s="2">
        <v>0.1</v>
      </c>
      <c r="K1117" s="2">
        <v>231367.15</v>
      </c>
      <c r="L1117" s="2">
        <v>159028.28</v>
      </c>
      <c r="M1117" s="2">
        <v>72338.87</v>
      </c>
      <c r="N1117" s="6" t="s">
        <v>21</v>
      </c>
      <c r="O1117" s="6" t="s">
        <v>40</v>
      </c>
    </row>
    <row r="1118" spans="1:15" x14ac:dyDescent="0.3">
      <c r="A1118" s="2" t="s">
        <v>260</v>
      </c>
      <c r="B1118" s="5">
        <v>45682</v>
      </c>
      <c r="C1118" s="6" t="s">
        <v>16</v>
      </c>
      <c r="D1118" s="6" t="s">
        <v>17</v>
      </c>
      <c r="E1118" s="6" t="s">
        <v>49</v>
      </c>
      <c r="F1118" s="6" t="s">
        <v>43</v>
      </c>
      <c r="G1118" s="6" t="s">
        <v>84</v>
      </c>
      <c r="H1118" s="2">
        <v>6</v>
      </c>
      <c r="I1118" s="2">
        <v>44676.32</v>
      </c>
      <c r="J1118" s="2">
        <v>0.1</v>
      </c>
      <c r="K1118" s="2">
        <v>241252.12</v>
      </c>
      <c r="L1118" s="2">
        <v>167961.55</v>
      </c>
      <c r="M1118" s="2">
        <v>73290.570000000007</v>
      </c>
      <c r="N1118" s="6" t="s">
        <v>29</v>
      </c>
      <c r="O1118" s="6" t="s">
        <v>59</v>
      </c>
    </row>
    <row r="1119" spans="1:15" x14ac:dyDescent="0.3">
      <c r="A1119" s="2" t="s">
        <v>670</v>
      </c>
      <c r="B1119" s="5">
        <v>45992</v>
      </c>
      <c r="C1119" s="6" t="s">
        <v>16</v>
      </c>
      <c r="D1119" s="6" t="s">
        <v>17</v>
      </c>
      <c r="E1119" s="6" t="s">
        <v>69</v>
      </c>
      <c r="F1119" s="6" t="s">
        <v>43</v>
      </c>
      <c r="G1119" s="6" t="s">
        <v>84</v>
      </c>
      <c r="H1119" s="2">
        <v>6</v>
      </c>
      <c r="I1119" s="2">
        <v>43828.86</v>
      </c>
      <c r="J1119" s="2">
        <v>0.03</v>
      </c>
      <c r="K1119" s="2">
        <v>255083.97</v>
      </c>
      <c r="L1119" s="2">
        <v>181692.18</v>
      </c>
      <c r="M1119" s="2">
        <v>73391.789999999994</v>
      </c>
      <c r="N1119" s="6" t="s">
        <v>21</v>
      </c>
      <c r="O1119" s="6" t="s">
        <v>30</v>
      </c>
    </row>
    <row r="1120" spans="1:15" x14ac:dyDescent="0.3">
      <c r="A1120" s="2" t="s">
        <v>975</v>
      </c>
      <c r="B1120" s="5">
        <v>45920</v>
      </c>
      <c r="C1120" s="6" t="s">
        <v>16</v>
      </c>
      <c r="D1120" s="6" t="s">
        <v>17</v>
      </c>
      <c r="E1120" s="6" t="s">
        <v>33</v>
      </c>
      <c r="F1120" s="6" t="s">
        <v>34</v>
      </c>
      <c r="G1120" s="6" t="s">
        <v>70</v>
      </c>
      <c r="H1120" s="2">
        <v>7</v>
      </c>
      <c r="I1120" s="2">
        <v>64662.93</v>
      </c>
      <c r="J1120" s="2">
        <v>0.1</v>
      </c>
      <c r="K1120" s="2">
        <v>407376.43</v>
      </c>
      <c r="L1120" s="2">
        <v>331848.33</v>
      </c>
      <c r="M1120" s="2">
        <v>75528.100000000006</v>
      </c>
      <c r="N1120" s="6" t="s">
        <v>58</v>
      </c>
      <c r="O1120" s="6" t="s">
        <v>45</v>
      </c>
    </row>
    <row r="1121" spans="1:15" x14ac:dyDescent="0.3">
      <c r="A1121" s="2" t="s">
        <v>1101</v>
      </c>
      <c r="B1121" s="5">
        <v>45795</v>
      </c>
      <c r="C1121" s="6" t="s">
        <v>16</v>
      </c>
      <c r="D1121" s="6" t="s">
        <v>32</v>
      </c>
      <c r="E1121" s="6" t="s">
        <v>18</v>
      </c>
      <c r="F1121" s="6" t="s">
        <v>43</v>
      </c>
      <c r="G1121" s="6" t="s">
        <v>75</v>
      </c>
      <c r="H1121" s="2">
        <v>7</v>
      </c>
      <c r="I1121" s="2">
        <v>38169.21</v>
      </c>
      <c r="J1121" s="2">
        <v>0.1</v>
      </c>
      <c r="K1121" s="2">
        <v>240465.99</v>
      </c>
      <c r="L1121" s="2">
        <v>164438.76999999999</v>
      </c>
      <c r="M1121" s="2">
        <v>76027.22</v>
      </c>
      <c r="N1121" s="6" t="s">
        <v>21</v>
      </c>
      <c r="O1121" s="6" t="s">
        <v>45</v>
      </c>
    </row>
    <row r="1122" spans="1:15" x14ac:dyDescent="0.3">
      <c r="A1122" s="2" t="s">
        <v>534</v>
      </c>
      <c r="B1122" s="5">
        <v>45746</v>
      </c>
      <c r="C1122" s="6" t="s">
        <v>54</v>
      </c>
      <c r="D1122" s="6" t="s">
        <v>124</v>
      </c>
      <c r="E1122" s="6" t="s">
        <v>56</v>
      </c>
      <c r="F1122" s="6" t="s">
        <v>43</v>
      </c>
      <c r="G1122" s="6" t="s">
        <v>84</v>
      </c>
      <c r="H1122" s="2">
        <v>7</v>
      </c>
      <c r="I1122" s="2">
        <v>41193.46</v>
      </c>
      <c r="J1122" s="2">
        <v>0.08</v>
      </c>
      <c r="K1122" s="2">
        <v>265285.88</v>
      </c>
      <c r="L1122" s="2">
        <v>189226.91</v>
      </c>
      <c r="M1122" s="2">
        <v>76058.97</v>
      </c>
      <c r="N1122" s="6" t="s">
        <v>21</v>
      </c>
      <c r="O1122" s="6" t="s">
        <v>30</v>
      </c>
    </row>
    <row r="1123" spans="1:15" x14ac:dyDescent="0.3">
      <c r="A1123" s="2" t="s">
        <v>1133</v>
      </c>
      <c r="B1123" s="5">
        <v>45933</v>
      </c>
      <c r="C1123" s="6" t="s">
        <v>54</v>
      </c>
      <c r="D1123" s="6" t="s">
        <v>48</v>
      </c>
      <c r="E1123" s="6" t="s">
        <v>69</v>
      </c>
      <c r="F1123" s="6" t="s">
        <v>43</v>
      </c>
      <c r="G1123" s="6" t="s">
        <v>75</v>
      </c>
      <c r="H1123" s="2">
        <v>7</v>
      </c>
      <c r="I1123" s="2">
        <v>36047.879999999997</v>
      </c>
      <c r="J1123" s="2">
        <v>0</v>
      </c>
      <c r="K1123" s="2">
        <v>252335.13</v>
      </c>
      <c r="L1123" s="2">
        <v>175404.73</v>
      </c>
      <c r="M1123" s="2">
        <v>76930.399999999994</v>
      </c>
      <c r="N1123" s="6" t="s">
        <v>21</v>
      </c>
      <c r="O1123" s="6" t="s">
        <v>22</v>
      </c>
    </row>
    <row r="1124" spans="1:15" x14ac:dyDescent="0.3">
      <c r="A1124" s="2" t="s">
        <v>1157</v>
      </c>
      <c r="B1124" s="5">
        <v>46011</v>
      </c>
      <c r="C1124" s="6" t="s">
        <v>16</v>
      </c>
      <c r="D1124" s="6" t="s">
        <v>17</v>
      </c>
      <c r="E1124" s="6" t="s">
        <v>65</v>
      </c>
      <c r="F1124" s="6" t="s">
        <v>34</v>
      </c>
      <c r="G1124" s="6" t="s">
        <v>70</v>
      </c>
      <c r="H1124" s="2">
        <v>5</v>
      </c>
      <c r="I1124" s="2">
        <v>66424.2</v>
      </c>
      <c r="J1124" s="2">
        <v>0.03</v>
      </c>
      <c r="K1124" s="2">
        <v>322157.36</v>
      </c>
      <c r="L1124" s="2">
        <v>244499.69</v>
      </c>
      <c r="M1124" s="2">
        <v>77657.67</v>
      </c>
      <c r="N1124" s="6" t="s">
        <v>58</v>
      </c>
      <c r="O1124" s="6" t="s">
        <v>30</v>
      </c>
    </row>
    <row r="1125" spans="1:15" x14ac:dyDescent="0.3">
      <c r="A1125" s="2" t="s">
        <v>90</v>
      </c>
      <c r="B1125" s="5">
        <v>45690</v>
      </c>
      <c r="C1125" s="6" t="s">
        <v>37</v>
      </c>
      <c r="D1125" s="6" t="s">
        <v>42</v>
      </c>
      <c r="E1125" s="6" t="s">
        <v>56</v>
      </c>
      <c r="F1125" s="6" t="s">
        <v>43</v>
      </c>
      <c r="G1125" s="6" t="s">
        <v>91</v>
      </c>
      <c r="H1125" s="2">
        <v>8</v>
      </c>
      <c r="I1125" s="2">
        <v>49149.18</v>
      </c>
      <c r="J1125" s="2">
        <v>0.1</v>
      </c>
      <c r="K1125" s="2">
        <v>353874.1</v>
      </c>
      <c r="L1125" s="2">
        <v>275252.86</v>
      </c>
      <c r="M1125" s="2">
        <v>78621.240000000005</v>
      </c>
      <c r="N1125" s="6" t="s">
        <v>29</v>
      </c>
      <c r="O1125" s="6" t="s">
        <v>22</v>
      </c>
    </row>
    <row r="1126" spans="1:15" x14ac:dyDescent="0.3">
      <c r="A1126" s="2" t="s">
        <v>213</v>
      </c>
      <c r="B1126" s="5">
        <v>45885</v>
      </c>
      <c r="C1126" s="6" t="s">
        <v>54</v>
      </c>
      <c r="D1126" s="6" t="s">
        <v>48</v>
      </c>
      <c r="E1126" s="6" t="s">
        <v>69</v>
      </c>
      <c r="F1126" s="6" t="s">
        <v>34</v>
      </c>
      <c r="G1126" s="6" t="s">
        <v>70</v>
      </c>
      <c r="H1126" s="2">
        <v>6</v>
      </c>
      <c r="I1126" s="2">
        <v>61020.01</v>
      </c>
      <c r="J1126" s="2">
        <v>0</v>
      </c>
      <c r="K1126" s="2">
        <v>366120.03</v>
      </c>
      <c r="L1126" s="2">
        <v>287234.21999999997</v>
      </c>
      <c r="M1126" s="2">
        <v>78885.81</v>
      </c>
      <c r="N1126" s="6" t="s">
        <v>29</v>
      </c>
      <c r="O1126" s="6" t="s">
        <v>30</v>
      </c>
    </row>
    <row r="1127" spans="1:15" x14ac:dyDescent="0.3">
      <c r="A1127" s="2" t="s">
        <v>966</v>
      </c>
      <c r="B1127" s="5">
        <v>45762</v>
      </c>
      <c r="C1127" s="6" t="s">
        <v>63</v>
      </c>
      <c r="D1127" s="6" t="s">
        <v>95</v>
      </c>
      <c r="E1127" s="6" t="s">
        <v>49</v>
      </c>
      <c r="F1127" s="6" t="s">
        <v>27</v>
      </c>
      <c r="G1127" s="6" t="s">
        <v>89</v>
      </c>
      <c r="H1127" s="2">
        <v>8</v>
      </c>
      <c r="I1127" s="2">
        <v>30924.74</v>
      </c>
      <c r="J1127" s="2">
        <v>0.08</v>
      </c>
      <c r="K1127" s="2">
        <v>227606.05</v>
      </c>
      <c r="L1127" s="2">
        <v>147558.20000000001</v>
      </c>
      <c r="M1127" s="2">
        <v>80047.850000000006</v>
      </c>
      <c r="N1127" s="6" t="s">
        <v>21</v>
      </c>
      <c r="O1127" s="6" t="s">
        <v>45</v>
      </c>
    </row>
    <row r="1128" spans="1:15" x14ac:dyDescent="0.3">
      <c r="A1128" s="2" t="s">
        <v>1221</v>
      </c>
      <c r="B1128" s="5">
        <v>45712</v>
      </c>
      <c r="C1128" s="6" t="s">
        <v>54</v>
      </c>
      <c r="D1128" s="6" t="s">
        <v>55</v>
      </c>
      <c r="E1128" s="6" t="s">
        <v>69</v>
      </c>
      <c r="F1128" s="6" t="s">
        <v>34</v>
      </c>
      <c r="G1128" s="6" t="s">
        <v>70</v>
      </c>
      <c r="H1128" s="2">
        <v>7</v>
      </c>
      <c r="I1128" s="2">
        <v>60446.11</v>
      </c>
      <c r="J1128" s="2">
        <v>0.08</v>
      </c>
      <c r="K1128" s="2">
        <v>389272.94</v>
      </c>
      <c r="L1128" s="2">
        <v>308541.92</v>
      </c>
      <c r="M1128" s="2">
        <v>80731.02</v>
      </c>
      <c r="N1128" s="6" t="s">
        <v>29</v>
      </c>
      <c r="O1128" s="6" t="s">
        <v>30</v>
      </c>
    </row>
    <row r="1129" spans="1:15" x14ac:dyDescent="0.3">
      <c r="A1129" s="2" t="s">
        <v>208</v>
      </c>
      <c r="B1129" s="5">
        <v>45715</v>
      </c>
      <c r="C1129" s="6" t="s">
        <v>16</v>
      </c>
      <c r="D1129" s="6" t="s">
        <v>32</v>
      </c>
      <c r="E1129" s="6" t="s">
        <v>69</v>
      </c>
      <c r="F1129" s="6" t="s">
        <v>43</v>
      </c>
      <c r="G1129" s="6" t="s">
        <v>91</v>
      </c>
      <c r="H1129" s="2">
        <v>7</v>
      </c>
      <c r="I1129" s="2">
        <v>44664.01</v>
      </c>
      <c r="J1129" s="2">
        <v>0.1</v>
      </c>
      <c r="K1129" s="2">
        <v>281383.26</v>
      </c>
      <c r="L1129" s="2">
        <v>199568.28</v>
      </c>
      <c r="M1129" s="2">
        <v>81814.98</v>
      </c>
      <c r="N1129" s="6" t="s">
        <v>21</v>
      </c>
      <c r="O1129" s="6" t="s">
        <v>59</v>
      </c>
    </row>
    <row r="1130" spans="1:15" x14ac:dyDescent="0.3">
      <c r="A1130" s="2" t="s">
        <v>523</v>
      </c>
      <c r="B1130" s="5">
        <v>45937</v>
      </c>
      <c r="C1130" s="6" t="s">
        <v>37</v>
      </c>
      <c r="D1130" s="6" t="s">
        <v>68</v>
      </c>
      <c r="E1130" s="6" t="s">
        <v>56</v>
      </c>
      <c r="F1130" s="6" t="s">
        <v>43</v>
      </c>
      <c r="G1130" s="6" t="s">
        <v>84</v>
      </c>
      <c r="H1130" s="2">
        <v>7</v>
      </c>
      <c r="I1130" s="2">
        <v>40053.339999999997</v>
      </c>
      <c r="J1130" s="2">
        <v>0.08</v>
      </c>
      <c r="K1130" s="2">
        <v>257943.51</v>
      </c>
      <c r="L1130" s="2">
        <v>175588.94</v>
      </c>
      <c r="M1130" s="2">
        <v>82354.570000000007</v>
      </c>
      <c r="N1130" s="6" t="s">
        <v>29</v>
      </c>
      <c r="O1130" s="6" t="s">
        <v>22</v>
      </c>
    </row>
    <row r="1131" spans="1:15" x14ac:dyDescent="0.3">
      <c r="A1131" s="2" t="s">
        <v>373</v>
      </c>
      <c r="B1131" s="5">
        <v>45792</v>
      </c>
      <c r="C1131" s="6" t="s">
        <v>16</v>
      </c>
      <c r="D1131" s="6" t="s">
        <v>32</v>
      </c>
      <c r="E1131" s="6" t="s">
        <v>33</v>
      </c>
      <c r="F1131" s="6" t="s">
        <v>34</v>
      </c>
      <c r="G1131" s="6" t="s">
        <v>70</v>
      </c>
      <c r="H1131" s="2">
        <v>6</v>
      </c>
      <c r="I1131" s="2">
        <v>65734.759999999995</v>
      </c>
      <c r="J1131" s="2">
        <v>0.05</v>
      </c>
      <c r="K1131" s="2">
        <v>374688.11</v>
      </c>
      <c r="L1131" s="2">
        <v>291927.65999999997</v>
      </c>
      <c r="M1131" s="2">
        <v>82760.45</v>
      </c>
      <c r="N1131" s="6" t="s">
        <v>58</v>
      </c>
      <c r="O1131" s="6" t="s">
        <v>22</v>
      </c>
    </row>
    <row r="1132" spans="1:15" x14ac:dyDescent="0.3">
      <c r="A1132" s="2" t="s">
        <v>1331</v>
      </c>
      <c r="B1132" s="5">
        <v>45760</v>
      </c>
      <c r="C1132" s="6" t="s">
        <v>37</v>
      </c>
      <c r="D1132" s="6" t="s">
        <v>42</v>
      </c>
      <c r="E1132" s="6" t="s">
        <v>56</v>
      </c>
      <c r="F1132" s="6" t="s">
        <v>34</v>
      </c>
      <c r="G1132" s="6" t="s">
        <v>70</v>
      </c>
      <c r="H1132" s="2">
        <v>8</v>
      </c>
      <c r="I1132" s="2">
        <v>60247.22</v>
      </c>
      <c r="J1132" s="2">
        <v>0</v>
      </c>
      <c r="K1132" s="2">
        <v>481977.78</v>
      </c>
      <c r="L1132" s="2">
        <v>398906.88</v>
      </c>
      <c r="M1132" s="2">
        <v>83070.899999999994</v>
      </c>
      <c r="N1132" s="6" t="s">
        <v>21</v>
      </c>
      <c r="O1132" s="6" t="s">
        <v>30</v>
      </c>
    </row>
    <row r="1133" spans="1:15" x14ac:dyDescent="0.3">
      <c r="A1133" s="2" t="s">
        <v>1353</v>
      </c>
      <c r="B1133" s="5">
        <v>45743</v>
      </c>
      <c r="C1133" s="6" t="s">
        <v>16</v>
      </c>
      <c r="D1133" s="6" t="s">
        <v>32</v>
      </c>
      <c r="E1133" s="6" t="s">
        <v>49</v>
      </c>
      <c r="F1133" s="6" t="s">
        <v>43</v>
      </c>
      <c r="G1133" s="6" t="s">
        <v>84</v>
      </c>
      <c r="H1133" s="2">
        <v>6</v>
      </c>
      <c r="I1133" s="2">
        <v>45258.78</v>
      </c>
      <c r="J1133" s="2">
        <v>0.1</v>
      </c>
      <c r="K1133" s="2">
        <v>244397.43</v>
      </c>
      <c r="L1133" s="2">
        <v>161184.29</v>
      </c>
      <c r="M1133" s="2">
        <v>83213.14</v>
      </c>
      <c r="N1133" s="6" t="s">
        <v>58</v>
      </c>
      <c r="O1133" s="6" t="s">
        <v>30</v>
      </c>
    </row>
    <row r="1134" spans="1:15" x14ac:dyDescent="0.3">
      <c r="A1134" s="2" t="s">
        <v>67</v>
      </c>
      <c r="B1134" s="5">
        <v>45888</v>
      </c>
      <c r="C1134" s="6" t="s">
        <v>37</v>
      </c>
      <c r="D1134" s="6" t="s">
        <v>68</v>
      </c>
      <c r="E1134" s="6" t="s">
        <v>69</v>
      </c>
      <c r="F1134" s="6" t="s">
        <v>34</v>
      </c>
      <c r="G1134" s="6" t="s">
        <v>70</v>
      </c>
      <c r="H1134" s="2">
        <v>4</v>
      </c>
      <c r="I1134" s="2">
        <v>65658.070000000007</v>
      </c>
      <c r="J1134" s="2">
        <v>0.08</v>
      </c>
      <c r="K1134" s="2">
        <v>241621.68</v>
      </c>
      <c r="L1134" s="2">
        <v>157885.16</v>
      </c>
      <c r="M1134" s="2">
        <v>83736.52</v>
      </c>
      <c r="N1134" s="6" t="s">
        <v>21</v>
      </c>
      <c r="O1134" s="6" t="s">
        <v>22</v>
      </c>
    </row>
    <row r="1135" spans="1:15" x14ac:dyDescent="0.3">
      <c r="A1135" s="2" t="s">
        <v>838</v>
      </c>
      <c r="B1135" s="5">
        <v>45981</v>
      </c>
      <c r="C1135" s="6" t="s">
        <v>16</v>
      </c>
      <c r="D1135" s="6" t="s">
        <v>32</v>
      </c>
      <c r="E1135" s="6" t="s">
        <v>49</v>
      </c>
      <c r="F1135" s="6" t="s">
        <v>43</v>
      </c>
      <c r="G1135" s="6" t="s">
        <v>91</v>
      </c>
      <c r="H1135" s="2">
        <v>8</v>
      </c>
      <c r="I1135" s="2">
        <v>44532.21</v>
      </c>
      <c r="J1135" s="2">
        <v>0.03</v>
      </c>
      <c r="K1135" s="2">
        <v>345569.91</v>
      </c>
      <c r="L1135" s="2">
        <v>261186.32</v>
      </c>
      <c r="M1135" s="2">
        <v>84383.59</v>
      </c>
      <c r="N1135" s="6" t="s">
        <v>29</v>
      </c>
      <c r="O1135" s="6" t="s">
        <v>45</v>
      </c>
    </row>
    <row r="1136" spans="1:15" x14ac:dyDescent="0.3">
      <c r="A1136" s="2" t="s">
        <v>339</v>
      </c>
      <c r="B1136" s="5">
        <v>46022</v>
      </c>
      <c r="C1136" s="6" t="s">
        <v>63</v>
      </c>
      <c r="D1136" s="6" t="s">
        <v>95</v>
      </c>
      <c r="E1136" s="6" t="s">
        <v>26</v>
      </c>
      <c r="F1136" s="6" t="s">
        <v>43</v>
      </c>
      <c r="G1136" s="6" t="s">
        <v>91</v>
      </c>
      <c r="H1136" s="2">
        <v>8</v>
      </c>
      <c r="I1136" s="2">
        <v>51748.12</v>
      </c>
      <c r="J1136" s="2">
        <v>0.05</v>
      </c>
      <c r="K1136" s="2">
        <v>393285.68</v>
      </c>
      <c r="L1136" s="2">
        <v>308802.34000000003</v>
      </c>
      <c r="M1136" s="2">
        <v>84483.34</v>
      </c>
      <c r="N1136" s="6" t="s">
        <v>58</v>
      </c>
      <c r="O1136" s="6" t="s">
        <v>22</v>
      </c>
    </row>
    <row r="1137" spans="1:15" x14ac:dyDescent="0.3">
      <c r="A1137" s="2" t="s">
        <v>988</v>
      </c>
      <c r="B1137" s="5">
        <v>45809</v>
      </c>
      <c r="C1137" s="6" t="s">
        <v>37</v>
      </c>
      <c r="D1137" s="6" t="s">
        <v>42</v>
      </c>
      <c r="E1137" s="6" t="s">
        <v>18</v>
      </c>
      <c r="F1137" s="6" t="s">
        <v>34</v>
      </c>
      <c r="G1137" s="6" t="s">
        <v>70</v>
      </c>
      <c r="H1137" s="2">
        <v>6</v>
      </c>
      <c r="I1137" s="2">
        <v>67201.490000000005</v>
      </c>
      <c r="J1137" s="2">
        <v>0.03</v>
      </c>
      <c r="K1137" s="2">
        <v>391112.69</v>
      </c>
      <c r="L1137" s="2">
        <v>305617.56</v>
      </c>
      <c r="M1137" s="2">
        <v>85495.13</v>
      </c>
      <c r="N1137" s="6" t="s">
        <v>58</v>
      </c>
      <c r="O1137" s="6" t="s">
        <v>40</v>
      </c>
    </row>
    <row r="1138" spans="1:15" x14ac:dyDescent="0.3">
      <c r="A1138" s="2" t="s">
        <v>1103</v>
      </c>
      <c r="B1138" s="5">
        <v>46013</v>
      </c>
      <c r="C1138" s="6" t="s">
        <v>63</v>
      </c>
      <c r="D1138" s="6" t="s">
        <v>64</v>
      </c>
      <c r="E1138" s="6" t="s">
        <v>69</v>
      </c>
      <c r="F1138" s="6" t="s">
        <v>43</v>
      </c>
      <c r="G1138" s="6" t="s">
        <v>84</v>
      </c>
      <c r="H1138" s="2">
        <v>7</v>
      </c>
      <c r="I1138" s="2">
        <v>39763.14</v>
      </c>
      <c r="J1138" s="2">
        <v>0.05</v>
      </c>
      <c r="K1138" s="2">
        <v>264424.90000000002</v>
      </c>
      <c r="L1138" s="2">
        <v>178683.96</v>
      </c>
      <c r="M1138" s="2">
        <v>85740.94</v>
      </c>
      <c r="N1138" s="6" t="s">
        <v>21</v>
      </c>
      <c r="O1138" s="6" t="s">
        <v>40</v>
      </c>
    </row>
    <row r="1139" spans="1:15" x14ac:dyDescent="0.3">
      <c r="A1139" s="2" t="s">
        <v>919</v>
      </c>
      <c r="B1139" s="5">
        <v>45949</v>
      </c>
      <c r="C1139" s="6" t="s">
        <v>63</v>
      </c>
      <c r="D1139" s="6" t="s">
        <v>95</v>
      </c>
      <c r="E1139" s="6" t="s">
        <v>49</v>
      </c>
      <c r="F1139" s="6" t="s">
        <v>34</v>
      </c>
      <c r="G1139" s="6" t="s">
        <v>70</v>
      </c>
      <c r="H1139" s="2">
        <v>5</v>
      </c>
      <c r="I1139" s="2">
        <v>60552.52</v>
      </c>
      <c r="J1139" s="2">
        <v>0.1</v>
      </c>
      <c r="K1139" s="2">
        <v>272486.32</v>
      </c>
      <c r="L1139" s="2">
        <v>185726.35</v>
      </c>
      <c r="M1139" s="2">
        <v>86759.97</v>
      </c>
      <c r="N1139" s="6" t="s">
        <v>29</v>
      </c>
      <c r="O1139" s="6" t="s">
        <v>30</v>
      </c>
    </row>
    <row r="1140" spans="1:15" x14ac:dyDescent="0.3">
      <c r="A1140" s="2" t="s">
        <v>148</v>
      </c>
      <c r="B1140" s="5">
        <v>45758</v>
      </c>
      <c r="C1140" s="6" t="s">
        <v>16</v>
      </c>
      <c r="D1140" s="6" t="s">
        <v>32</v>
      </c>
      <c r="E1140" s="6" t="s">
        <v>49</v>
      </c>
      <c r="F1140" s="6" t="s">
        <v>43</v>
      </c>
      <c r="G1140" s="6" t="s">
        <v>75</v>
      </c>
      <c r="H1140" s="2">
        <v>7</v>
      </c>
      <c r="I1140" s="2">
        <v>37413.730000000003</v>
      </c>
      <c r="J1140" s="2">
        <v>0.05</v>
      </c>
      <c r="K1140" s="2">
        <v>248801.31</v>
      </c>
      <c r="L1140" s="2">
        <v>161874.93</v>
      </c>
      <c r="M1140" s="2">
        <v>86926.38</v>
      </c>
      <c r="N1140" s="6" t="s">
        <v>21</v>
      </c>
      <c r="O1140" s="6" t="s">
        <v>59</v>
      </c>
    </row>
    <row r="1141" spans="1:15" x14ac:dyDescent="0.3">
      <c r="A1141" s="2" t="s">
        <v>655</v>
      </c>
      <c r="B1141" s="5">
        <v>45733</v>
      </c>
      <c r="C1141" s="6" t="s">
        <v>16</v>
      </c>
      <c r="D1141" s="6" t="s">
        <v>17</v>
      </c>
      <c r="E1141" s="6" t="s">
        <v>74</v>
      </c>
      <c r="F1141" s="6" t="s">
        <v>43</v>
      </c>
      <c r="G1141" s="6" t="s">
        <v>84</v>
      </c>
      <c r="H1141" s="2">
        <v>7</v>
      </c>
      <c r="I1141" s="2">
        <v>41627.53</v>
      </c>
      <c r="J1141" s="2">
        <v>0.08</v>
      </c>
      <c r="K1141" s="2">
        <v>268081.32</v>
      </c>
      <c r="L1141" s="2">
        <v>180901.14</v>
      </c>
      <c r="M1141" s="2">
        <v>87180.18</v>
      </c>
      <c r="N1141" s="6" t="s">
        <v>21</v>
      </c>
      <c r="O1141" s="6" t="s">
        <v>59</v>
      </c>
    </row>
    <row r="1142" spans="1:15" x14ac:dyDescent="0.3">
      <c r="A1142" s="2" t="s">
        <v>1026</v>
      </c>
      <c r="B1142" s="5">
        <v>45747</v>
      </c>
      <c r="C1142" s="6" t="s">
        <v>63</v>
      </c>
      <c r="D1142" s="6" t="s">
        <v>95</v>
      </c>
      <c r="E1142" s="6" t="s">
        <v>49</v>
      </c>
      <c r="F1142" s="6" t="s">
        <v>34</v>
      </c>
      <c r="G1142" s="6" t="s">
        <v>70</v>
      </c>
      <c r="H1142" s="2">
        <v>4</v>
      </c>
      <c r="I1142" s="2">
        <v>59923.74</v>
      </c>
      <c r="J1142" s="2">
        <v>0.03</v>
      </c>
      <c r="K1142" s="2">
        <v>232504.1</v>
      </c>
      <c r="L1142" s="2">
        <v>144483.10999999999</v>
      </c>
      <c r="M1142" s="2">
        <v>88020.99</v>
      </c>
      <c r="N1142" s="6" t="s">
        <v>58</v>
      </c>
      <c r="O1142" s="6" t="s">
        <v>40</v>
      </c>
    </row>
    <row r="1143" spans="1:15" x14ac:dyDescent="0.3">
      <c r="A1143" s="2" t="s">
        <v>1177</v>
      </c>
      <c r="B1143" s="5">
        <v>46013</v>
      </c>
      <c r="C1143" s="6" t="s">
        <v>37</v>
      </c>
      <c r="D1143" s="6" t="s">
        <v>25</v>
      </c>
      <c r="E1143" s="6" t="s">
        <v>74</v>
      </c>
      <c r="F1143" s="6" t="s">
        <v>34</v>
      </c>
      <c r="G1143" s="6" t="s">
        <v>70</v>
      </c>
      <c r="H1143" s="2">
        <v>4</v>
      </c>
      <c r="I1143" s="2">
        <v>64321.94</v>
      </c>
      <c r="J1143" s="2">
        <v>0.03</v>
      </c>
      <c r="K1143" s="2">
        <v>249569.11</v>
      </c>
      <c r="L1143" s="2">
        <v>161175.41</v>
      </c>
      <c r="M1143" s="2">
        <v>88393.7</v>
      </c>
      <c r="N1143" s="6" t="s">
        <v>21</v>
      </c>
      <c r="O1143" s="6" t="s">
        <v>40</v>
      </c>
    </row>
    <row r="1144" spans="1:15" x14ac:dyDescent="0.3">
      <c r="A1144" s="2" t="s">
        <v>923</v>
      </c>
      <c r="B1144" s="5">
        <v>45988</v>
      </c>
      <c r="C1144" s="6" t="s">
        <v>54</v>
      </c>
      <c r="D1144" s="6" t="s">
        <v>48</v>
      </c>
      <c r="E1144" s="6" t="s">
        <v>26</v>
      </c>
      <c r="F1144" s="6" t="s">
        <v>43</v>
      </c>
      <c r="G1144" s="6" t="s">
        <v>84</v>
      </c>
      <c r="H1144" s="2">
        <v>7</v>
      </c>
      <c r="I1144" s="2">
        <v>41749.26</v>
      </c>
      <c r="J1144" s="2">
        <v>0.1</v>
      </c>
      <c r="K1144" s="2">
        <v>263020.34999999998</v>
      </c>
      <c r="L1144" s="2">
        <v>174412.71</v>
      </c>
      <c r="M1144" s="2">
        <v>88607.64</v>
      </c>
      <c r="N1144" s="6" t="s">
        <v>21</v>
      </c>
      <c r="O1144" s="6" t="s">
        <v>59</v>
      </c>
    </row>
    <row r="1145" spans="1:15" x14ac:dyDescent="0.3">
      <c r="A1145" s="2" t="s">
        <v>1052</v>
      </c>
      <c r="B1145" s="5">
        <v>45799</v>
      </c>
      <c r="C1145" s="6" t="s">
        <v>37</v>
      </c>
      <c r="D1145" s="6" t="s">
        <v>68</v>
      </c>
      <c r="E1145" s="6" t="s">
        <v>18</v>
      </c>
      <c r="F1145" s="6" t="s">
        <v>27</v>
      </c>
      <c r="G1145" s="6" t="s">
        <v>89</v>
      </c>
      <c r="H1145" s="2">
        <v>8</v>
      </c>
      <c r="I1145" s="2">
        <v>32011.65</v>
      </c>
      <c r="J1145" s="2">
        <v>0.08</v>
      </c>
      <c r="K1145" s="2">
        <v>235605.72</v>
      </c>
      <c r="L1145" s="2">
        <v>146410.76</v>
      </c>
      <c r="M1145" s="2">
        <v>89194.96</v>
      </c>
      <c r="N1145" s="6" t="s">
        <v>21</v>
      </c>
      <c r="O1145" s="6" t="s">
        <v>40</v>
      </c>
    </row>
    <row r="1146" spans="1:15" x14ac:dyDescent="0.3">
      <c r="A1146" s="2" t="s">
        <v>626</v>
      </c>
      <c r="B1146" s="5">
        <v>45682</v>
      </c>
      <c r="C1146" s="6" t="s">
        <v>54</v>
      </c>
      <c r="D1146" s="6" t="s">
        <v>55</v>
      </c>
      <c r="E1146" s="6" t="s">
        <v>65</v>
      </c>
      <c r="F1146" s="6" t="s">
        <v>43</v>
      </c>
      <c r="G1146" s="6" t="s">
        <v>91</v>
      </c>
      <c r="H1146" s="2">
        <v>8</v>
      </c>
      <c r="I1146" s="2">
        <v>44475.4</v>
      </c>
      <c r="J1146" s="2">
        <v>0.08</v>
      </c>
      <c r="K1146" s="2">
        <v>327338.96999999997</v>
      </c>
      <c r="L1146" s="2">
        <v>237985.03</v>
      </c>
      <c r="M1146" s="2">
        <v>89353.94</v>
      </c>
      <c r="N1146" s="6" t="s">
        <v>21</v>
      </c>
      <c r="O1146" s="6" t="s">
        <v>59</v>
      </c>
    </row>
    <row r="1147" spans="1:15" x14ac:dyDescent="0.3">
      <c r="A1147" s="2" t="s">
        <v>150</v>
      </c>
      <c r="B1147" s="5">
        <v>45880</v>
      </c>
      <c r="C1147" s="6" t="s">
        <v>37</v>
      </c>
      <c r="D1147" s="6" t="s">
        <v>25</v>
      </c>
      <c r="E1147" s="6" t="s">
        <v>18</v>
      </c>
      <c r="F1147" s="6" t="s">
        <v>34</v>
      </c>
      <c r="G1147" s="6" t="s">
        <v>70</v>
      </c>
      <c r="H1147" s="2">
        <v>7</v>
      </c>
      <c r="I1147" s="2">
        <v>60337.01</v>
      </c>
      <c r="J1147" s="2">
        <v>0</v>
      </c>
      <c r="K1147" s="2">
        <v>422359.06</v>
      </c>
      <c r="L1147" s="2">
        <v>332510.93</v>
      </c>
      <c r="M1147" s="2">
        <v>89848.13</v>
      </c>
      <c r="N1147" s="6" t="s">
        <v>58</v>
      </c>
      <c r="O1147" s="6" t="s">
        <v>40</v>
      </c>
    </row>
    <row r="1148" spans="1:15" x14ac:dyDescent="0.3">
      <c r="A1148" s="2" t="s">
        <v>607</v>
      </c>
      <c r="B1148" s="5">
        <v>45991</v>
      </c>
      <c r="C1148" s="6" t="s">
        <v>54</v>
      </c>
      <c r="D1148" s="6" t="s">
        <v>55</v>
      </c>
      <c r="E1148" s="6" t="s">
        <v>74</v>
      </c>
      <c r="F1148" s="6" t="s">
        <v>34</v>
      </c>
      <c r="G1148" s="6" t="s">
        <v>70</v>
      </c>
      <c r="H1148" s="2">
        <v>4</v>
      </c>
      <c r="I1148" s="2">
        <v>70118.210000000006</v>
      </c>
      <c r="J1148" s="2">
        <v>0.1</v>
      </c>
      <c r="K1148" s="2">
        <v>252425.56</v>
      </c>
      <c r="L1148" s="2">
        <v>162402.54</v>
      </c>
      <c r="M1148" s="2">
        <v>90023.02</v>
      </c>
      <c r="N1148" s="6" t="s">
        <v>58</v>
      </c>
      <c r="O1148" s="6" t="s">
        <v>40</v>
      </c>
    </row>
    <row r="1149" spans="1:15" x14ac:dyDescent="0.3">
      <c r="A1149" s="2" t="s">
        <v>851</v>
      </c>
      <c r="B1149" s="5">
        <v>45985</v>
      </c>
      <c r="C1149" s="6" t="s">
        <v>37</v>
      </c>
      <c r="D1149" s="6" t="s">
        <v>25</v>
      </c>
      <c r="E1149" s="6" t="s">
        <v>18</v>
      </c>
      <c r="F1149" s="6" t="s">
        <v>43</v>
      </c>
      <c r="G1149" s="6" t="s">
        <v>91</v>
      </c>
      <c r="H1149" s="2">
        <v>8</v>
      </c>
      <c r="I1149" s="2">
        <v>44316.22</v>
      </c>
      <c r="J1149" s="2">
        <v>0.03</v>
      </c>
      <c r="K1149" s="2">
        <v>343893.86</v>
      </c>
      <c r="L1149" s="2">
        <v>253415.32</v>
      </c>
      <c r="M1149" s="2">
        <v>90478.54</v>
      </c>
      <c r="N1149" s="6" t="s">
        <v>58</v>
      </c>
      <c r="O1149" s="6" t="s">
        <v>30</v>
      </c>
    </row>
    <row r="1150" spans="1:15" x14ac:dyDescent="0.3">
      <c r="A1150" s="2" t="s">
        <v>678</v>
      </c>
      <c r="B1150" s="5">
        <v>45745</v>
      </c>
      <c r="C1150" s="6" t="s">
        <v>37</v>
      </c>
      <c r="D1150" s="6" t="s">
        <v>68</v>
      </c>
      <c r="E1150" s="6" t="s">
        <v>49</v>
      </c>
      <c r="F1150" s="6" t="s">
        <v>43</v>
      </c>
      <c r="G1150" s="6" t="s">
        <v>84</v>
      </c>
      <c r="H1150" s="2">
        <v>7</v>
      </c>
      <c r="I1150" s="2">
        <v>40346.78</v>
      </c>
      <c r="J1150" s="2">
        <v>0.1</v>
      </c>
      <c r="K1150" s="2">
        <v>254184.7</v>
      </c>
      <c r="L1150" s="2">
        <v>163058.43</v>
      </c>
      <c r="M1150" s="2">
        <v>91126.27</v>
      </c>
      <c r="N1150" s="6" t="s">
        <v>21</v>
      </c>
      <c r="O1150" s="6" t="s">
        <v>22</v>
      </c>
    </row>
    <row r="1151" spans="1:15" x14ac:dyDescent="0.3">
      <c r="A1151" s="2" t="s">
        <v>1078</v>
      </c>
      <c r="B1151" s="5">
        <v>45794</v>
      </c>
      <c r="C1151" s="6" t="s">
        <v>54</v>
      </c>
      <c r="D1151" s="6" t="s">
        <v>124</v>
      </c>
      <c r="E1151" s="6" t="s">
        <v>26</v>
      </c>
      <c r="F1151" s="6" t="s">
        <v>34</v>
      </c>
      <c r="G1151" s="6" t="s">
        <v>70</v>
      </c>
      <c r="H1151" s="2">
        <v>7</v>
      </c>
      <c r="I1151" s="2">
        <v>61539.93</v>
      </c>
      <c r="J1151" s="2">
        <v>0.03</v>
      </c>
      <c r="K1151" s="2">
        <v>417856.15</v>
      </c>
      <c r="L1151" s="2">
        <v>326457.03000000003</v>
      </c>
      <c r="M1151" s="2">
        <v>91399.12</v>
      </c>
      <c r="N1151" s="6" t="s">
        <v>58</v>
      </c>
      <c r="O1151" s="6" t="s">
        <v>22</v>
      </c>
    </row>
    <row r="1152" spans="1:15" x14ac:dyDescent="0.3">
      <c r="A1152" s="2" t="s">
        <v>73</v>
      </c>
      <c r="B1152" s="5">
        <v>45940</v>
      </c>
      <c r="C1152" s="6" t="s">
        <v>37</v>
      </c>
      <c r="D1152" s="6" t="s">
        <v>25</v>
      </c>
      <c r="E1152" s="6" t="s">
        <v>74</v>
      </c>
      <c r="F1152" s="6" t="s">
        <v>43</v>
      </c>
      <c r="G1152" s="6" t="s">
        <v>75</v>
      </c>
      <c r="H1152" s="2">
        <v>7</v>
      </c>
      <c r="I1152" s="2">
        <v>38281.49</v>
      </c>
      <c r="J1152" s="2">
        <v>0.03</v>
      </c>
      <c r="K1152" s="2">
        <v>259931.29</v>
      </c>
      <c r="L1152" s="2">
        <v>168022.83</v>
      </c>
      <c r="M1152" s="2">
        <v>91908.46</v>
      </c>
      <c r="N1152" s="6" t="s">
        <v>29</v>
      </c>
      <c r="O1152" s="6" t="s">
        <v>40</v>
      </c>
    </row>
    <row r="1153" spans="1:15" x14ac:dyDescent="0.3">
      <c r="A1153" s="2" t="s">
        <v>251</v>
      </c>
      <c r="B1153" s="5">
        <v>45662</v>
      </c>
      <c r="C1153" s="6" t="s">
        <v>63</v>
      </c>
      <c r="D1153" s="6" t="s">
        <v>95</v>
      </c>
      <c r="E1153" s="6" t="s">
        <v>26</v>
      </c>
      <c r="F1153" s="6" t="s">
        <v>43</v>
      </c>
      <c r="G1153" s="6" t="s">
        <v>84</v>
      </c>
      <c r="H1153" s="2">
        <v>7</v>
      </c>
      <c r="I1153" s="2">
        <v>39106.53</v>
      </c>
      <c r="J1153" s="2">
        <v>0.05</v>
      </c>
      <c r="K1153" s="2">
        <v>260058.41</v>
      </c>
      <c r="L1153" s="2">
        <v>165456.19</v>
      </c>
      <c r="M1153" s="2">
        <v>94602.22</v>
      </c>
      <c r="N1153" s="6" t="s">
        <v>21</v>
      </c>
      <c r="O1153" s="6" t="s">
        <v>45</v>
      </c>
    </row>
    <row r="1154" spans="1:15" x14ac:dyDescent="0.3">
      <c r="A1154" s="2" t="s">
        <v>290</v>
      </c>
      <c r="B1154" s="5">
        <v>45773</v>
      </c>
      <c r="C1154" s="6" t="s">
        <v>54</v>
      </c>
      <c r="D1154" s="6" t="s">
        <v>55</v>
      </c>
      <c r="E1154" s="6" t="s">
        <v>69</v>
      </c>
      <c r="F1154" s="6" t="s">
        <v>43</v>
      </c>
      <c r="G1154" s="6" t="s">
        <v>91</v>
      </c>
      <c r="H1154" s="2">
        <v>6</v>
      </c>
      <c r="I1154" s="2">
        <v>46680.52</v>
      </c>
      <c r="J1154" s="2">
        <v>0.05</v>
      </c>
      <c r="K1154" s="2">
        <v>266078.96999999997</v>
      </c>
      <c r="L1154" s="2">
        <v>170626.89</v>
      </c>
      <c r="M1154" s="2">
        <v>95452.08</v>
      </c>
      <c r="N1154" s="6" t="s">
        <v>21</v>
      </c>
      <c r="O1154" s="6" t="s">
        <v>40</v>
      </c>
    </row>
    <row r="1155" spans="1:15" x14ac:dyDescent="0.3">
      <c r="A1155" s="2" t="s">
        <v>832</v>
      </c>
      <c r="B1155" s="5">
        <v>45972</v>
      </c>
      <c r="C1155" s="6" t="s">
        <v>16</v>
      </c>
      <c r="D1155" s="6" t="s">
        <v>17</v>
      </c>
      <c r="E1155" s="6" t="s">
        <v>49</v>
      </c>
      <c r="F1155" s="6" t="s">
        <v>34</v>
      </c>
      <c r="G1155" s="6" t="s">
        <v>70</v>
      </c>
      <c r="H1155" s="2">
        <v>5</v>
      </c>
      <c r="I1155" s="2">
        <v>67421.52</v>
      </c>
      <c r="J1155" s="2">
        <v>0.05</v>
      </c>
      <c r="K1155" s="2">
        <v>320252.21000000002</v>
      </c>
      <c r="L1155" s="2">
        <v>223813.07</v>
      </c>
      <c r="M1155" s="2">
        <v>96439.14</v>
      </c>
      <c r="N1155" s="6" t="s">
        <v>29</v>
      </c>
      <c r="O1155" s="6" t="s">
        <v>59</v>
      </c>
    </row>
    <row r="1156" spans="1:15" x14ac:dyDescent="0.3">
      <c r="A1156" s="2" t="s">
        <v>669</v>
      </c>
      <c r="B1156" s="5">
        <v>45853</v>
      </c>
      <c r="C1156" s="6" t="s">
        <v>54</v>
      </c>
      <c r="D1156" s="6" t="s">
        <v>55</v>
      </c>
      <c r="E1156" s="6" t="s">
        <v>65</v>
      </c>
      <c r="F1156" s="6" t="s">
        <v>34</v>
      </c>
      <c r="G1156" s="6" t="s">
        <v>70</v>
      </c>
      <c r="H1156" s="2">
        <v>5</v>
      </c>
      <c r="I1156" s="2">
        <v>60400.51</v>
      </c>
      <c r="J1156" s="2">
        <v>0.1</v>
      </c>
      <c r="K1156" s="2">
        <v>271802.28000000003</v>
      </c>
      <c r="L1156" s="2">
        <v>172369.4</v>
      </c>
      <c r="M1156" s="2">
        <v>99432.88</v>
      </c>
      <c r="N1156" s="6" t="s">
        <v>29</v>
      </c>
      <c r="O1156" s="6" t="s">
        <v>45</v>
      </c>
    </row>
    <row r="1157" spans="1:15" x14ac:dyDescent="0.3">
      <c r="A1157" s="2" t="s">
        <v>1125</v>
      </c>
      <c r="B1157" s="5">
        <v>45850</v>
      </c>
      <c r="C1157" s="6" t="s">
        <v>1356</v>
      </c>
      <c r="D1157" s="6" t="s">
        <v>42</v>
      </c>
      <c r="E1157" s="6" t="s">
        <v>33</v>
      </c>
      <c r="F1157" s="6" t="s">
        <v>34</v>
      </c>
      <c r="G1157" s="6" t="s">
        <v>70</v>
      </c>
      <c r="H1157" s="2">
        <v>5</v>
      </c>
      <c r="I1157" s="2">
        <v>62361.22</v>
      </c>
      <c r="J1157" s="2">
        <v>0.1</v>
      </c>
      <c r="K1157" s="2">
        <v>280625.46999999997</v>
      </c>
      <c r="L1157" s="2">
        <v>181017.22</v>
      </c>
      <c r="M1157" s="2">
        <v>99608.25</v>
      </c>
      <c r="N1157" s="6" t="s">
        <v>58</v>
      </c>
      <c r="O1157" s="6" t="s">
        <v>45</v>
      </c>
    </row>
    <row r="1158" spans="1:15" x14ac:dyDescent="0.3">
      <c r="A1158" s="2" t="s">
        <v>666</v>
      </c>
      <c r="B1158" s="5">
        <v>45829</v>
      </c>
      <c r="C1158" s="6" t="s">
        <v>54</v>
      </c>
      <c r="D1158" s="6" t="s">
        <v>174</v>
      </c>
      <c r="E1158" s="6" t="s">
        <v>56</v>
      </c>
      <c r="F1158" s="6" t="s">
        <v>43</v>
      </c>
      <c r="G1158" s="6" t="s">
        <v>84</v>
      </c>
      <c r="H1158" s="2">
        <v>7</v>
      </c>
      <c r="I1158" s="2">
        <v>41044.11</v>
      </c>
      <c r="J1158" s="2">
        <v>0</v>
      </c>
      <c r="K1158" s="2">
        <v>287308.78000000003</v>
      </c>
      <c r="L1158" s="2">
        <v>183257.12</v>
      </c>
      <c r="M1158" s="2">
        <v>104051.66</v>
      </c>
      <c r="N1158" s="6" t="s">
        <v>21</v>
      </c>
      <c r="O1158" s="6" t="s">
        <v>45</v>
      </c>
    </row>
    <row r="1159" spans="1:15" x14ac:dyDescent="0.3">
      <c r="A1159" s="2" t="s">
        <v>463</v>
      </c>
      <c r="B1159" s="5">
        <v>45702</v>
      </c>
      <c r="C1159" s="6" t="s">
        <v>16</v>
      </c>
      <c r="D1159" s="6" t="s">
        <v>52</v>
      </c>
      <c r="E1159" s="6" t="s">
        <v>56</v>
      </c>
      <c r="F1159" s="6" t="s">
        <v>43</v>
      </c>
      <c r="G1159" s="6" t="s">
        <v>91</v>
      </c>
      <c r="H1159" s="2">
        <v>7</v>
      </c>
      <c r="I1159" s="2">
        <v>50940.79</v>
      </c>
      <c r="J1159" s="2">
        <v>0.08</v>
      </c>
      <c r="K1159" s="2">
        <v>328058.65999999997</v>
      </c>
      <c r="L1159" s="2">
        <v>220027.51</v>
      </c>
      <c r="M1159" s="2">
        <v>108031.15</v>
      </c>
      <c r="N1159" s="6" t="s">
        <v>58</v>
      </c>
      <c r="O1159" s="6" t="s">
        <v>22</v>
      </c>
    </row>
    <row r="1160" spans="1:15" x14ac:dyDescent="0.3">
      <c r="A1160" s="2" t="s">
        <v>611</v>
      </c>
      <c r="B1160" s="5">
        <v>45714</v>
      </c>
      <c r="C1160" s="6" t="s">
        <v>16</v>
      </c>
      <c r="D1160" s="6" t="s">
        <v>17</v>
      </c>
      <c r="E1160" s="6" t="s">
        <v>74</v>
      </c>
      <c r="F1160" s="6" t="s">
        <v>34</v>
      </c>
      <c r="G1160" s="6" t="s">
        <v>70</v>
      </c>
      <c r="H1160" s="2">
        <v>7</v>
      </c>
      <c r="I1160" s="2">
        <v>67944.88</v>
      </c>
      <c r="J1160" s="2">
        <v>0</v>
      </c>
      <c r="K1160" s="2">
        <v>475614.15</v>
      </c>
      <c r="L1160" s="2">
        <v>367353.71</v>
      </c>
      <c r="M1160" s="2">
        <v>108260.44</v>
      </c>
      <c r="N1160" s="6" t="s">
        <v>21</v>
      </c>
      <c r="O1160" s="6" t="s">
        <v>22</v>
      </c>
    </row>
    <row r="1161" spans="1:15" x14ac:dyDescent="0.3">
      <c r="A1161" s="2" t="s">
        <v>1181</v>
      </c>
      <c r="B1161" s="5">
        <v>45855</v>
      </c>
      <c r="C1161" s="6" t="s">
        <v>37</v>
      </c>
      <c r="D1161" s="6" t="s">
        <v>68</v>
      </c>
      <c r="E1161" s="6" t="s">
        <v>49</v>
      </c>
      <c r="F1161" s="6" t="s">
        <v>43</v>
      </c>
      <c r="G1161" s="6" t="s">
        <v>75</v>
      </c>
      <c r="H1161" s="2">
        <v>8</v>
      </c>
      <c r="I1161" s="2">
        <v>38152.35</v>
      </c>
      <c r="J1161" s="2">
        <v>0.05</v>
      </c>
      <c r="K1161" s="2">
        <v>289957.90000000002</v>
      </c>
      <c r="L1161" s="2">
        <v>181248.66</v>
      </c>
      <c r="M1161" s="2">
        <v>108709.24</v>
      </c>
      <c r="N1161" s="6" t="s">
        <v>29</v>
      </c>
      <c r="O1161" s="6" t="s">
        <v>22</v>
      </c>
    </row>
    <row r="1162" spans="1:15" x14ac:dyDescent="0.3">
      <c r="A1162" s="2" t="s">
        <v>816</v>
      </c>
      <c r="B1162" s="5">
        <v>45929</v>
      </c>
      <c r="C1162" s="6" t="s">
        <v>16</v>
      </c>
      <c r="D1162" s="6" t="s">
        <v>52</v>
      </c>
      <c r="E1162" s="6" t="s">
        <v>49</v>
      </c>
      <c r="F1162" s="6" t="s">
        <v>34</v>
      </c>
      <c r="G1162" s="6" t="s">
        <v>70</v>
      </c>
      <c r="H1162" s="2">
        <v>6</v>
      </c>
      <c r="I1162" s="2">
        <v>60729.13</v>
      </c>
      <c r="J1162" s="2">
        <v>0.05</v>
      </c>
      <c r="K1162" s="2">
        <v>346156.07</v>
      </c>
      <c r="L1162" s="2">
        <v>233785.61</v>
      </c>
      <c r="M1162" s="2">
        <v>112370.46</v>
      </c>
      <c r="N1162" s="6" t="s">
        <v>58</v>
      </c>
      <c r="O1162" s="6" t="s">
        <v>45</v>
      </c>
    </row>
    <row r="1163" spans="1:15" x14ac:dyDescent="0.3">
      <c r="A1163" s="2" t="s">
        <v>1130</v>
      </c>
      <c r="B1163" s="5">
        <v>45937</v>
      </c>
      <c r="C1163" s="6" t="s">
        <v>16</v>
      </c>
      <c r="D1163" s="6" t="s">
        <v>32</v>
      </c>
      <c r="E1163" s="6" t="s">
        <v>65</v>
      </c>
      <c r="F1163" s="6" t="s">
        <v>34</v>
      </c>
      <c r="G1163" s="6" t="s">
        <v>70</v>
      </c>
      <c r="H1163" s="2">
        <v>8</v>
      </c>
      <c r="I1163" s="2">
        <v>69725.78</v>
      </c>
      <c r="J1163" s="2">
        <v>0.05</v>
      </c>
      <c r="K1163" s="2">
        <v>529915.9</v>
      </c>
      <c r="L1163" s="2">
        <v>417460.06</v>
      </c>
      <c r="M1163" s="2">
        <v>112455.84</v>
      </c>
      <c r="N1163" s="6" t="s">
        <v>29</v>
      </c>
      <c r="O1163" s="6" t="s">
        <v>59</v>
      </c>
    </row>
    <row r="1164" spans="1:15" x14ac:dyDescent="0.3">
      <c r="A1164" s="2" t="s">
        <v>367</v>
      </c>
      <c r="B1164" s="5">
        <v>45983</v>
      </c>
      <c r="C1164" s="6" t="s">
        <v>54</v>
      </c>
      <c r="D1164" s="6" t="s">
        <v>174</v>
      </c>
      <c r="E1164" s="6" t="s">
        <v>65</v>
      </c>
      <c r="F1164" s="6" t="s">
        <v>34</v>
      </c>
      <c r="G1164" s="6" t="s">
        <v>70</v>
      </c>
      <c r="H1164" s="2">
        <v>8</v>
      </c>
      <c r="I1164" s="2">
        <v>69480.399999999994</v>
      </c>
      <c r="J1164" s="2">
        <v>0</v>
      </c>
      <c r="K1164" s="2">
        <v>555843.17000000004</v>
      </c>
      <c r="L1164" s="2">
        <v>442953.19</v>
      </c>
      <c r="M1164" s="2">
        <v>112889.98</v>
      </c>
      <c r="N1164" s="6" t="s">
        <v>29</v>
      </c>
      <c r="O1164" s="6" t="s">
        <v>45</v>
      </c>
    </row>
    <row r="1165" spans="1:15" x14ac:dyDescent="0.3">
      <c r="A1165" s="2" t="s">
        <v>888</v>
      </c>
      <c r="B1165" s="5">
        <v>45944</v>
      </c>
      <c r="C1165" s="6" t="s">
        <v>63</v>
      </c>
      <c r="D1165" s="6" t="s">
        <v>117</v>
      </c>
      <c r="E1165" s="6" t="s">
        <v>33</v>
      </c>
      <c r="F1165" s="6" t="s">
        <v>34</v>
      </c>
      <c r="G1165" s="6" t="s">
        <v>70</v>
      </c>
      <c r="H1165" s="2">
        <v>6</v>
      </c>
      <c r="I1165" s="2">
        <v>69949.06</v>
      </c>
      <c r="J1165" s="2">
        <v>0.03</v>
      </c>
      <c r="K1165" s="2">
        <v>407103.51</v>
      </c>
      <c r="L1165" s="2">
        <v>293812.28999999998</v>
      </c>
      <c r="M1165" s="2">
        <v>113291.22</v>
      </c>
      <c r="N1165" s="6" t="s">
        <v>21</v>
      </c>
      <c r="O1165" s="6" t="s">
        <v>40</v>
      </c>
    </row>
    <row r="1166" spans="1:15" x14ac:dyDescent="0.3">
      <c r="A1166" s="2" t="s">
        <v>365</v>
      </c>
      <c r="B1166" s="5">
        <v>45884</v>
      </c>
      <c r="C1166" s="6" t="s">
        <v>54</v>
      </c>
      <c r="D1166" s="6" t="s">
        <v>124</v>
      </c>
      <c r="E1166" s="6" t="s">
        <v>65</v>
      </c>
      <c r="F1166" s="6" t="s">
        <v>43</v>
      </c>
      <c r="G1166" s="6" t="s">
        <v>91</v>
      </c>
      <c r="H1166" s="2">
        <v>8</v>
      </c>
      <c r="I1166" s="2">
        <v>47483.360000000001</v>
      </c>
      <c r="J1166" s="2">
        <v>0.05</v>
      </c>
      <c r="K1166" s="2">
        <v>360873.53</v>
      </c>
      <c r="L1166" s="2">
        <v>241832.85</v>
      </c>
      <c r="M1166" s="2">
        <v>119040.68</v>
      </c>
      <c r="N1166" s="6" t="s">
        <v>21</v>
      </c>
      <c r="O1166" s="6" t="s">
        <v>40</v>
      </c>
    </row>
    <row r="1167" spans="1:15" x14ac:dyDescent="0.3">
      <c r="A1167" s="2" t="s">
        <v>1183</v>
      </c>
      <c r="B1167" s="5">
        <v>45665</v>
      </c>
      <c r="C1167" s="6" t="s">
        <v>54</v>
      </c>
      <c r="D1167" s="6" t="s">
        <v>55</v>
      </c>
      <c r="E1167" s="6" t="s">
        <v>26</v>
      </c>
      <c r="F1167" s="6" t="s">
        <v>34</v>
      </c>
      <c r="G1167" s="6" t="s">
        <v>70</v>
      </c>
      <c r="H1167" s="2">
        <v>5</v>
      </c>
      <c r="I1167" s="2">
        <v>66356.17</v>
      </c>
      <c r="J1167" s="2">
        <v>0.03</v>
      </c>
      <c r="K1167" s="2">
        <v>321827.42</v>
      </c>
      <c r="L1167" s="2">
        <v>200967.38</v>
      </c>
      <c r="M1167" s="2">
        <v>120860.04</v>
      </c>
      <c r="N1167" s="6" t="s">
        <v>21</v>
      </c>
      <c r="O1167" s="6" t="s">
        <v>45</v>
      </c>
    </row>
    <row r="1168" spans="1:15" x14ac:dyDescent="0.3">
      <c r="A1168" s="2" t="s">
        <v>992</v>
      </c>
      <c r="B1168" s="5">
        <v>46005</v>
      </c>
      <c r="C1168" s="6" t="s">
        <v>16</v>
      </c>
      <c r="D1168" s="6" t="s">
        <v>52</v>
      </c>
      <c r="E1168" s="6" t="s">
        <v>69</v>
      </c>
      <c r="F1168" s="6" t="s">
        <v>34</v>
      </c>
      <c r="G1168" s="6" t="s">
        <v>70</v>
      </c>
      <c r="H1168" s="2">
        <v>8</v>
      </c>
      <c r="I1168" s="2">
        <v>62227.32</v>
      </c>
      <c r="J1168" s="2">
        <v>0.05</v>
      </c>
      <c r="K1168" s="2">
        <v>472927.64</v>
      </c>
      <c r="L1168" s="2">
        <v>351909.72</v>
      </c>
      <c r="M1168" s="2">
        <v>121017.92</v>
      </c>
      <c r="N1168" s="6" t="s">
        <v>29</v>
      </c>
      <c r="O1168" s="6" t="s">
        <v>40</v>
      </c>
    </row>
    <row r="1169" spans="1:15" x14ac:dyDescent="0.3">
      <c r="A1169" s="2" t="s">
        <v>1136</v>
      </c>
      <c r="B1169" s="5">
        <v>45794</v>
      </c>
      <c r="C1169" s="6" t="s">
        <v>16</v>
      </c>
      <c r="D1169" s="6" t="s">
        <v>52</v>
      </c>
      <c r="E1169" s="6" t="s">
        <v>26</v>
      </c>
      <c r="F1169" s="6" t="s">
        <v>34</v>
      </c>
      <c r="G1169" s="6" t="s">
        <v>70</v>
      </c>
      <c r="H1169" s="2">
        <v>6</v>
      </c>
      <c r="I1169" s="2">
        <v>63465.3</v>
      </c>
      <c r="J1169" s="2">
        <v>0.05</v>
      </c>
      <c r="K1169" s="2">
        <v>361752.21</v>
      </c>
      <c r="L1169" s="2">
        <v>240612.2</v>
      </c>
      <c r="M1169" s="2">
        <v>121140.01</v>
      </c>
      <c r="N1169" s="6" t="s">
        <v>29</v>
      </c>
      <c r="O1169" s="6" t="s">
        <v>59</v>
      </c>
    </row>
    <row r="1170" spans="1:15" x14ac:dyDescent="0.3">
      <c r="A1170" s="2" t="s">
        <v>361</v>
      </c>
      <c r="B1170" s="5">
        <v>45977</v>
      </c>
      <c r="C1170" s="6" t="s">
        <v>16</v>
      </c>
      <c r="D1170" s="6" t="s">
        <v>52</v>
      </c>
      <c r="E1170" s="6" t="s">
        <v>33</v>
      </c>
      <c r="F1170" s="6" t="s">
        <v>34</v>
      </c>
      <c r="G1170" s="6" t="s">
        <v>70</v>
      </c>
      <c r="H1170" s="2">
        <v>7</v>
      </c>
      <c r="I1170" s="2">
        <v>65865.97</v>
      </c>
      <c r="J1170" s="2">
        <v>0.05</v>
      </c>
      <c r="K1170" s="2">
        <v>438008.71</v>
      </c>
      <c r="L1170" s="2">
        <v>307345.88</v>
      </c>
      <c r="M1170" s="2">
        <v>130662.83</v>
      </c>
      <c r="N1170" s="6" t="s">
        <v>21</v>
      </c>
      <c r="O1170" s="6" t="s">
        <v>22</v>
      </c>
    </row>
    <row r="1171" spans="1:15" x14ac:dyDescent="0.3">
      <c r="A1171" s="2" t="s">
        <v>193</v>
      </c>
      <c r="B1171" s="5">
        <v>45950</v>
      </c>
      <c r="C1171" s="6" t="s">
        <v>37</v>
      </c>
      <c r="D1171" s="6" t="s">
        <v>68</v>
      </c>
      <c r="E1171" s="6" t="s">
        <v>26</v>
      </c>
      <c r="F1171" s="6" t="s">
        <v>34</v>
      </c>
      <c r="G1171" s="6" t="s">
        <v>70</v>
      </c>
      <c r="H1171" s="2">
        <v>7</v>
      </c>
      <c r="I1171" s="2">
        <v>63797</v>
      </c>
      <c r="J1171" s="2">
        <v>0.08</v>
      </c>
      <c r="K1171" s="2">
        <v>410852.66</v>
      </c>
      <c r="L1171" s="2">
        <v>276249.49</v>
      </c>
      <c r="M1171" s="2">
        <v>134603.17000000001</v>
      </c>
      <c r="N1171" s="6" t="s">
        <v>58</v>
      </c>
      <c r="O1171" s="6" t="s">
        <v>22</v>
      </c>
    </row>
    <row r="1172" spans="1:15" x14ac:dyDescent="0.3">
      <c r="A1172" s="2" t="s">
        <v>627</v>
      </c>
      <c r="B1172" s="5">
        <v>45991</v>
      </c>
      <c r="C1172" s="6" t="s">
        <v>63</v>
      </c>
      <c r="D1172" s="6" t="s">
        <v>64</v>
      </c>
      <c r="E1172" s="6" t="s">
        <v>49</v>
      </c>
      <c r="F1172" s="6" t="s">
        <v>43</v>
      </c>
      <c r="G1172" s="6" t="s">
        <v>91</v>
      </c>
      <c r="H1172" s="2">
        <v>8</v>
      </c>
      <c r="I1172" s="2">
        <v>49241.89</v>
      </c>
      <c r="J1172" s="2">
        <v>0.03</v>
      </c>
      <c r="K1172" s="2">
        <v>382117.03</v>
      </c>
      <c r="L1172" s="2">
        <v>247261.19</v>
      </c>
      <c r="M1172" s="2">
        <v>134855.84</v>
      </c>
      <c r="N1172" s="6" t="s">
        <v>21</v>
      </c>
      <c r="O1172" s="6" t="s">
        <v>59</v>
      </c>
    </row>
    <row r="1173" spans="1:15" x14ac:dyDescent="0.3">
      <c r="A1173" s="2" t="s">
        <v>653</v>
      </c>
      <c r="B1173" s="5">
        <v>45964</v>
      </c>
      <c r="C1173" s="6" t="s">
        <v>63</v>
      </c>
      <c r="D1173" s="6" t="s">
        <v>88</v>
      </c>
      <c r="E1173" s="6" t="s">
        <v>69</v>
      </c>
      <c r="F1173" s="6" t="s">
        <v>34</v>
      </c>
      <c r="G1173" s="6" t="s">
        <v>70</v>
      </c>
      <c r="H1173" s="2">
        <v>7</v>
      </c>
      <c r="I1173" s="2">
        <v>67480.88</v>
      </c>
      <c r="J1173" s="2">
        <v>0</v>
      </c>
      <c r="K1173" s="2">
        <v>472366.15</v>
      </c>
      <c r="L1173" s="2">
        <v>336765.68</v>
      </c>
      <c r="M1173" s="2">
        <v>135600.47</v>
      </c>
      <c r="N1173" s="6" t="s">
        <v>21</v>
      </c>
      <c r="O1173" s="6" t="s">
        <v>40</v>
      </c>
    </row>
    <row r="1174" spans="1:15" x14ac:dyDescent="0.3">
      <c r="A1174" s="2" t="s">
        <v>933</v>
      </c>
      <c r="B1174" s="5">
        <v>45883</v>
      </c>
      <c r="C1174" s="6" t="s">
        <v>37</v>
      </c>
      <c r="D1174" s="6" t="s">
        <v>68</v>
      </c>
      <c r="E1174" s="6" t="s">
        <v>69</v>
      </c>
      <c r="F1174" s="6" t="s">
        <v>34</v>
      </c>
      <c r="G1174" s="6" t="s">
        <v>70</v>
      </c>
      <c r="H1174" s="2">
        <v>7</v>
      </c>
      <c r="I1174" s="2">
        <v>69221.820000000007</v>
      </c>
      <c r="J1174" s="2">
        <v>0.05</v>
      </c>
      <c r="K1174" s="2">
        <v>460325.08</v>
      </c>
      <c r="L1174" s="2">
        <v>324557.61</v>
      </c>
      <c r="M1174" s="2">
        <v>135767.47</v>
      </c>
      <c r="N1174" s="6" t="s">
        <v>21</v>
      </c>
      <c r="O1174" s="6" t="s">
        <v>59</v>
      </c>
    </row>
    <row r="1175" spans="1:15" x14ac:dyDescent="0.3">
      <c r="A1175" s="2" t="s">
        <v>800</v>
      </c>
      <c r="B1175" s="5">
        <v>45966</v>
      </c>
      <c r="C1175" s="6" t="s">
        <v>16</v>
      </c>
      <c r="D1175" s="6" t="s">
        <v>17</v>
      </c>
      <c r="E1175" s="6" t="s">
        <v>1356</v>
      </c>
      <c r="F1175" s="6" t="s">
        <v>34</v>
      </c>
      <c r="G1175" s="6" t="s">
        <v>70</v>
      </c>
      <c r="H1175" s="2">
        <v>6</v>
      </c>
      <c r="I1175" s="2">
        <v>62766.2</v>
      </c>
      <c r="J1175" s="2">
        <v>0.05</v>
      </c>
      <c r="K1175" s="2">
        <v>357767.35</v>
      </c>
      <c r="L1175" s="2">
        <v>221953.24</v>
      </c>
      <c r="M1175" s="2">
        <v>135814.10999999999</v>
      </c>
      <c r="N1175" s="6" t="s">
        <v>29</v>
      </c>
      <c r="O1175" s="6" t="s">
        <v>45</v>
      </c>
    </row>
    <row r="1176" spans="1:15" x14ac:dyDescent="0.3">
      <c r="A1176" s="2" t="s">
        <v>335</v>
      </c>
      <c r="B1176" s="5">
        <v>45764</v>
      </c>
      <c r="C1176" s="6" t="s">
        <v>54</v>
      </c>
      <c r="D1176" s="6" t="s">
        <v>48</v>
      </c>
      <c r="E1176" s="6" t="s">
        <v>56</v>
      </c>
      <c r="F1176" s="6" t="s">
        <v>34</v>
      </c>
      <c r="G1176" s="6" t="s">
        <v>70</v>
      </c>
      <c r="H1176" s="2">
        <v>7</v>
      </c>
      <c r="I1176" s="2">
        <v>68293.919999999998</v>
      </c>
      <c r="J1176" s="2">
        <v>0</v>
      </c>
      <c r="K1176" s="2">
        <v>478057.45</v>
      </c>
      <c r="L1176" s="2">
        <v>340842.64</v>
      </c>
      <c r="M1176" s="2">
        <v>137214.81</v>
      </c>
      <c r="N1176" s="6" t="s">
        <v>29</v>
      </c>
      <c r="O1176" s="6" t="s">
        <v>22</v>
      </c>
    </row>
    <row r="1177" spans="1:15" x14ac:dyDescent="0.3">
      <c r="A1177" s="2" t="s">
        <v>470</v>
      </c>
      <c r="B1177" s="5">
        <v>45824</v>
      </c>
      <c r="C1177" s="6" t="s">
        <v>37</v>
      </c>
      <c r="D1177" s="6" t="s">
        <v>68</v>
      </c>
      <c r="E1177" s="6" t="s">
        <v>26</v>
      </c>
      <c r="F1177" s="6" t="s">
        <v>43</v>
      </c>
      <c r="G1177" s="6" t="s">
        <v>91</v>
      </c>
      <c r="H1177" s="2">
        <v>8</v>
      </c>
      <c r="I1177" s="2">
        <v>49261.07</v>
      </c>
      <c r="J1177" s="2">
        <v>0.03</v>
      </c>
      <c r="K1177" s="2">
        <v>382265.9</v>
      </c>
      <c r="L1177" s="2">
        <v>241129.79</v>
      </c>
      <c r="M1177" s="2">
        <v>141136.10999999999</v>
      </c>
      <c r="N1177" s="6" t="s">
        <v>29</v>
      </c>
      <c r="O1177" s="6" t="s">
        <v>30</v>
      </c>
    </row>
    <row r="1178" spans="1:15" x14ac:dyDescent="0.3">
      <c r="A1178" s="2" t="s">
        <v>256</v>
      </c>
      <c r="B1178" s="5">
        <v>45906</v>
      </c>
      <c r="C1178" s="6" t="s">
        <v>54</v>
      </c>
      <c r="D1178" s="6" t="s">
        <v>48</v>
      </c>
      <c r="E1178" s="6" t="s">
        <v>65</v>
      </c>
      <c r="F1178" s="6" t="s">
        <v>34</v>
      </c>
      <c r="G1178" s="6" t="s">
        <v>70</v>
      </c>
      <c r="H1178" s="2">
        <v>7</v>
      </c>
      <c r="I1178" s="2">
        <v>62536.37</v>
      </c>
      <c r="J1178" s="2">
        <v>0.05</v>
      </c>
      <c r="K1178" s="2">
        <v>415866.87</v>
      </c>
      <c r="L1178" s="2">
        <v>266584.90999999997</v>
      </c>
      <c r="M1178" s="2">
        <v>149281.96</v>
      </c>
      <c r="N1178" s="6" t="s">
        <v>29</v>
      </c>
      <c r="O1178" s="6" t="s">
        <v>22</v>
      </c>
    </row>
    <row r="1179" spans="1:15" x14ac:dyDescent="0.3">
      <c r="A1179" s="2" t="s">
        <v>440</v>
      </c>
      <c r="B1179" s="5">
        <v>45793</v>
      </c>
      <c r="C1179" s="6" t="s">
        <v>54</v>
      </c>
      <c r="D1179" s="6" t="s">
        <v>174</v>
      </c>
      <c r="E1179" s="6" t="s">
        <v>69</v>
      </c>
      <c r="F1179" s="6" t="s">
        <v>34</v>
      </c>
      <c r="G1179" s="6" t="s">
        <v>70</v>
      </c>
      <c r="H1179" s="2">
        <v>8</v>
      </c>
      <c r="I1179" s="2">
        <v>59961.29</v>
      </c>
      <c r="J1179" s="2">
        <v>0.03</v>
      </c>
      <c r="K1179" s="2">
        <v>465299.58</v>
      </c>
      <c r="L1179" s="2">
        <v>311708.62</v>
      </c>
      <c r="M1179" s="2">
        <v>153590.96</v>
      </c>
      <c r="N1179" s="6" t="s">
        <v>58</v>
      </c>
      <c r="O1179" s="6" t="s">
        <v>40</v>
      </c>
    </row>
    <row r="1180" spans="1:15" x14ac:dyDescent="0.3">
      <c r="A1180" s="2" t="s">
        <v>806</v>
      </c>
      <c r="B1180" s="5">
        <v>45873</v>
      </c>
      <c r="C1180" s="6" t="s">
        <v>37</v>
      </c>
      <c r="D1180" s="6" t="s">
        <v>25</v>
      </c>
      <c r="E1180" s="6" t="s">
        <v>56</v>
      </c>
      <c r="F1180" s="6" t="s">
        <v>34</v>
      </c>
      <c r="G1180" s="6" t="s">
        <v>70</v>
      </c>
      <c r="H1180" s="2">
        <v>8</v>
      </c>
      <c r="I1180" s="2">
        <v>65937.78</v>
      </c>
      <c r="J1180" s="2">
        <v>0.05</v>
      </c>
      <c r="K1180" s="2">
        <v>501127.1</v>
      </c>
      <c r="L1180" s="2">
        <v>334858.40000000002</v>
      </c>
      <c r="M1180" s="2">
        <v>166268.70000000001</v>
      </c>
      <c r="N1180" s="6" t="s">
        <v>21</v>
      </c>
      <c r="O1180" s="6" t="s">
        <v>45</v>
      </c>
    </row>
    <row r="1181" spans="1:15" x14ac:dyDescent="0.3">
      <c r="A1181" s="2" t="s">
        <v>137</v>
      </c>
      <c r="B1181" s="5">
        <v>45811</v>
      </c>
      <c r="C1181" s="6" t="s">
        <v>54</v>
      </c>
      <c r="D1181" s="6" t="s">
        <v>124</v>
      </c>
      <c r="E1181" s="6" t="s">
        <v>49</v>
      </c>
      <c r="F1181" s="6" t="s">
        <v>34</v>
      </c>
      <c r="G1181" s="6" t="s">
        <v>70</v>
      </c>
      <c r="H1181" s="2">
        <v>8</v>
      </c>
      <c r="I1181" s="2">
        <v>66228.53</v>
      </c>
      <c r="J1181" s="2">
        <v>0.05</v>
      </c>
      <c r="K1181" s="2">
        <v>503336.86</v>
      </c>
      <c r="L1181" s="2">
        <v>325786.71000000002</v>
      </c>
      <c r="M1181" s="2">
        <v>177550.15</v>
      </c>
      <c r="N1181" s="6" t="s">
        <v>29</v>
      </c>
      <c r="O1181" s="6"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CE6B-477D-47D6-8848-C6D5432BB72E}">
  <dimension ref="A3:C16"/>
  <sheetViews>
    <sheetView workbookViewId="0">
      <selection activeCell="M6" sqref="M6"/>
    </sheetView>
  </sheetViews>
  <sheetFormatPr defaultRowHeight="14.4" x14ac:dyDescent="0.3"/>
  <cols>
    <col min="1" max="1" width="12.5546875" bestFit="1" customWidth="1"/>
    <col min="2" max="2" width="15.21875" bestFit="1" customWidth="1"/>
    <col min="3" max="3" width="14.21875" bestFit="1" customWidth="1"/>
  </cols>
  <sheetData>
    <row r="3" spans="1:3" x14ac:dyDescent="0.3">
      <c r="A3" s="13" t="s">
        <v>1365</v>
      </c>
      <c r="B3" s="16" t="s">
        <v>1359</v>
      </c>
      <c r="C3" s="16" t="s">
        <v>1360</v>
      </c>
    </row>
    <row r="4" spans="1:3" x14ac:dyDescent="0.3">
      <c r="A4" s="14" t="s">
        <v>1367</v>
      </c>
      <c r="B4" s="17">
        <v>9421909.3799999971</v>
      </c>
      <c r="C4" s="17">
        <v>2403536.02</v>
      </c>
    </row>
    <row r="5" spans="1:3" x14ac:dyDescent="0.3">
      <c r="A5" s="14" t="s">
        <v>1368</v>
      </c>
      <c r="B5" s="17">
        <v>8311136.0199999996</v>
      </c>
      <c r="C5" s="17">
        <v>2127785.8800000004</v>
      </c>
    </row>
    <row r="6" spans="1:3" x14ac:dyDescent="0.3">
      <c r="A6" s="14" t="s">
        <v>1369</v>
      </c>
      <c r="B6" s="17">
        <v>9710176.5599999987</v>
      </c>
      <c r="C6" s="17">
        <v>2473852.6000000006</v>
      </c>
    </row>
    <row r="7" spans="1:3" x14ac:dyDescent="0.3">
      <c r="A7" s="14" t="s">
        <v>1370</v>
      </c>
      <c r="B7" s="17">
        <v>9549827.879999999</v>
      </c>
      <c r="C7" s="17">
        <v>2401717.5500000003</v>
      </c>
    </row>
    <row r="8" spans="1:3" x14ac:dyDescent="0.3">
      <c r="A8" s="14" t="s">
        <v>1371</v>
      </c>
      <c r="B8" s="17">
        <v>9934935.0200000051</v>
      </c>
      <c r="C8" s="17">
        <v>2598244.65</v>
      </c>
    </row>
    <row r="9" spans="1:3" x14ac:dyDescent="0.3">
      <c r="A9" s="14" t="s">
        <v>1372</v>
      </c>
      <c r="B9" s="17">
        <v>9283745.8599999994</v>
      </c>
      <c r="C9" s="17">
        <v>2412663.6900000004</v>
      </c>
    </row>
    <row r="10" spans="1:3" x14ac:dyDescent="0.3">
      <c r="A10" s="14" t="s">
        <v>1373</v>
      </c>
      <c r="B10" s="17">
        <v>8869023.6099999994</v>
      </c>
      <c r="C10" s="17">
        <v>2187474.35</v>
      </c>
    </row>
    <row r="11" spans="1:3" x14ac:dyDescent="0.3">
      <c r="A11" s="14" t="s">
        <v>1374</v>
      </c>
      <c r="B11" s="17">
        <v>8970946.0600000005</v>
      </c>
      <c r="C11" s="17">
        <v>2253862.8000000003</v>
      </c>
    </row>
    <row r="12" spans="1:3" x14ac:dyDescent="0.3">
      <c r="A12" s="14" t="s">
        <v>1375</v>
      </c>
      <c r="B12" s="17">
        <v>8954553.0199999977</v>
      </c>
      <c r="C12" s="17">
        <v>2381184.3200000003</v>
      </c>
    </row>
    <row r="13" spans="1:3" x14ac:dyDescent="0.3">
      <c r="A13" s="14" t="s">
        <v>1376</v>
      </c>
      <c r="B13" s="17">
        <v>9992152.870000001</v>
      </c>
      <c r="C13" s="17">
        <v>2686815.3800000004</v>
      </c>
    </row>
    <row r="14" spans="1:3" x14ac:dyDescent="0.3">
      <c r="A14" s="14" t="s">
        <v>1377</v>
      </c>
      <c r="B14" s="17">
        <v>12873166.530000005</v>
      </c>
      <c r="C14" s="17">
        <v>3335606.8</v>
      </c>
    </row>
    <row r="15" spans="1:3" x14ac:dyDescent="0.3">
      <c r="A15" s="14" t="s">
        <v>1378</v>
      </c>
      <c r="B15" s="17">
        <v>8891700.3600000013</v>
      </c>
      <c r="C15" s="17">
        <v>2277265.6000000006</v>
      </c>
    </row>
    <row r="16" spans="1:3" x14ac:dyDescent="0.3">
      <c r="A16" s="14" t="s">
        <v>1366</v>
      </c>
      <c r="B16" s="15">
        <v>114763273.17</v>
      </c>
      <c r="C16" s="15">
        <v>29540009.640000001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3A53-566D-4950-9729-7A6A3B95D06A}">
  <dimension ref="A3:G10"/>
  <sheetViews>
    <sheetView workbookViewId="0">
      <selection activeCell="A6" sqref="A6"/>
    </sheetView>
  </sheetViews>
  <sheetFormatPr defaultRowHeight="14.4" x14ac:dyDescent="0.3"/>
  <cols>
    <col min="1" max="1" width="12.5546875" bestFit="1" customWidth="1"/>
    <col min="2" max="2" width="15.21875" bestFit="1" customWidth="1"/>
    <col min="3" max="3" width="14.21875" bestFit="1" customWidth="1"/>
  </cols>
  <sheetData>
    <row r="3" spans="1:7" x14ac:dyDescent="0.3">
      <c r="A3" s="13" t="s">
        <v>1365</v>
      </c>
      <c r="B3" t="s">
        <v>1359</v>
      </c>
      <c r="C3" t="s">
        <v>1360</v>
      </c>
    </row>
    <row r="4" spans="1:7" x14ac:dyDescent="0.3">
      <c r="A4" s="14" t="s">
        <v>63</v>
      </c>
      <c r="B4" s="15">
        <v>22862092.250000007</v>
      </c>
      <c r="C4" s="15">
        <v>5940513.1899999976</v>
      </c>
    </row>
    <row r="5" spans="1:7" x14ac:dyDescent="0.3">
      <c r="A5" s="14" t="s">
        <v>37</v>
      </c>
      <c r="B5" s="15">
        <v>31802414.609999996</v>
      </c>
      <c r="C5" s="15">
        <v>8068792.040000001</v>
      </c>
    </row>
    <row r="6" spans="1:7" x14ac:dyDescent="0.3">
      <c r="A6" s="14" t="s">
        <v>16</v>
      </c>
      <c r="B6" s="15">
        <v>32131258.379999995</v>
      </c>
      <c r="C6" s="15">
        <v>8199036.29</v>
      </c>
    </row>
    <row r="7" spans="1:7" x14ac:dyDescent="0.3">
      <c r="A7" s="14" t="s">
        <v>1356</v>
      </c>
      <c r="B7" s="15">
        <v>659386.41999999993</v>
      </c>
      <c r="C7" s="15">
        <v>188943.9</v>
      </c>
    </row>
    <row r="8" spans="1:7" x14ac:dyDescent="0.3">
      <c r="A8" s="14" t="s">
        <v>54</v>
      </c>
      <c r="B8" s="15">
        <v>27308121.510000009</v>
      </c>
      <c r="C8" s="15">
        <v>7142724.2200000007</v>
      </c>
    </row>
    <row r="9" spans="1:7" x14ac:dyDescent="0.3">
      <c r="A9" s="14" t="s">
        <v>1366</v>
      </c>
      <c r="B9" s="15">
        <v>114763273.17</v>
      </c>
      <c r="C9" s="15">
        <v>29540009.640000001</v>
      </c>
    </row>
    <row r="10" spans="1:7" x14ac:dyDescent="0.3">
      <c r="G10" t="s">
        <v>1379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9C2C-670E-4D3F-8B70-6BE0EA6FF87A}">
  <dimension ref="A3:C8"/>
  <sheetViews>
    <sheetView workbookViewId="0">
      <selection activeCell="A5" sqref="A5"/>
    </sheetView>
  </sheetViews>
  <sheetFormatPr defaultRowHeight="14.4" x14ac:dyDescent="0.3"/>
  <cols>
    <col min="1" max="1" width="15.109375" bestFit="1" customWidth="1"/>
    <col min="2" max="2" width="15.21875" bestFit="1" customWidth="1"/>
    <col min="3" max="3" width="14.21875" bestFit="1" customWidth="1"/>
    <col min="4" max="12" width="7" bestFit="1" customWidth="1"/>
    <col min="13" max="13" width="6" bestFit="1" customWidth="1"/>
    <col min="14" max="14" width="7" bestFit="1" customWidth="1"/>
    <col min="15" max="15" width="6" bestFit="1" customWidth="1"/>
    <col min="16" max="22" width="7" bestFit="1" customWidth="1"/>
    <col min="23" max="23" width="6" bestFit="1" customWidth="1"/>
    <col min="24" max="32" width="7" bestFit="1" customWidth="1"/>
    <col min="33" max="54" width="8" bestFit="1" customWidth="1"/>
    <col min="55" max="55" width="7" bestFit="1" customWidth="1"/>
    <col min="56" max="116" width="8" bestFit="1" customWidth="1"/>
    <col min="117" max="117" width="7" bestFit="1" customWidth="1"/>
    <col min="118" max="124" width="8" bestFit="1" customWidth="1"/>
    <col min="125" max="125" width="7" bestFit="1" customWidth="1"/>
    <col min="126" max="128" width="8" bestFit="1" customWidth="1"/>
    <col min="129" max="129" width="7" bestFit="1" customWidth="1"/>
    <col min="130" max="145" width="8" bestFit="1" customWidth="1"/>
    <col min="146" max="166" width="9" bestFit="1" customWidth="1"/>
    <col min="167" max="168" width="8" bestFit="1" customWidth="1"/>
    <col min="169" max="180" width="9" bestFit="1" customWidth="1"/>
    <col min="181" max="181" width="8" bestFit="1" customWidth="1"/>
    <col min="182" max="182" width="9" bestFit="1" customWidth="1"/>
    <col min="183" max="183" width="8" bestFit="1" customWidth="1"/>
    <col min="184" max="201" width="9" bestFit="1" customWidth="1"/>
    <col min="202" max="202" width="8" bestFit="1" customWidth="1"/>
    <col min="203" max="214" width="9" bestFit="1" customWidth="1"/>
    <col min="215" max="215" width="8" bestFit="1" customWidth="1"/>
    <col min="216" max="217" width="9" bestFit="1" customWidth="1"/>
    <col min="218" max="218" width="8" bestFit="1" customWidth="1"/>
    <col min="219" max="233" width="9" bestFit="1" customWidth="1"/>
    <col min="234" max="234" width="8" bestFit="1" customWidth="1"/>
    <col min="235" max="262" width="9" bestFit="1" customWidth="1"/>
    <col min="263" max="263" width="6" bestFit="1" customWidth="1"/>
    <col min="264" max="273" width="9" bestFit="1" customWidth="1"/>
    <col min="274" max="274" width="6" bestFit="1" customWidth="1"/>
    <col min="275" max="280" width="9" bestFit="1" customWidth="1"/>
    <col min="281" max="281" width="8" bestFit="1" customWidth="1"/>
    <col min="282" max="284" width="9" bestFit="1" customWidth="1"/>
    <col min="285" max="285" width="8" bestFit="1" customWidth="1"/>
    <col min="286" max="292" width="9" bestFit="1" customWidth="1"/>
    <col min="293" max="293" width="8" bestFit="1" customWidth="1"/>
    <col min="294" max="294" width="9" bestFit="1" customWidth="1"/>
    <col min="295" max="295" width="8" bestFit="1" customWidth="1"/>
    <col min="296" max="300" width="9" bestFit="1" customWidth="1"/>
    <col min="301" max="301" width="8" bestFit="1" customWidth="1"/>
    <col min="302" max="307" width="9" bestFit="1" customWidth="1"/>
    <col min="308" max="308" width="8" bestFit="1" customWidth="1"/>
    <col min="309" max="310" width="9" bestFit="1" customWidth="1"/>
    <col min="311" max="311" width="8" bestFit="1" customWidth="1"/>
    <col min="312" max="323" width="9" bestFit="1" customWidth="1"/>
    <col min="324" max="325" width="8" bestFit="1" customWidth="1"/>
    <col min="326" max="332" width="9" bestFit="1" customWidth="1"/>
    <col min="333" max="334" width="8" bestFit="1" customWidth="1"/>
    <col min="335" max="364" width="9" bestFit="1" customWidth="1"/>
    <col min="365" max="365" width="6" bestFit="1" customWidth="1"/>
    <col min="366" max="378" width="9" bestFit="1" customWidth="1"/>
    <col min="379" max="379" width="8" bestFit="1" customWidth="1"/>
    <col min="380" max="391" width="9" bestFit="1" customWidth="1"/>
    <col min="392" max="392" width="8" bestFit="1" customWidth="1"/>
    <col min="393" max="393" width="9" bestFit="1" customWidth="1"/>
    <col min="394" max="395" width="8" bestFit="1" customWidth="1"/>
    <col min="396" max="397" width="9" bestFit="1" customWidth="1"/>
    <col min="398" max="398" width="8" bestFit="1" customWidth="1"/>
    <col min="399" max="400" width="9" bestFit="1" customWidth="1"/>
    <col min="401" max="401" width="8" bestFit="1" customWidth="1"/>
    <col min="402" max="411" width="9" bestFit="1" customWidth="1"/>
    <col min="412" max="413" width="8" bestFit="1" customWidth="1"/>
    <col min="414" max="415" width="9" bestFit="1" customWidth="1"/>
    <col min="416" max="416" width="8" bestFit="1" customWidth="1"/>
    <col min="417" max="440" width="9" bestFit="1" customWidth="1"/>
    <col min="441" max="441" width="8" bestFit="1" customWidth="1"/>
    <col min="442" max="445" width="9" bestFit="1" customWidth="1"/>
    <col min="446" max="446" width="8" bestFit="1" customWidth="1"/>
    <col min="447" max="471" width="9" bestFit="1" customWidth="1"/>
    <col min="472" max="472" width="6" bestFit="1" customWidth="1"/>
    <col min="473" max="476" width="9" bestFit="1" customWidth="1"/>
    <col min="477" max="477" width="8" bestFit="1" customWidth="1"/>
    <col min="478" max="480" width="9" bestFit="1" customWidth="1"/>
    <col min="481" max="481" width="6" bestFit="1" customWidth="1"/>
    <col min="482" max="489" width="9" bestFit="1" customWidth="1"/>
    <col min="490" max="490" width="8" bestFit="1" customWidth="1"/>
    <col min="491" max="491" width="9" bestFit="1" customWidth="1"/>
    <col min="492" max="492" width="8" bestFit="1" customWidth="1"/>
    <col min="493" max="503" width="9" bestFit="1" customWidth="1"/>
    <col min="504" max="504" width="8" bestFit="1" customWidth="1"/>
    <col min="505" max="505" width="9" bestFit="1" customWidth="1"/>
    <col min="506" max="506" width="8" bestFit="1" customWidth="1"/>
    <col min="507" max="507" width="9" bestFit="1" customWidth="1"/>
    <col min="508" max="508" width="8" bestFit="1" customWidth="1"/>
    <col min="509" max="511" width="9" bestFit="1" customWidth="1"/>
    <col min="512" max="514" width="8" bestFit="1" customWidth="1"/>
    <col min="515" max="515" width="9" bestFit="1" customWidth="1"/>
    <col min="516" max="516" width="8" bestFit="1" customWidth="1"/>
    <col min="517" max="525" width="9" bestFit="1" customWidth="1"/>
    <col min="526" max="526" width="8" bestFit="1" customWidth="1"/>
    <col min="527" max="544" width="9" bestFit="1" customWidth="1"/>
    <col min="545" max="545" width="8" bestFit="1" customWidth="1"/>
    <col min="546" max="563" width="9" bestFit="1" customWidth="1"/>
    <col min="564" max="564" width="8" bestFit="1" customWidth="1"/>
    <col min="565" max="574" width="9" bestFit="1" customWidth="1"/>
    <col min="575" max="575" width="8" bestFit="1" customWidth="1"/>
    <col min="576" max="609" width="9" bestFit="1" customWidth="1"/>
    <col min="610" max="610" width="8" bestFit="1" customWidth="1"/>
    <col min="611" max="611" width="9" bestFit="1" customWidth="1"/>
    <col min="612" max="612" width="8" bestFit="1" customWidth="1"/>
    <col min="613" max="619" width="9" bestFit="1" customWidth="1"/>
    <col min="620" max="620" width="8" bestFit="1" customWidth="1"/>
    <col min="621" max="625" width="9" bestFit="1" customWidth="1"/>
    <col min="626" max="626" width="8" bestFit="1" customWidth="1"/>
    <col min="627" max="654" width="9" bestFit="1" customWidth="1"/>
    <col min="655" max="656" width="8" bestFit="1" customWidth="1"/>
    <col min="657" max="657" width="9" bestFit="1" customWidth="1"/>
    <col min="658" max="658" width="8" bestFit="1" customWidth="1"/>
    <col min="659" max="671" width="9" bestFit="1" customWidth="1"/>
    <col min="672" max="672" width="8" bestFit="1" customWidth="1"/>
    <col min="673" max="673" width="9" bestFit="1" customWidth="1"/>
    <col min="674" max="674" width="8" bestFit="1" customWidth="1"/>
    <col min="675" max="691" width="9" bestFit="1" customWidth="1"/>
    <col min="692" max="692" width="8" bestFit="1" customWidth="1"/>
    <col min="693" max="696" width="9" bestFit="1" customWidth="1"/>
    <col min="697" max="697" width="8" bestFit="1" customWidth="1"/>
    <col min="698" max="701" width="9" bestFit="1" customWidth="1"/>
    <col min="702" max="702" width="8" bestFit="1" customWidth="1"/>
    <col min="703" max="712" width="9" bestFit="1" customWidth="1"/>
    <col min="713" max="713" width="8" bestFit="1" customWidth="1"/>
    <col min="714" max="724" width="9" bestFit="1" customWidth="1"/>
    <col min="725" max="727" width="8" bestFit="1" customWidth="1"/>
    <col min="728" max="737" width="9" bestFit="1" customWidth="1"/>
    <col min="738" max="738" width="7" bestFit="1" customWidth="1"/>
    <col min="739" max="756" width="10" bestFit="1" customWidth="1"/>
    <col min="757" max="757" width="9" bestFit="1" customWidth="1"/>
    <col min="758" max="759" width="10" bestFit="1" customWidth="1"/>
    <col min="760" max="760" width="9" bestFit="1" customWidth="1"/>
    <col min="761" max="762" width="10" bestFit="1" customWidth="1"/>
    <col min="763" max="763" width="9" bestFit="1" customWidth="1"/>
    <col min="764" max="830" width="10" bestFit="1" customWidth="1"/>
    <col min="831" max="831" width="9" bestFit="1" customWidth="1"/>
    <col min="832" max="832" width="10" bestFit="1" customWidth="1"/>
    <col min="833" max="833" width="9" bestFit="1" customWidth="1"/>
    <col min="834" max="840" width="10" bestFit="1" customWidth="1"/>
    <col min="841" max="841" width="7" bestFit="1" customWidth="1"/>
    <col min="842" max="846" width="10" bestFit="1" customWidth="1"/>
    <col min="847" max="847" width="9" bestFit="1" customWidth="1"/>
    <col min="848" max="863" width="10" bestFit="1" customWidth="1"/>
    <col min="864" max="864" width="9" bestFit="1" customWidth="1"/>
    <col min="865" max="869" width="10" bestFit="1" customWidth="1"/>
    <col min="870" max="870" width="9" bestFit="1" customWidth="1"/>
    <col min="871" max="888" width="10" bestFit="1" customWidth="1"/>
    <col min="889" max="889" width="9" bestFit="1" customWidth="1"/>
    <col min="890" max="891" width="10" bestFit="1" customWidth="1"/>
    <col min="892" max="893" width="9" bestFit="1" customWidth="1"/>
    <col min="894" max="898" width="10" bestFit="1" customWidth="1"/>
    <col min="899" max="899" width="9" bestFit="1" customWidth="1"/>
    <col min="900" max="908" width="10" bestFit="1" customWidth="1"/>
    <col min="909" max="909" width="7" bestFit="1" customWidth="1"/>
    <col min="910" max="913" width="10" bestFit="1" customWidth="1"/>
    <col min="914" max="914" width="9" bestFit="1" customWidth="1"/>
    <col min="915" max="916" width="10" bestFit="1" customWidth="1"/>
    <col min="917" max="917" width="9" bestFit="1" customWidth="1"/>
    <col min="918" max="934" width="10" bestFit="1" customWidth="1"/>
    <col min="935" max="937" width="9" bestFit="1" customWidth="1"/>
    <col min="938" max="945" width="10" bestFit="1" customWidth="1"/>
    <col min="946" max="946" width="9" bestFit="1" customWidth="1"/>
    <col min="947" max="951" width="10" bestFit="1" customWidth="1"/>
    <col min="952" max="952" width="9" bestFit="1" customWidth="1"/>
    <col min="953" max="960" width="10" bestFit="1" customWidth="1"/>
    <col min="961" max="961" width="9" bestFit="1" customWidth="1"/>
    <col min="962" max="987" width="10" bestFit="1" customWidth="1"/>
    <col min="988" max="988" width="9" bestFit="1" customWidth="1"/>
    <col min="989" max="1003" width="10" bestFit="1" customWidth="1"/>
    <col min="1004" max="1004" width="9" bestFit="1" customWidth="1"/>
    <col min="1005" max="1007" width="10" bestFit="1" customWidth="1"/>
    <col min="1008" max="1009" width="7" bestFit="1" customWidth="1"/>
    <col min="1010" max="1029" width="10" bestFit="1" customWidth="1"/>
    <col min="1030" max="1030" width="9" bestFit="1" customWidth="1"/>
    <col min="1031" max="1031" width="10" bestFit="1" customWidth="1"/>
    <col min="1032" max="1032" width="9" bestFit="1" customWidth="1"/>
    <col min="1033" max="1035" width="10" bestFit="1" customWidth="1"/>
    <col min="1036" max="1036" width="9" bestFit="1" customWidth="1"/>
    <col min="1037" max="1040" width="10" bestFit="1" customWidth="1"/>
    <col min="1041" max="1041" width="9" bestFit="1" customWidth="1"/>
    <col min="1042" max="1045" width="10" bestFit="1" customWidth="1"/>
    <col min="1046" max="1046" width="9" bestFit="1" customWidth="1"/>
    <col min="1047" max="1066" width="10" bestFit="1" customWidth="1"/>
    <col min="1067" max="1067" width="9" bestFit="1" customWidth="1"/>
    <col min="1068" max="1075" width="10" bestFit="1" customWidth="1"/>
    <col min="1076" max="1076" width="7" bestFit="1" customWidth="1"/>
    <col min="1077" max="1080" width="10" bestFit="1" customWidth="1"/>
    <col min="1081" max="1081" width="9" bestFit="1" customWidth="1"/>
    <col min="1082" max="1092" width="10" bestFit="1" customWidth="1"/>
    <col min="1093" max="1093" width="9" bestFit="1" customWidth="1"/>
    <col min="1094" max="1095" width="10" bestFit="1" customWidth="1"/>
    <col min="1096" max="1096" width="9" bestFit="1" customWidth="1"/>
    <col min="1097" max="1101" width="10" bestFit="1" customWidth="1"/>
    <col min="1102" max="1102" width="9" bestFit="1" customWidth="1"/>
    <col min="1103" max="1107" width="10" bestFit="1" customWidth="1"/>
    <col min="1108" max="1108" width="9" bestFit="1" customWidth="1"/>
    <col min="1109" max="1124" width="10" bestFit="1" customWidth="1"/>
    <col min="1125" max="1125" width="9" bestFit="1" customWidth="1"/>
    <col min="1126" max="1144" width="10" bestFit="1" customWidth="1"/>
    <col min="1145" max="1145" width="9" bestFit="1" customWidth="1"/>
    <col min="1146" max="1151" width="10" bestFit="1" customWidth="1"/>
    <col min="1152" max="1152" width="9" bestFit="1" customWidth="1"/>
    <col min="1153" max="1173" width="10" bestFit="1" customWidth="1"/>
    <col min="1174" max="1174" width="9" bestFit="1" customWidth="1"/>
    <col min="1175" max="1175" width="10" bestFit="1" customWidth="1"/>
    <col min="1176" max="1176" width="9" bestFit="1" customWidth="1"/>
    <col min="1177" max="1177" width="10" bestFit="1" customWidth="1"/>
    <col min="1178" max="1178" width="10.77734375" bestFit="1" customWidth="1"/>
  </cols>
  <sheetData>
    <row r="3" spans="1:3" x14ac:dyDescent="0.3">
      <c r="A3" s="13" t="s">
        <v>1365</v>
      </c>
      <c r="B3" t="s">
        <v>1359</v>
      </c>
      <c r="C3" t="s">
        <v>1360</v>
      </c>
    </row>
    <row r="4" spans="1:3" x14ac:dyDescent="0.3">
      <c r="A4" s="14" t="s">
        <v>34</v>
      </c>
      <c r="B4" s="15">
        <v>49794962.419999994</v>
      </c>
      <c r="C4" s="15">
        <v>12880499.810000006</v>
      </c>
    </row>
    <row r="5" spans="1:3" x14ac:dyDescent="0.3">
      <c r="A5" s="14" t="s">
        <v>27</v>
      </c>
      <c r="B5" s="15">
        <v>17817791.090000004</v>
      </c>
      <c r="C5" s="15">
        <v>4649348.1999999983</v>
      </c>
    </row>
    <row r="6" spans="1:3" x14ac:dyDescent="0.3">
      <c r="A6" s="14" t="s">
        <v>43</v>
      </c>
      <c r="B6" s="15">
        <v>39199478.479999989</v>
      </c>
      <c r="C6" s="15">
        <v>9928626.7300000023</v>
      </c>
    </row>
    <row r="7" spans="1:3" x14ac:dyDescent="0.3">
      <c r="A7" s="14" t="s">
        <v>19</v>
      </c>
      <c r="B7" s="15">
        <v>7951041.1800000016</v>
      </c>
      <c r="C7" s="15">
        <v>2081534.9000000001</v>
      </c>
    </row>
    <row r="8" spans="1:3" x14ac:dyDescent="0.3">
      <c r="A8" s="14" t="s">
        <v>1366</v>
      </c>
      <c r="B8" s="15">
        <v>114763273.16999999</v>
      </c>
      <c r="C8" s="15">
        <v>29540009.640000008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790C-9397-4BCF-9032-99B93CCFCCA1}">
  <dimension ref="A3:C24"/>
  <sheetViews>
    <sheetView workbookViewId="0">
      <selection activeCell="Q1" sqref="Q1"/>
    </sheetView>
  </sheetViews>
  <sheetFormatPr defaultRowHeight="14.4" x14ac:dyDescent="0.3"/>
  <cols>
    <col min="1" max="1" width="15.44140625" bestFit="1" customWidth="1"/>
    <col min="2" max="2" width="15.21875" bestFit="1" customWidth="1"/>
    <col min="3" max="3" width="14.21875" bestFit="1" customWidth="1"/>
    <col min="4" max="4" width="14.88671875" bestFit="1" customWidth="1"/>
  </cols>
  <sheetData>
    <row r="3" spans="1:3" x14ac:dyDescent="0.3">
      <c r="A3" s="13" t="s">
        <v>1365</v>
      </c>
      <c r="B3" t="s">
        <v>1359</v>
      </c>
      <c r="C3" t="s">
        <v>1360</v>
      </c>
    </row>
    <row r="4" spans="1:3" x14ac:dyDescent="0.3">
      <c r="A4" s="14" t="s">
        <v>70</v>
      </c>
      <c r="B4" s="15">
        <v>21947898.460000001</v>
      </c>
      <c r="C4" s="15">
        <v>5735129.7800000003</v>
      </c>
    </row>
    <row r="5" spans="1:3" x14ac:dyDescent="0.3">
      <c r="A5" s="14" t="s">
        <v>91</v>
      </c>
      <c r="B5" s="15">
        <v>15323678.76</v>
      </c>
      <c r="C5" s="15">
        <v>3706946.9099999997</v>
      </c>
    </row>
    <row r="6" spans="1:3" x14ac:dyDescent="0.3">
      <c r="A6" s="14" t="s">
        <v>75</v>
      </c>
      <c r="B6" s="15">
        <v>10078774.870000001</v>
      </c>
      <c r="C6" s="15">
        <v>2541211.7500000005</v>
      </c>
    </row>
    <row r="7" spans="1:3" x14ac:dyDescent="0.3">
      <c r="A7" s="14" t="s">
        <v>84</v>
      </c>
      <c r="B7" s="15">
        <v>9941796.7799999975</v>
      </c>
      <c r="C7" s="15">
        <v>2662958.6300000008</v>
      </c>
    </row>
    <row r="8" spans="1:3" x14ac:dyDescent="0.3">
      <c r="A8" s="14" t="s">
        <v>57</v>
      </c>
      <c r="B8" s="15">
        <v>9818728.9799999986</v>
      </c>
      <c r="C8" s="15">
        <v>2511674.6099999994</v>
      </c>
    </row>
    <row r="9" spans="1:3" x14ac:dyDescent="0.3">
      <c r="A9" s="14" t="s">
        <v>39</v>
      </c>
      <c r="B9" s="15">
        <v>9761957.8299999982</v>
      </c>
      <c r="C9" s="15">
        <v>2571841.1799999997</v>
      </c>
    </row>
    <row r="10" spans="1:3" x14ac:dyDescent="0.3">
      <c r="A10" s="14" t="s">
        <v>35</v>
      </c>
      <c r="B10" s="15">
        <v>6934566.5399999982</v>
      </c>
      <c r="C10" s="15">
        <v>1725547.17</v>
      </c>
    </row>
    <row r="11" spans="1:3" x14ac:dyDescent="0.3">
      <c r="A11" s="14" t="s">
        <v>89</v>
      </c>
      <c r="B11" s="15">
        <v>5682407.0699999984</v>
      </c>
      <c r="C11" s="15">
        <v>1565870.9400000002</v>
      </c>
    </row>
    <row r="12" spans="1:3" x14ac:dyDescent="0.3">
      <c r="A12" s="14" t="s">
        <v>50</v>
      </c>
      <c r="B12" s="15">
        <v>4412698.8499999996</v>
      </c>
      <c r="C12" s="15">
        <v>1032446.3100000002</v>
      </c>
    </row>
    <row r="13" spans="1:3" x14ac:dyDescent="0.3">
      <c r="A13" s="14" t="s">
        <v>28</v>
      </c>
      <c r="B13" s="15">
        <v>4199874.32</v>
      </c>
      <c r="C13" s="15">
        <v>1166260.8399999999</v>
      </c>
    </row>
    <row r="14" spans="1:3" x14ac:dyDescent="0.3">
      <c r="A14" s="14" t="s">
        <v>108</v>
      </c>
      <c r="B14" s="15">
        <v>3261707.1899999995</v>
      </c>
      <c r="C14" s="15">
        <v>840484.97</v>
      </c>
    </row>
    <row r="15" spans="1:3" x14ac:dyDescent="0.3">
      <c r="A15" s="14" t="s">
        <v>106</v>
      </c>
      <c r="B15" s="15">
        <v>2916989.0799999987</v>
      </c>
      <c r="C15" s="15">
        <v>791062.77000000014</v>
      </c>
    </row>
    <row r="16" spans="1:3" x14ac:dyDescent="0.3">
      <c r="A16" s="14" t="s">
        <v>44</v>
      </c>
      <c r="B16" s="15">
        <v>2418829.04</v>
      </c>
      <c r="C16" s="15">
        <v>636291.38000000012</v>
      </c>
    </row>
    <row r="17" spans="1:3" x14ac:dyDescent="0.3">
      <c r="A17" s="14" t="s">
        <v>125</v>
      </c>
      <c r="B17" s="15">
        <v>1839236.3299999998</v>
      </c>
      <c r="C17" s="15">
        <v>463717.64000000013</v>
      </c>
    </row>
    <row r="18" spans="1:3" x14ac:dyDescent="0.3">
      <c r="A18" s="14" t="s">
        <v>66</v>
      </c>
      <c r="B18" s="15">
        <v>1683574.5199999998</v>
      </c>
      <c r="C18" s="15">
        <v>421052.47</v>
      </c>
    </row>
    <row r="19" spans="1:3" x14ac:dyDescent="0.3">
      <c r="A19" s="14" t="s">
        <v>61</v>
      </c>
      <c r="B19" s="15">
        <v>1605928.65</v>
      </c>
      <c r="C19" s="15">
        <v>403511.07999999996</v>
      </c>
    </row>
    <row r="20" spans="1:3" x14ac:dyDescent="0.3">
      <c r="A20" s="14" t="s">
        <v>121</v>
      </c>
      <c r="B20" s="15">
        <v>1436399.0300000005</v>
      </c>
      <c r="C20" s="15">
        <v>381218.06</v>
      </c>
    </row>
    <row r="21" spans="1:3" x14ac:dyDescent="0.3">
      <c r="A21" s="14" t="s">
        <v>80</v>
      </c>
      <c r="B21" s="15">
        <v>1331810.6099999999</v>
      </c>
      <c r="C21" s="15">
        <v>336307.07000000007</v>
      </c>
    </row>
    <row r="22" spans="1:3" x14ac:dyDescent="0.3">
      <c r="A22" s="14" t="s">
        <v>20</v>
      </c>
      <c r="B22" s="15">
        <v>122002.77999999998</v>
      </c>
      <c r="C22" s="15">
        <v>34681.749999999993</v>
      </c>
    </row>
    <row r="23" spans="1:3" x14ac:dyDescent="0.3">
      <c r="A23" s="14" t="s">
        <v>102</v>
      </c>
      <c r="B23" s="15">
        <v>44413.479999999996</v>
      </c>
      <c r="C23" s="15">
        <v>11794.329999999998</v>
      </c>
    </row>
    <row r="24" spans="1:3" x14ac:dyDescent="0.3">
      <c r="A24" s="14" t="s">
        <v>1366</v>
      </c>
      <c r="B24" s="15">
        <v>114763273.16999999</v>
      </c>
      <c r="C24" s="15">
        <v>29540009.640000004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C6F8F-9323-4392-A066-F81EC43E4B6B}">
  <dimension ref="A3:C13"/>
  <sheetViews>
    <sheetView zoomScale="106" workbookViewId="0">
      <selection activeCell="L4" sqref="L4"/>
    </sheetView>
  </sheetViews>
  <sheetFormatPr defaultRowHeight="14.4" x14ac:dyDescent="0.3"/>
  <cols>
    <col min="1" max="1" width="12.5546875" bestFit="1" customWidth="1"/>
    <col min="2" max="2" width="13.109375" bestFit="1" customWidth="1"/>
    <col min="3" max="3" width="12.44140625" bestFit="1" customWidth="1"/>
    <col min="4" max="4" width="15.21875" bestFit="1" customWidth="1"/>
  </cols>
  <sheetData>
    <row r="3" spans="1:3" x14ac:dyDescent="0.3">
      <c r="A3" s="13" t="s">
        <v>1365</v>
      </c>
      <c r="B3" t="s">
        <v>1359</v>
      </c>
      <c r="C3" t="s">
        <v>1360</v>
      </c>
    </row>
    <row r="4" spans="1:3" x14ac:dyDescent="0.3">
      <c r="A4" s="14" t="s">
        <v>18</v>
      </c>
      <c r="B4" s="4">
        <v>15884615.610000001</v>
      </c>
      <c r="C4" s="4">
        <v>3933996.5399999996</v>
      </c>
    </row>
    <row r="5" spans="1:3" x14ac:dyDescent="0.3">
      <c r="A5" s="14" t="s">
        <v>26</v>
      </c>
      <c r="B5" s="4">
        <v>15229045.26</v>
      </c>
      <c r="C5" s="4">
        <v>3965627.7899999996</v>
      </c>
    </row>
    <row r="6" spans="1:3" x14ac:dyDescent="0.3">
      <c r="A6" s="14" t="s">
        <v>49</v>
      </c>
      <c r="B6" s="4">
        <v>15171648.040000003</v>
      </c>
      <c r="C6" s="4">
        <v>4024259.0800000005</v>
      </c>
    </row>
    <row r="7" spans="1:3" x14ac:dyDescent="0.3">
      <c r="A7" s="14" t="s">
        <v>56</v>
      </c>
      <c r="B7" s="4">
        <v>14653315.679999996</v>
      </c>
      <c r="C7" s="4">
        <v>3668662.830000001</v>
      </c>
    </row>
    <row r="8" spans="1:3" x14ac:dyDescent="0.3">
      <c r="A8" s="14" t="s">
        <v>69</v>
      </c>
      <c r="B8" s="4">
        <v>14531745.850000003</v>
      </c>
      <c r="C8" s="4">
        <v>3739093.45</v>
      </c>
    </row>
    <row r="9" spans="1:3" x14ac:dyDescent="0.3">
      <c r="A9" s="14" t="s">
        <v>65</v>
      </c>
      <c r="B9" s="4">
        <v>13597235.319999995</v>
      </c>
      <c r="C9" s="4">
        <v>3402812.8300000005</v>
      </c>
    </row>
    <row r="10" spans="1:3" x14ac:dyDescent="0.3">
      <c r="A10" s="14" t="s">
        <v>74</v>
      </c>
      <c r="B10" s="4">
        <v>12956291.080000004</v>
      </c>
      <c r="C10" s="4">
        <v>3520397.06</v>
      </c>
    </row>
    <row r="11" spans="1:3" x14ac:dyDescent="0.3">
      <c r="A11" s="14" t="s">
        <v>33</v>
      </c>
      <c r="B11" s="4">
        <v>11734341.830000002</v>
      </c>
      <c r="C11" s="4">
        <v>2986407.0700000003</v>
      </c>
    </row>
    <row r="12" spans="1:3" x14ac:dyDescent="0.3">
      <c r="A12" s="14" t="s">
        <v>1356</v>
      </c>
      <c r="B12" s="4">
        <v>1005034.5</v>
      </c>
      <c r="C12" s="4">
        <v>298752.99</v>
      </c>
    </row>
    <row r="13" spans="1:3" x14ac:dyDescent="0.3">
      <c r="A13" s="14" t="s">
        <v>1366</v>
      </c>
      <c r="B13" s="4">
        <v>114763273.17000002</v>
      </c>
      <c r="C13" s="4">
        <v>29540009.640000001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A48FA-CFD6-4D2D-8F1A-7358E5631F05}">
  <dimension ref="A3:C10"/>
  <sheetViews>
    <sheetView zoomScale="85" zoomScaleNormal="85" workbookViewId="0">
      <selection activeCell="J20" sqref="J20"/>
    </sheetView>
  </sheetViews>
  <sheetFormatPr defaultRowHeight="14.4" x14ac:dyDescent="0.3"/>
  <cols>
    <col min="1" max="1" width="13.44140625" bestFit="1" customWidth="1"/>
    <col min="2" max="2" width="15.6640625" bestFit="1" customWidth="1"/>
    <col min="3" max="3" width="14.6640625" bestFit="1" customWidth="1"/>
  </cols>
  <sheetData>
    <row r="3" spans="1:3" x14ac:dyDescent="0.3">
      <c r="A3" s="13" t="s">
        <v>1380</v>
      </c>
      <c r="B3" s="22" t="s">
        <v>1359</v>
      </c>
      <c r="C3" s="23" t="s">
        <v>1360</v>
      </c>
    </row>
    <row r="4" spans="1:3" x14ac:dyDescent="0.3">
      <c r="A4" s="20">
        <v>0</v>
      </c>
      <c r="B4" s="15">
        <v>19418494.16</v>
      </c>
      <c r="C4" s="15">
        <v>4699612.919999999</v>
      </c>
    </row>
    <row r="5" spans="1:3" x14ac:dyDescent="0.3">
      <c r="A5" s="20">
        <v>0.03</v>
      </c>
      <c r="B5" s="15">
        <v>20083786.150000002</v>
      </c>
      <c r="C5" s="15">
        <v>5377251.0899999999</v>
      </c>
    </row>
    <row r="6" spans="1:3" x14ac:dyDescent="0.3">
      <c r="A6" s="20">
        <v>0.05</v>
      </c>
      <c r="B6" s="15">
        <v>31962182.320000008</v>
      </c>
      <c r="C6" s="15">
        <v>8283033.1100000013</v>
      </c>
    </row>
    <row r="7" spans="1:3" x14ac:dyDescent="0.3">
      <c r="A7" s="20">
        <v>0.08</v>
      </c>
      <c r="B7" s="15">
        <v>19560062.710000001</v>
      </c>
      <c r="C7" s="15">
        <v>5248118.549999998</v>
      </c>
    </row>
    <row r="8" spans="1:3" x14ac:dyDescent="0.3">
      <c r="A8" s="20">
        <v>0.1</v>
      </c>
      <c r="B8" s="15">
        <v>18841565.010000002</v>
      </c>
      <c r="C8" s="15">
        <v>4736774.49</v>
      </c>
    </row>
    <row r="9" spans="1:3" x14ac:dyDescent="0.3">
      <c r="A9" s="20">
        <v>0.15</v>
      </c>
      <c r="B9" s="15">
        <v>4897182.82</v>
      </c>
      <c r="C9" s="15">
        <v>1195219.48</v>
      </c>
    </row>
    <row r="10" spans="1:3" x14ac:dyDescent="0.3">
      <c r="A10" s="14" t="s">
        <v>1366</v>
      </c>
      <c r="B10" s="15">
        <v>114763273.17000002</v>
      </c>
      <c r="C10" s="15">
        <v>29540009.639999997</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2956D-B73A-4FF9-9FAC-A97565080927}">
  <dimension ref="A1:L16"/>
  <sheetViews>
    <sheetView workbookViewId="0">
      <selection activeCell="E16" sqref="E16"/>
    </sheetView>
  </sheetViews>
  <sheetFormatPr defaultRowHeight="14.4" x14ac:dyDescent="0.3"/>
  <cols>
    <col min="1" max="1" width="13.21875" bestFit="1" customWidth="1"/>
    <col min="2" max="2" width="12" bestFit="1" customWidth="1"/>
    <col min="3" max="3" width="12.109375" bestFit="1" customWidth="1"/>
    <col min="4" max="4" width="16.44140625" bestFit="1" customWidth="1"/>
    <col min="5" max="5" width="14.88671875" customWidth="1"/>
    <col min="6" max="6" width="12.21875" customWidth="1"/>
    <col min="7" max="7" width="11.88671875" customWidth="1"/>
    <col min="8" max="8" width="12.109375" bestFit="1" customWidth="1"/>
    <col min="9" max="9" width="17.77734375" bestFit="1" customWidth="1"/>
    <col min="11" max="11" width="20.44140625" customWidth="1"/>
    <col min="12" max="12" width="11" bestFit="1" customWidth="1"/>
  </cols>
  <sheetData>
    <row r="1" spans="1:12" x14ac:dyDescent="0.3">
      <c r="A1" s="9" t="s">
        <v>1357</v>
      </c>
      <c r="B1" s="10" t="s">
        <v>1358</v>
      </c>
      <c r="D1" s="25" t="s">
        <v>1381</v>
      </c>
      <c r="K1" s="30" t="s">
        <v>1384</v>
      </c>
      <c r="L1" s="29" t="s">
        <v>63</v>
      </c>
    </row>
    <row r="2" spans="1:12" x14ac:dyDescent="0.3">
      <c r="A2" s="8" t="s">
        <v>1359</v>
      </c>
      <c r="B2" s="12">
        <f>SUM(Cleaned_Sales_Data[Revenue])</f>
        <v>114763273.16999999</v>
      </c>
      <c r="D2" t="s">
        <v>2</v>
      </c>
      <c r="E2" t="s">
        <v>1359</v>
      </c>
      <c r="F2" t="s">
        <v>1360</v>
      </c>
      <c r="G2" t="s">
        <v>1382</v>
      </c>
      <c r="H2" t="s">
        <v>1364</v>
      </c>
      <c r="I2" t="s">
        <v>1383</v>
      </c>
      <c r="K2" t="s">
        <v>1359</v>
      </c>
      <c r="L2">
        <f>_xlfn.XLOOKUP($L$1,$D$3:$D$7,$E$3:$E$7,"Not Found")</f>
        <v>22862092.250000007</v>
      </c>
    </row>
    <row r="3" spans="1:12" x14ac:dyDescent="0.3">
      <c r="A3" s="8" t="s">
        <v>1360</v>
      </c>
      <c r="B3" s="12">
        <f>SUM(Cleaned_Sales_Data[Profit])</f>
        <v>29540009.639999971</v>
      </c>
      <c r="C3" s="7"/>
      <c r="D3" s="24" t="s">
        <v>16</v>
      </c>
      <c r="E3" s="26">
        <f>SUMIFS(Cleaned_Sales_Data[Revenue],Cleaned_Sales_Data[Region],Table1[[#This Row],[Region]])</f>
        <v>32131258.379999995</v>
      </c>
      <c r="F3" s="26">
        <f>SUMIFS(Cleaned_Sales_Data[Profit],Cleaned_Sales_Data[Region],Table1[[#This Row],[Region]])</f>
        <v>8199036.29</v>
      </c>
      <c r="G3" s="27">
        <f>COUNTIFS(Cleaned_Sales_Data[Region],D3)</f>
        <v>331</v>
      </c>
      <c r="H3" s="28">
        <f>Table1[[#This Row],[Total Profit]]/Table1[[#This Row],[Total Revenue]]</f>
        <v>0.25517320837653423</v>
      </c>
      <c r="I3" t="str">
        <f>IF(H3&gt;=25%,"Healthy","Needs Review")</f>
        <v>Healthy</v>
      </c>
      <c r="K3" t="s">
        <v>1360</v>
      </c>
      <c r="L3">
        <f>_xlfn.XLOOKUP(L1,$D$3:$D$7,$F$3:$F$7,"Not Found")</f>
        <v>5940513.1899999976</v>
      </c>
    </row>
    <row r="4" spans="1:12" x14ac:dyDescent="0.3">
      <c r="A4" s="8" t="s">
        <v>1361</v>
      </c>
      <c r="B4" s="19">
        <f>COUNTA(Cleaned_Sales_Data[Order_ID])</f>
        <v>1180</v>
      </c>
      <c r="D4" s="21" t="s">
        <v>37</v>
      </c>
      <c r="E4" s="26">
        <f>SUMIFS(Cleaned_Sales_Data[Revenue],Cleaned_Sales_Data[Region],Table1[[#This Row],[Region]])</f>
        <v>31802414.609999996</v>
      </c>
      <c r="F4" s="26">
        <f>SUMIFS(Cleaned_Sales_Data[Profit],Cleaned_Sales_Data[Region],Table1[[#This Row],[Region]])</f>
        <v>8068792.040000001</v>
      </c>
      <c r="G4" s="27">
        <f>COUNTIFS(Cleaned_Sales_Data[Region],D4)</f>
        <v>325</v>
      </c>
      <c r="H4" s="28">
        <f>Table1[[#This Row],[Total Profit]]/Table1[[#This Row],[Total Revenue]]</f>
        <v>0.25371633377368896</v>
      </c>
      <c r="I4" t="str">
        <f t="shared" ref="I4:I7" si="0">IF(H4&gt;=25%,"Healthy","Needs Review")</f>
        <v>Healthy</v>
      </c>
      <c r="K4" t="s">
        <v>1382</v>
      </c>
      <c r="L4">
        <f>_xlfn.XLOOKUP(L1,$D$3:$D$7,$G$3:$G$7,"Not Found")</f>
        <v>260</v>
      </c>
    </row>
    <row r="5" spans="1:12" x14ac:dyDescent="0.3">
      <c r="A5" s="8" t="s">
        <v>1362</v>
      </c>
      <c r="B5" s="19">
        <f>SUM(Cleaned_Sales_Data[Quantity])</f>
        <v>5218</v>
      </c>
      <c r="D5" s="21" t="s">
        <v>63</v>
      </c>
      <c r="E5" s="26">
        <f>SUMIFS(Cleaned_Sales_Data[Revenue],Cleaned_Sales_Data[Region],Table1[[#This Row],[Region]])</f>
        <v>22862092.250000007</v>
      </c>
      <c r="F5" s="26">
        <f>SUMIFS(Cleaned_Sales_Data[Profit],Cleaned_Sales_Data[Region],Table1[[#This Row],[Region]])</f>
        <v>5940513.1899999976</v>
      </c>
      <c r="G5" s="27">
        <f>COUNTIFS(Cleaned_Sales_Data[Region],D5)</f>
        <v>260</v>
      </c>
      <c r="H5" s="28">
        <f>Table1[[#This Row],[Total Profit]]/Table1[[#This Row],[Total Revenue]]</f>
        <v>0.25984118710744841</v>
      </c>
      <c r="I5" t="str">
        <f t="shared" si="0"/>
        <v>Healthy</v>
      </c>
      <c r="K5" t="s">
        <v>1364</v>
      </c>
      <c r="L5" s="28">
        <f>_xlfn.XLOOKUP(L1,$D$3:$D$7,$H$3:$H$7,"Not Found")</f>
        <v>0.25984118710744841</v>
      </c>
    </row>
    <row r="6" spans="1:12" ht="16.2" customHeight="1" x14ac:dyDescent="0.3">
      <c r="A6" s="8" t="s">
        <v>1363</v>
      </c>
      <c r="B6" s="12">
        <f>SUM(Cleaned_Sales_Data[Revenue])/COUNTA(Cleaned_Sales_Data[Order_ID])</f>
        <v>97257.011161016941</v>
      </c>
      <c r="D6" s="21" t="s">
        <v>54</v>
      </c>
      <c r="E6" s="26">
        <f>SUMIFS(Cleaned_Sales_Data[Revenue],Cleaned_Sales_Data[Region],Table1[[#This Row],[Region]])</f>
        <v>27308121.510000009</v>
      </c>
      <c r="F6" s="26">
        <f>SUMIFS(Cleaned_Sales_Data[Profit],Cleaned_Sales_Data[Region],Table1[[#This Row],[Region]])</f>
        <v>7142724.2200000007</v>
      </c>
      <c r="G6" s="27">
        <f>COUNTIFS(Cleaned_Sales_Data[Region],D6)</f>
        <v>256</v>
      </c>
      <c r="H6" s="28">
        <f>Table1[[#This Row],[Total Profit]]/Table1[[#This Row],[Total Revenue]]</f>
        <v>0.26156043788601108</v>
      </c>
      <c r="I6" t="str">
        <f t="shared" si="0"/>
        <v>Healthy</v>
      </c>
    </row>
    <row r="7" spans="1:12" ht="18" customHeight="1" x14ac:dyDescent="0.3">
      <c r="A7" s="11" t="s">
        <v>1364</v>
      </c>
      <c r="B7" s="18">
        <f>SUM(Cleaned_Sales_Data[Profit])/SUM(Cleaned_Sales_Data[Revenue])</f>
        <v>0.25739950442370235</v>
      </c>
      <c r="D7" s="21" t="s">
        <v>1356</v>
      </c>
      <c r="E7" s="26">
        <f>SUMIFS(Cleaned_Sales_Data[Revenue],Cleaned_Sales_Data[Region],Table1[[#This Row],[Region]])</f>
        <v>659386.41999999993</v>
      </c>
      <c r="F7" s="26">
        <f>SUMIFS(Cleaned_Sales_Data[Profit],Cleaned_Sales_Data[Region],Table1[[#This Row],[Region]])</f>
        <v>188943.9</v>
      </c>
      <c r="G7" s="27">
        <f>COUNTIFS(Cleaned_Sales_Data[Region],D7)</f>
        <v>8</v>
      </c>
      <c r="H7" s="28">
        <f>Table1[[#This Row],[Total Profit]]/Table1[[#This Row],[Total Revenue]]</f>
        <v>0.28654502772441087</v>
      </c>
      <c r="I7" t="str">
        <f t="shared" si="0"/>
        <v>Healthy</v>
      </c>
    </row>
    <row r="8" spans="1:12" x14ac:dyDescent="0.3">
      <c r="K8" s="30" t="s">
        <v>1385</v>
      </c>
      <c r="L8" s="29" t="s">
        <v>56</v>
      </c>
    </row>
    <row r="9" spans="1:12" ht="13.8" customHeight="1" x14ac:dyDescent="0.3">
      <c r="K9" t="s">
        <v>1359</v>
      </c>
      <c r="L9">
        <f>INDEX('Salesperson Analysis'!$B:$B,MATCH(L8,'Salesperson Analysis'!$A:$A,0))</f>
        <v>14653315.679999996</v>
      </c>
    </row>
    <row r="10" spans="1:12" x14ac:dyDescent="0.3">
      <c r="A10" s="31" t="s">
        <v>1387</v>
      </c>
      <c r="B10" s="2"/>
      <c r="K10" t="s">
        <v>1360</v>
      </c>
      <c r="L10">
        <f>INDEX('Salesperson Analysis'!$C:$C,MATCH(L8,'Salesperson Analysis'!$A:$A,0))</f>
        <v>3668662.830000001</v>
      </c>
    </row>
    <row r="11" spans="1:12" x14ac:dyDescent="0.3">
      <c r="A11" s="32" t="s">
        <v>1359</v>
      </c>
      <c r="B11" s="6">
        <v>114763273.16999999</v>
      </c>
    </row>
    <row r="12" spans="1:12" x14ac:dyDescent="0.3">
      <c r="A12" s="32" t="s">
        <v>1360</v>
      </c>
      <c r="B12" s="6">
        <v>29540009.639999971</v>
      </c>
    </row>
    <row r="13" spans="1:12" x14ac:dyDescent="0.3">
      <c r="A13" s="32" t="s">
        <v>1361</v>
      </c>
      <c r="B13" s="6">
        <v>1180</v>
      </c>
    </row>
    <row r="14" spans="1:12" x14ac:dyDescent="0.3">
      <c r="A14" s="32" t="s">
        <v>1362</v>
      </c>
      <c r="B14" s="6">
        <v>5218</v>
      </c>
    </row>
    <row r="15" spans="1:12" x14ac:dyDescent="0.3">
      <c r="A15" s="2" t="s">
        <v>1363</v>
      </c>
      <c r="B15" s="2"/>
    </row>
    <row r="16" spans="1:12" x14ac:dyDescent="0.3">
      <c r="A16" s="33" t="s">
        <v>1364</v>
      </c>
      <c r="B16" s="2"/>
    </row>
  </sheetData>
  <conditionalFormatting sqref="H3:H7">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L1" xr:uid="{C7D4F916-0FC2-48BD-AD30-76B99ACA92B6}">
      <formula1>$D$3:$D$7</formula1>
    </dataValidation>
  </dataValidations>
  <pageMargins left="0.7" right="0.7" top="0.75" bottom="0.75" header="0.3" footer="0.3"/>
  <pageSetup orientation="portrait"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33FA79FF-21AA-4C97-9508-343FCE38F6D9}">
          <x14:formula1>
            <xm:f>'Salesperson Analysis'!$A$4:$A$12</xm:f>
          </x14:formula1>
          <xm:sqref>L8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D3AE0-3546-4B96-A133-3CF41C88D1DD}">
  <dimension ref="A1:AJ6"/>
  <sheetViews>
    <sheetView showGridLines="0" zoomScale="65" zoomScaleNormal="65" workbookViewId="0">
      <selection activeCell="B7" sqref="B7"/>
    </sheetView>
  </sheetViews>
  <sheetFormatPr defaultRowHeight="14.4" x14ac:dyDescent="0.3"/>
  <cols>
    <col min="1" max="1" width="7.21875" customWidth="1"/>
    <col min="10" max="10" width="8.88671875" customWidth="1"/>
  </cols>
  <sheetData>
    <row r="1" spans="1:36" ht="21" customHeight="1" x14ac:dyDescent="0.3">
      <c r="A1" s="34" t="s">
        <v>1386</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row>
    <row r="2" spans="1:36" ht="14.4" customHeight="1" x14ac:dyDescent="0.3">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row>
    <row r="3" spans="1:36" ht="23.4" x14ac:dyDescent="0.3">
      <c r="A3" s="48" t="s">
        <v>1359</v>
      </c>
      <c r="B3" s="48"/>
      <c r="C3" s="48"/>
      <c r="D3" s="48"/>
      <c r="E3" s="48"/>
      <c r="F3" s="48"/>
      <c r="G3" s="49" t="s">
        <v>1360</v>
      </c>
      <c r="H3" s="49"/>
      <c r="I3" s="49"/>
      <c r="J3" s="49"/>
      <c r="K3" s="49"/>
      <c r="L3" s="49"/>
      <c r="M3" s="36" t="s">
        <v>1361</v>
      </c>
      <c r="N3" s="36"/>
      <c r="O3" s="36"/>
      <c r="P3" s="36"/>
      <c r="Q3" s="36"/>
      <c r="R3" s="36"/>
      <c r="S3" s="43" t="s">
        <v>1362</v>
      </c>
      <c r="T3" s="43"/>
      <c r="U3" s="43"/>
      <c r="V3" s="43"/>
      <c r="W3" s="43"/>
      <c r="X3" s="43"/>
      <c r="Y3" s="47" t="s">
        <v>1363</v>
      </c>
      <c r="Z3" s="47"/>
      <c r="AA3" s="47"/>
      <c r="AB3" s="47"/>
      <c r="AC3" s="47"/>
      <c r="AD3" s="47"/>
      <c r="AE3" s="45" t="s">
        <v>1364</v>
      </c>
      <c r="AF3" s="45"/>
      <c r="AG3" s="45"/>
      <c r="AH3" s="45"/>
      <c r="AI3" s="45"/>
      <c r="AJ3" s="45"/>
    </row>
    <row r="4" spans="1:36" ht="14.4" customHeight="1" x14ac:dyDescent="0.3">
      <c r="A4" s="35">
        <f>GETPIVOTDATA("Total Revenue",Analysis_Sheet!$A$10)</f>
        <v>114763273.16999999</v>
      </c>
      <c r="B4" s="35"/>
      <c r="C4" s="35"/>
      <c r="D4" s="35"/>
      <c r="E4" s="35"/>
      <c r="F4" s="35"/>
      <c r="G4" s="35">
        <f>GETPIVOTDATA("Total Profit",Analysis_Sheet!$A$10)</f>
        <v>29540009.639999971</v>
      </c>
      <c r="H4" s="35"/>
      <c r="I4" s="35"/>
      <c r="J4" s="35"/>
      <c r="K4" s="35"/>
      <c r="L4" s="35"/>
      <c r="M4" s="37">
        <f>GETPIVOTDATA("Total Orders",Analysis_Sheet!$A$10)</f>
        <v>1180</v>
      </c>
      <c r="N4" s="38"/>
      <c r="O4" s="38"/>
      <c r="P4" s="38"/>
      <c r="Q4" s="38"/>
      <c r="R4" s="39"/>
      <c r="S4" s="44">
        <f>GETPIVOTDATA("Total Quantity",Analysis_Sheet!$A$10)</f>
        <v>5218</v>
      </c>
      <c r="T4" s="44"/>
      <c r="U4" s="44"/>
      <c r="V4" s="44"/>
      <c r="W4" s="44"/>
      <c r="X4" s="44"/>
      <c r="Y4" s="35">
        <f>A4/M4</f>
        <v>97257.011161016941</v>
      </c>
      <c r="Z4" s="35"/>
      <c r="AA4" s="35"/>
      <c r="AB4" s="35"/>
      <c r="AC4" s="35"/>
      <c r="AD4" s="35"/>
      <c r="AE4" s="46">
        <f>G4/A4</f>
        <v>0.25739950442370235</v>
      </c>
      <c r="AF4" s="46"/>
      <c r="AG4" s="46"/>
      <c r="AH4" s="46"/>
      <c r="AI4" s="46"/>
      <c r="AJ4" s="46"/>
    </row>
    <row r="5" spans="1:36" ht="14.4" customHeight="1" x14ac:dyDescent="0.3">
      <c r="A5" s="35"/>
      <c r="B5" s="35"/>
      <c r="C5" s="35"/>
      <c r="D5" s="35"/>
      <c r="E5" s="35"/>
      <c r="F5" s="35"/>
      <c r="G5" s="35"/>
      <c r="H5" s="35"/>
      <c r="I5" s="35"/>
      <c r="J5" s="35"/>
      <c r="K5" s="35"/>
      <c r="L5" s="35"/>
      <c r="M5" s="40"/>
      <c r="N5" s="41"/>
      <c r="O5" s="41"/>
      <c r="P5" s="41"/>
      <c r="Q5" s="41"/>
      <c r="R5" s="42"/>
      <c r="S5" s="44"/>
      <c r="T5" s="44"/>
      <c r="U5" s="44"/>
      <c r="V5" s="44"/>
      <c r="W5" s="44"/>
      <c r="X5" s="44"/>
      <c r="Y5" s="35"/>
      <c r="Z5" s="35"/>
      <c r="AA5" s="35"/>
      <c r="AB5" s="35"/>
      <c r="AC5" s="35"/>
      <c r="AD5" s="35"/>
      <c r="AE5" s="46"/>
      <c r="AF5" s="46"/>
      <c r="AG5" s="46"/>
      <c r="AH5" s="46"/>
      <c r="AI5" s="46"/>
      <c r="AJ5" s="46"/>
    </row>
    <row r="6" spans="1:36" x14ac:dyDescent="0.3">
      <c r="S6" t="s">
        <v>1379</v>
      </c>
    </row>
  </sheetData>
  <mergeCells count="13">
    <mergeCell ref="A1:AJ2"/>
    <mergeCell ref="G4:L5"/>
    <mergeCell ref="M3:R3"/>
    <mergeCell ref="M4:R5"/>
    <mergeCell ref="S3:X3"/>
    <mergeCell ref="S4:X5"/>
    <mergeCell ref="AE3:AJ3"/>
    <mergeCell ref="AE4:AJ5"/>
    <mergeCell ref="Y3:AD3"/>
    <mergeCell ref="Y4:AD5"/>
    <mergeCell ref="A3:F3"/>
    <mergeCell ref="A4:F5"/>
    <mergeCell ref="G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2C1800-4867-40E0-B1FF-479B4E0F6B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Raw_Sales_Data</vt:lpstr>
      <vt:lpstr>Cleaned_Sales_Data</vt:lpstr>
      <vt:lpstr>Monthly Trend</vt:lpstr>
      <vt:lpstr>Region Analysis</vt:lpstr>
      <vt:lpstr>Category Analysis</vt:lpstr>
      <vt:lpstr>Product Analysis</vt:lpstr>
      <vt:lpstr>Salesperson Analysis</vt:lpstr>
      <vt:lpstr>Discount Analysis</vt:lpstr>
      <vt:lpstr>Analysis_Sheet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Murali Krishna</cp:lastModifiedBy>
  <dcterms:created xsi:type="dcterms:W3CDTF">2026-09-10T13:54:40Z</dcterms:created>
  <dcterms:modified xsi:type="dcterms:W3CDTF">2026-09-20T07:39:34Z</dcterms:modified>
</cp:coreProperties>
</file>